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说明" sheetId="1" state="visible" r:id="rId1"/>
    <sheet xmlns:r="http://schemas.openxmlformats.org/officeDocument/2006/relationships" name="试验原始数据" sheetId="2" state="visible" r:id="rId2"/>
    <sheet xmlns:r="http://schemas.openxmlformats.org/officeDocument/2006/relationships" name="试验统计" sheetId="3" state="visible" r:id="rId3"/>
    <sheet xmlns:r="http://schemas.openxmlformats.org/officeDocument/2006/relationships" name="采购批次" sheetId="4" state="visible" r:id="rId4"/>
    <sheet xmlns:r="http://schemas.openxmlformats.org/officeDocument/2006/relationships" name="库存流水" sheetId="5" state="visible" r:id="rId5"/>
    <sheet xmlns:r="http://schemas.openxmlformats.org/officeDocument/2006/relationships" name="报损折价" sheetId="6" state="visible" r:id="rId6"/>
    <sheet xmlns:r="http://schemas.openxmlformats.org/officeDocument/2006/relationships" name="销售流水" sheetId="7" state="visible" r:id="rId7"/>
    <sheet xmlns:r="http://schemas.openxmlformats.org/officeDocument/2006/relationships" name="冷链温控" sheetId="8" state="visible" r:id="rId8"/>
    <sheet xmlns:r="http://schemas.openxmlformats.org/officeDocument/2006/relationships" name="质检抽检" sheetId="9" state="visible" r:id="rId9"/>
    <sheet xmlns:r="http://schemas.openxmlformats.org/officeDocument/2006/relationships" name="处理成本" sheetId="10" state="visible" r:id="rId10"/>
    <sheet xmlns:r="http://schemas.openxmlformats.org/officeDocument/2006/relationships" name="渠道动销" sheetId="11" state="visible" r:id="rId11"/>
    <sheet xmlns:r="http://schemas.openxmlformats.org/officeDocument/2006/relationships" name="批次对账" sheetId="12" state="visible" r:id="rId12"/>
    <sheet xmlns:r="http://schemas.openxmlformats.org/officeDocument/2006/relationships" name="经营基线" sheetId="13" state="visible" r:id="rId13"/>
    <sheet xmlns:r="http://schemas.openxmlformats.org/officeDocument/2006/relationships" name="情景测算" sheetId="14" state="visible" r:id="rId14"/>
    <sheet xmlns:r="http://schemas.openxmlformats.org/officeDocument/2006/relationships" name="证据台账" sheetId="15" state="visible" r:id="rId15"/>
    <sheet xmlns:r="http://schemas.openxmlformats.org/officeDocument/2006/relationships" name="决策门槛" sheetId="16" state="visible" r:id="rId16"/>
    <sheet xmlns:r="http://schemas.openxmlformats.org/officeDocument/2006/relationships" name="补充增强说明" sheetId="17" state="visible" r:id="rId17"/>
  </sheets>
  <definedNames/>
</workbook>
</file>

<file path=xl/styles.xml><?xml version="1.0" encoding="utf-8"?>
<styleSheet xmlns="http://schemas.openxmlformats.org/spreadsheetml/2006/main">
  <numFmts count="6">
    <numFmt numFmtId="164" formatCode="0.000"/>
    <numFmt numFmtId="165" formatCode="0.0%"/>
    <numFmt numFmtId="166" formatCode="0.0000"/>
    <numFmt numFmtId="167" formatCode="yyyy-mm-dd"/>
    <numFmt numFmtId="168" formatCode="#,##0.0"/>
    <numFmt numFmtId="169" formatCode="0.00x"/>
  </numFmts>
  <fonts count="7">
    <font>
      <name val="Carlito"/>
      <sz val="11"/>
    </font>
    <font>
      <name val="Microsoft YaHei"/>
      <b val="1"/>
      <color rgb="FFFFFFFF"/>
      <sz val="16"/>
    </font>
    <font>
      <name val="Microsoft YaHei"/>
      <color rgb="FF666666"/>
      <sz val="10"/>
    </font>
    <font>
      <name val="Microsoft YaHei"/>
      <b val="1"/>
      <color rgb="FFFFFFFF"/>
      <sz val="10"/>
    </font>
    <font>
      <name val="Microsoft YaHei"/>
      <color rgb="FF1F1F1F"/>
      <sz val="10"/>
    </font>
    <font>
      <name val="Microsoft YaHei"/>
      <b val="1"/>
      <color rgb="FF1F4E78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5FA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004472C4"/>
      </patternFill>
    </fill>
  </fills>
  <borders count="4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1" fontId="4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6" fontId="4" fillId="0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8" fontId="4" fillId="0" borderId="2" applyAlignment="1" pivotButton="0" quotePrefix="0" xfId="0">
      <alignment vertical="center"/>
    </xf>
    <xf numFmtId="4" fontId="4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9" fontId="4" fillId="5" borderId="2" applyAlignment="1" pivotButton="0" quotePrefix="0" xfId="0">
      <alignment vertical="center"/>
    </xf>
    <xf numFmtId="169" fontId="4" fillId="0" borderId="2" applyAlignment="1" pivotButton="0" quotePrefix="0" xfId="0">
      <alignment vertical="center"/>
    </xf>
    <xf numFmtId="4" fontId="4" fillId="5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6" fontId="4" fillId="0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8" fontId="4" fillId="0" borderId="2" applyAlignment="1" pivotButton="0" quotePrefix="0" xfId="0">
      <alignment vertical="center"/>
    </xf>
    <xf numFmtId="4" fontId="4" fillId="0" borderId="2" applyAlignment="1" pivotButton="0" quotePrefix="0" xfId="0">
      <alignment vertical="center"/>
    </xf>
    <xf numFmtId="9" fontId="4" fillId="5" borderId="2" applyAlignment="1" pivotButton="0" quotePrefix="0" xfId="0">
      <alignment vertical="center"/>
    </xf>
    <xf numFmtId="169" fontId="4" fillId="0" borderId="2" applyAlignment="1" pivotButton="0" quotePrefix="0" xfId="0">
      <alignment vertical="center"/>
    </xf>
    <xf numFmtId="4" fontId="4" fillId="5" borderId="2" applyAlignment="1" pivotButton="0" quotePrefix="0" xfId="0">
      <alignment vertical="center"/>
    </xf>
    <xf numFmtId="0" fontId="6" fillId="6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硬度轨迹：GA₃组在后期保持较高测定值</a:t>
            </a:r>
          </a:p>
        </rich>
      </tx>
      <overlay val="0"/>
    </title>
    <plotArea>
      <lineChart>
        <grouping val="standard"/>
        <varyColors val="0"/>
        <ser>
          <idx val="0"/>
          <order val="0"/>
          <tx>
            <v>CK硬度(N)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'试验统计'!$O$5:$O$9</f>
              <strCache>
                <ptCount val="0"/>
              </strCache>
            </strRef>
          </cat>
          <val>
            <numRef>
              <f>'试验统计'!$P$5:$P$9</f>
              <numCache>
                <formatCode>0.0</formatCode>
                <ptCount val="0"/>
              </numCache>
            </numRef>
          </val>
          <smooth val="0"/>
        </ser>
        <ser>
          <idx val="1"/>
          <order val="1"/>
          <tx>
            <v>GA3硬度(N)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'试验统计'!$O$5:$O$9</f>
              <strCache>
                <ptCount val="0"/>
              </strCache>
            </strRef>
          </cat>
          <val>
            <numRef>
              <f>'试验统计'!$Q$5:$Q$9</f>
              <numCache>
                <formatCode>0.0</formatCode>
                <ptCount val="0"/>
              </numCache>
            </numRef>
          </val>
          <smooth val="0"/>
        </ser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三情景净价值（当前可量化口径）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净价值(元)</v>
          </tx>
          <spPr>
            <a:ln xmlns:a="http://schemas.openxmlformats.org/drawingml/2006/main">
              <a:prstDash val="solid"/>
            </a:ln>
          </spPr>
          <cat>
            <strRef>
              <f>'情景测算'!$F$25:$F$27</f>
              <strCache>
                <ptCount val="0"/>
              </strCache>
            </strRef>
          </cat>
          <val>
            <numRef>
              <f>'情景测算'!$G$25:$G$27</f>
              <numCache>
                <formatCode>#,##0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14</col>
      <colOff>0</colOff>
      <row>10</row>
      <rowOff>0</rowOff>
    </from>
    <to>
      <col>23</col>
      <colOff>0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0</colOff>
      <row>3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ExperimentRawTable" displayName="ExperimentRawTable" ref="A4:G184" headerRowCount="1" totalsRowCount="0" totalsRowShown="0">
  <tableColumns count="7">
    <tableColumn id="1" name="指标"/>
    <tableColumn id="2" name="单位"/>
    <tableColumn id="3" name="时间(d)"/>
    <tableColumn id="4" name="处理"/>
    <tableColumn id="5" name="重复"/>
    <tableColumn id="6" name="测定值"/>
    <tableColumn id="7" name="来源文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rchaseTable" displayName="PurchaseTable" ref="A4:N32" headerRowCount="1" totalsRowCount="0" totalsRowShown="0">
  <tableColumns count="14">
    <tableColumn id="1" name="批次号"/>
    <tableColumn id="2" name="品种"/>
    <tableColumn id="3" name="产地"/>
    <tableColumn id="4" name="采收日期"/>
    <tableColumn id="5" name="到仓日期"/>
    <tableColumn id="6" name="到仓仓库"/>
    <tableColumn id="7" name="到货量kg"/>
    <tableColumn id="8" name="采购单价元kg"/>
    <tableColumn id="9" name="采购金额元"/>
    <tableColumn id="10" name="采购方式"/>
    <tableColumn id="11" name="到仓硬度kgf"/>
    <tableColumn id="12" name="到仓糖度Brix"/>
    <tableColumn id="13" name="计划销售渠道"/>
    <tableColumn id="14" name="批次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entoryTable" displayName="InventoryTable" ref="A4:L207" headerRowCount="1" totalsRowCount="0" totalsRowShown="0">
  <tableColumns count="12">
    <tableColumn id="1" name="日期"/>
    <tableColumn id="2" name="批次号"/>
    <tableColumn id="3" name="仓库"/>
    <tableColumn id="4" name="期初库存kg"/>
    <tableColumn id="5" name="入库kg"/>
    <tableColumn id="6" name="出库kg"/>
    <tableColumn id="7" name="报损kg"/>
    <tableColumn id="8" name="期末库存kg"/>
    <tableColumn id="9" name="入库后天数"/>
    <tableColumn id="10" name="库位类型"/>
    <tableColumn id="11" name="出库去向"/>
    <tableColumn id="12" name="是否末笔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ossTable" displayName="LossTable" ref="A4:K79" headerRowCount="1" totalsRowCount="0" totalsRowShown="0">
  <tableColumns count="11">
    <tableColumn id="1" name="单据号"/>
    <tableColumn id="2" name="记录日期"/>
    <tableColumn id="3" name="批次号"/>
    <tableColumn id="4" name="发生环节"/>
    <tableColumn id="5" name="问题类型"/>
    <tableColumn id="6" name="问题数量kg"/>
    <tableColumn id="7" name="报废kg"/>
    <tableColumn id="8" name="折价处理kg"/>
    <tableColumn id="9" name="估计损失元"/>
    <tableColumn id="10" name="是否和成熟相关"/>
    <tableColumn id="11" name="处理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alesTable" displayName="SalesTable" ref="A4:M203" headerRowCount="1" totalsRowCount="0" totalsRowShown="0">
  <tableColumns count="13">
    <tableColumn id="1" name="销售单号"/>
    <tableColumn id="2" name="销售日期"/>
    <tableColumn id="3" name="批次号"/>
    <tableColumn id="4" name="渠道"/>
    <tableColumn id="5" name="城市"/>
    <tableColumn id="6" name="销售kg"/>
    <tableColumn id="7" name="原价销售kg"/>
    <tableColumn id="8" name="折价销售kg"/>
    <tableColumn id="9" name="平均售价元kg"/>
    <tableColumn id="10" name="销售收入元"/>
    <tableColumn id="11" name="退货kg"/>
    <tableColumn id="12" name="客诉件数"/>
    <tableColumn id="13" name="客诉原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ldChainTable" displayName="ColdChainTable" ref="A4:K144" headerRowCount="1" totalsRowCount="0" totalsRowShown="0">
  <tableColumns count="11">
    <tableColumn id="1" name="批次号"/>
    <tableColumn id="2" name="环节"/>
    <tableColumn id="3" name="开始时间"/>
    <tableColumn id="4" name="结束时间"/>
    <tableColumn id="5" name="平均温度℃"/>
    <tableColumn id="6" name="最高温度℃"/>
    <tableColumn id="7" name="最低温度℃"/>
    <tableColumn id="8" name="超温小时"/>
    <tableColumn id="9" name="平均湿度"/>
    <tableColumn id="10" name="是否断链"/>
    <tableColumn id="11" name="记录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QCTable" displayName="QCTable" ref="A4:J144" headerRowCount="1" totalsRowCount="0" totalsRowShown="0">
  <tableColumns count="10">
    <tableColumn id="1" name="检测日期"/>
    <tableColumn id="2" name="批次号"/>
    <tableColumn id="3" name="入库后天数"/>
    <tableColumn id="4" name="抽检果数"/>
    <tableColumn id="5" name="平均硬度kgf"/>
    <tableColumn id="6" name="糖度Brix"/>
    <tableColumn id="7" name="外观等级"/>
    <tableColumn id="8" name="销售建议"/>
    <tableColumn id="9" name="主要问题"/>
    <tableColumn id="10" name="检测小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stTable" displayName="CostTable" ref="A4:F28" headerRowCount="1" totalsRowCount="0" totalsRowShown="0">
  <tableColumns count="6">
    <tableColumn id="1" name="月份"/>
    <tableColumn id="2" name="费用项目"/>
    <tableColumn id="3" name="计量单位"/>
    <tableColumn id="4" name="参考单价"/>
    <tableColumn id="5" name="口径说明"/>
    <tableColumn id="6" name="负责部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hannelTable" displayName="ChannelTable" ref="A4:K94" headerRowCount="1" totalsRowCount="0" totalsRowShown="0">
  <tableColumns count="11">
    <tableColumn id="1" name="到货单号"/>
    <tableColumn id="2" name="到货日期"/>
    <tableColumn id="3" name="批次号"/>
    <tableColumn id="4" name="渠道"/>
    <tableColumn id="5" name="城市"/>
    <tableColumn id="6" name="到货kg"/>
    <tableColumn id="7" name="可正常销售kg"/>
    <tableColumn id="8" name="到货偏软比例"/>
    <tableColumn id="9" name="折价销售比例"/>
    <tableColumn id="10" name="售完天数"/>
    <tableColumn id="11" name="渠道反馈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videnceTable" displayName="EvidenceTable" ref="A4:I26" headerRowCount="1" totalsRowCount="0" totalsRowShown="0">
  <tableColumns count="9">
    <tableColumn id="1" name="编号"/>
    <tableColumn id="2" name="资料类型"/>
    <tableColumn id="3" name="年份"/>
    <tableColumn id="4" name="题名或文件名"/>
    <tableColumn id="5" name="标识或标准号"/>
    <tableColumn id="6" name="来源入口"/>
    <tableColumn id="7" name="本项目用途"/>
    <tableColumn id="8" name="主要边界"/>
    <tableColumn id="9" name="状态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ecisionGateTable" displayName="DecisionGateTable" ref="A4:G10" headerRowCount="1" totalsRowCount="0" totalsRowShown="0">
  <tableColumns count="7">
    <tableColumn id="1" name="阶段门"/>
    <tableColumn id="2" name="核心问题"/>
    <tableColumn id="3" name="必要证据"/>
    <tableColumn id="4" name="继续条件"/>
    <tableColumn id="5" name="保持/补充条件"/>
    <tableColumn id="6" name="停止条件"/>
    <tableColumn id="7" name="责任接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3" t="inlineStr">
        <is>
          <t>猕猴桃采后GA₃处理分析与应用测算底稿</t>
        </is>
      </c>
    </row>
    <row r="2" ht="32" customHeight="1">
      <c r="A2" s="7" t="inlineStr">
        <is>
          <t>用于试验数据复核、经营数据对账、情景测算、证据边界和决策门槛管理。蓝色表头为结构字段；浅黄色单元格为可调整情景假设。</t>
        </is>
      </c>
    </row>
    <row r="4" ht="30" customHeight="1">
      <c r="A4" s="13" t="inlineStr">
        <is>
          <t>项目</t>
        </is>
      </c>
      <c r="B4" s="13" t="inlineStr">
        <is>
          <t>说明</t>
        </is>
      </c>
    </row>
    <row r="5">
      <c r="A5" s="16" t="inlineStr">
        <is>
          <t>工作簿用途</t>
        </is>
      </c>
      <c r="B5" s="17" t="inlineStr">
        <is>
          <t>为管理报告提供可复算的数据、公式和证据索引；不替代原始附件。</t>
        </is>
      </c>
    </row>
    <row r="6">
      <c r="A6" s="16" t="inlineStr">
        <is>
          <t>数据优先级</t>
        </is>
      </c>
      <c r="B6" s="17" t="inlineStr">
        <is>
          <t>原始工作簿与逐笔经营记录 &gt; 材料目录与口径说明 &gt; 公开证据摘要。</t>
        </is>
      </c>
    </row>
    <row r="7">
      <c r="A7" s="16" t="inlineStr">
        <is>
          <t>试验边界</t>
        </is>
      </c>
      <c r="B7" s="17" t="inlineStr">
        <is>
          <t>现有工作簿未记录品种、产地、处理浓度、施用方式、温湿度和重复独立性，相关条件不得补写为本项目事实。</t>
        </is>
      </c>
    </row>
    <row r="8">
      <c r="A8" s="16" t="inlineStr">
        <is>
          <t>经营边界</t>
        </is>
      </c>
      <c r="B8" s="17" t="inlineStr">
        <is>
          <t>经营数据为业务测算样例，不代表GA₃已实施或收益已实现。</t>
        </is>
      </c>
    </row>
    <row r="9">
      <c r="A9" s="16" t="inlineStr">
        <is>
          <t>统计口径</t>
        </is>
      </c>
      <c r="B9" s="17" t="inlineStr">
        <is>
          <t>均值与样本标准差按每组每时点三条记录计算；Welch双侧t检验和30次Bonferroni校正仅作探索性参考。</t>
        </is>
      </c>
    </row>
    <row r="10">
      <c r="A10" s="16" t="inlineStr">
        <is>
          <t>合规边界</t>
        </is>
      </c>
      <c r="B10" s="17" t="inlineStr">
        <is>
          <t>商品化应用须另行核对具体产品的有效登记、核准标签、使用范围与方法及适用残留要求。</t>
        </is>
      </c>
    </row>
    <row r="11">
      <c r="A11" s="16" t="inlineStr">
        <is>
          <t>工作表结构</t>
        </is>
      </c>
      <c r="B11" s="17" t="inlineStr">
        <is>
          <t>试验原始数据—试验统计—业务原始表—批次对账—经营基线—情景测算—证据台账—决策门槛。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0" customWidth="1" min="5" max="5"/>
    <col width="13" customWidth="1" min="6" max="6"/>
    <col width="30" customWidth="1" min="7" max="7"/>
  </cols>
  <sheetData>
    <row r="1" ht="28" customHeight="1">
      <c r="A1" s="3" t="inlineStr">
        <is>
          <t>试验原始数据</t>
        </is>
      </c>
    </row>
    <row r="2" ht="32" customHeight="1">
      <c r="A2" s="7" t="inlineStr">
        <is>
          <t>逐条保留六份指标工作簿中的记录；单位单列，不改写原始测定值。</t>
        </is>
      </c>
    </row>
    <row r="4" ht="30" customHeight="1">
      <c r="A4" s="13" t="inlineStr">
        <is>
          <t>指标</t>
        </is>
      </c>
      <c r="B4" s="13" t="inlineStr">
        <is>
          <t>单位</t>
        </is>
      </c>
      <c r="C4" s="13" t="inlineStr">
        <is>
          <t>时间(d)</t>
        </is>
      </c>
      <c r="D4" s="13" t="inlineStr">
        <is>
          <t>处理</t>
        </is>
      </c>
      <c r="E4" s="13" t="inlineStr">
        <is>
          <t>重复</t>
        </is>
      </c>
      <c r="F4" s="13" t="inlineStr">
        <is>
          <t>测定值</t>
        </is>
      </c>
      <c r="G4" s="13" t="inlineStr">
        <is>
          <t>来源文件</t>
        </is>
      </c>
    </row>
    <row r="5">
      <c r="A5" s="16" t="inlineStr">
        <is>
          <t>硬度</t>
        </is>
      </c>
      <c r="B5" s="16" t="inlineStr">
        <is>
          <t>N</t>
        </is>
      </c>
      <c r="C5" s="30" t="n">
        <v>0</v>
      </c>
      <c r="D5" s="16" t="inlineStr">
        <is>
          <t>CK</t>
        </is>
      </c>
      <c r="E5" s="30" t="n">
        <v>1</v>
      </c>
      <c r="F5" s="31" t="n">
        <v>84.2</v>
      </c>
      <c r="G5" s="16" t="inlineStr">
        <is>
          <t>实验资料/硬度.xlsx</t>
        </is>
      </c>
    </row>
    <row r="6">
      <c r="A6" s="16" t="inlineStr">
        <is>
          <t>硬度</t>
        </is>
      </c>
      <c r="B6" s="16" t="inlineStr">
        <is>
          <t>N</t>
        </is>
      </c>
      <c r="C6" s="30" t="n">
        <v>0</v>
      </c>
      <c r="D6" s="16" t="inlineStr">
        <is>
          <t>CK</t>
        </is>
      </c>
      <c r="E6" s="30" t="n">
        <v>2</v>
      </c>
      <c r="F6" s="31" t="n">
        <v>83.8</v>
      </c>
      <c r="G6" s="16" t="inlineStr">
        <is>
          <t>实验资料/硬度.xlsx</t>
        </is>
      </c>
    </row>
    <row r="7">
      <c r="A7" s="16" t="inlineStr">
        <is>
          <t>硬度</t>
        </is>
      </c>
      <c r="B7" s="16" t="inlineStr">
        <is>
          <t>N</t>
        </is>
      </c>
      <c r="C7" s="30" t="n">
        <v>0</v>
      </c>
      <c r="D7" s="16" t="inlineStr">
        <is>
          <t>CK</t>
        </is>
      </c>
      <c r="E7" s="30" t="n">
        <v>3</v>
      </c>
      <c r="F7" s="31" t="n">
        <v>84.5</v>
      </c>
      <c r="G7" s="16" t="inlineStr">
        <is>
          <t>实验资料/硬度.xlsx</t>
        </is>
      </c>
    </row>
    <row r="8">
      <c r="A8" s="16" t="inlineStr">
        <is>
          <t>硬度</t>
        </is>
      </c>
      <c r="B8" s="16" t="inlineStr">
        <is>
          <t>N</t>
        </is>
      </c>
      <c r="C8" s="30" t="n">
        <v>0</v>
      </c>
      <c r="D8" s="16" t="inlineStr">
        <is>
          <t>GA3</t>
        </is>
      </c>
      <c r="E8" s="30" t="n">
        <v>1</v>
      </c>
      <c r="F8" s="31" t="n">
        <v>84.09999999999999</v>
      </c>
      <c r="G8" s="16" t="inlineStr">
        <is>
          <t>实验资料/硬度.xlsx</t>
        </is>
      </c>
    </row>
    <row r="9">
      <c r="A9" s="16" t="inlineStr">
        <is>
          <t>硬度</t>
        </is>
      </c>
      <c r="B9" s="16" t="inlineStr">
        <is>
          <t>N</t>
        </is>
      </c>
      <c r="C9" s="30" t="n">
        <v>0</v>
      </c>
      <c r="D9" s="16" t="inlineStr">
        <is>
          <t>GA3</t>
        </is>
      </c>
      <c r="E9" s="30" t="n">
        <v>2</v>
      </c>
      <c r="F9" s="31" t="n">
        <v>84</v>
      </c>
      <c r="G9" s="16" t="inlineStr">
        <is>
          <t>实验资料/硬度.xlsx</t>
        </is>
      </c>
    </row>
    <row r="10">
      <c r="A10" s="16" t="inlineStr">
        <is>
          <t>硬度</t>
        </is>
      </c>
      <c r="B10" s="16" t="inlineStr">
        <is>
          <t>N</t>
        </is>
      </c>
      <c r="C10" s="30" t="n">
        <v>0</v>
      </c>
      <c r="D10" s="16" t="inlineStr">
        <is>
          <t>GA3</t>
        </is>
      </c>
      <c r="E10" s="30" t="n">
        <v>3</v>
      </c>
      <c r="F10" s="31" t="n">
        <v>83.90000000000001</v>
      </c>
      <c r="G10" s="16" t="inlineStr">
        <is>
          <t>实验资料/硬度.xlsx</t>
        </is>
      </c>
    </row>
    <row r="11">
      <c r="A11" s="16" t="inlineStr">
        <is>
          <t>硬度</t>
        </is>
      </c>
      <c r="B11" s="16" t="inlineStr">
        <is>
          <t>N</t>
        </is>
      </c>
      <c r="C11" s="30" t="n">
        <v>7</v>
      </c>
      <c r="D11" s="16" t="inlineStr">
        <is>
          <t>CK</t>
        </is>
      </c>
      <c r="E11" s="30" t="n">
        <v>1</v>
      </c>
      <c r="F11" s="31" t="n">
        <v>61.5</v>
      </c>
      <c r="G11" s="16" t="inlineStr">
        <is>
          <t>实验资料/硬度.xlsx</t>
        </is>
      </c>
    </row>
    <row r="12">
      <c r="A12" s="16" t="inlineStr">
        <is>
          <t>硬度</t>
        </is>
      </c>
      <c r="B12" s="16" t="inlineStr">
        <is>
          <t>N</t>
        </is>
      </c>
      <c r="C12" s="30" t="n">
        <v>7</v>
      </c>
      <c r="D12" s="16" t="inlineStr">
        <is>
          <t>CK</t>
        </is>
      </c>
      <c r="E12" s="30" t="n">
        <v>2</v>
      </c>
      <c r="F12" s="31" t="n">
        <v>58</v>
      </c>
      <c r="G12" s="16" t="inlineStr">
        <is>
          <t>实验资料/硬度.xlsx</t>
        </is>
      </c>
    </row>
    <row r="13">
      <c r="A13" s="16" t="inlineStr">
        <is>
          <t>硬度</t>
        </is>
      </c>
      <c r="B13" s="16" t="inlineStr">
        <is>
          <t>N</t>
        </is>
      </c>
      <c r="C13" s="30" t="n">
        <v>7</v>
      </c>
      <c r="D13" s="16" t="inlineStr">
        <is>
          <t>CK</t>
        </is>
      </c>
      <c r="E13" s="30" t="n">
        <v>3</v>
      </c>
      <c r="F13" s="31" t="n">
        <v>60.5</v>
      </c>
      <c r="G13" s="16" t="inlineStr">
        <is>
          <t>实验资料/硬度.xlsx</t>
        </is>
      </c>
    </row>
    <row r="14">
      <c r="A14" s="16" t="inlineStr">
        <is>
          <t>硬度</t>
        </is>
      </c>
      <c r="B14" s="16" t="inlineStr">
        <is>
          <t>N</t>
        </is>
      </c>
      <c r="C14" s="30" t="n">
        <v>7</v>
      </c>
      <c r="D14" s="16" t="inlineStr">
        <is>
          <t>GA3</t>
        </is>
      </c>
      <c r="E14" s="30" t="n">
        <v>1</v>
      </c>
      <c r="F14" s="31" t="n">
        <v>76.5</v>
      </c>
      <c r="G14" s="16" t="inlineStr">
        <is>
          <t>实验资料/硬度.xlsx</t>
        </is>
      </c>
    </row>
    <row r="15">
      <c r="A15" s="16" t="inlineStr">
        <is>
          <t>硬度</t>
        </is>
      </c>
      <c r="B15" s="16" t="inlineStr">
        <is>
          <t>N</t>
        </is>
      </c>
      <c r="C15" s="30" t="n">
        <v>7</v>
      </c>
      <c r="D15" s="16" t="inlineStr">
        <is>
          <t>GA3</t>
        </is>
      </c>
      <c r="E15" s="30" t="n">
        <v>2</v>
      </c>
      <c r="F15" s="31" t="n">
        <v>73.5</v>
      </c>
      <c r="G15" s="16" t="inlineStr">
        <is>
          <t>实验资料/硬度.xlsx</t>
        </is>
      </c>
    </row>
    <row r="16">
      <c r="A16" s="16" t="inlineStr">
        <is>
          <t>硬度</t>
        </is>
      </c>
      <c r="B16" s="16" t="inlineStr">
        <is>
          <t>N</t>
        </is>
      </c>
      <c r="C16" s="30" t="n">
        <v>7</v>
      </c>
      <c r="D16" s="16" t="inlineStr">
        <is>
          <t>GA3</t>
        </is>
      </c>
      <c r="E16" s="30" t="n">
        <v>3</v>
      </c>
      <c r="F16" s="31" t="n">
        <v>75</v>
      </c>
      <c r="G16" s="16" t="inlineStr">
        <is>
          <t>实验资料/硬度.xlsx</t>
        </is>
      </c>
    </row>
    <row r="17">
      <c r="A17" s="16" t="inlineStr">
        <is>
          <t>硬度</t>
        </is>
      </c>
      <c r="B17" s="16" t="inlineStr">
        <is>
          <t>N</t>
        </is>
      </c>
      <c r="C17" s="30" t="n">
        <v>14</v>
      </c>
      <c r="D17" s="16" t="inlineStr">
        <is>
          <t>CK</t>
        </is>
      </c>
      <c r="E17" s="30" t="n">
        <v>1</v>
      </c>
      <c r="F17" s="31" t="n">
        <v>36</v>
      </c>
      <c r="G17" s="16" t="inlineStr">
        <is>
          <t>实验资料/硬度.xlsx</t>
        </is>
      </c>
    </row>
    <row r="18">
      <c r="A18" s="16" t="inlineStr">
        <is>
          <t>硬度</t>
        </is>
      </c>
      <c r="B18" s="16" t="inlineStr">
        <is>
          <t>N</t>
        </is>
      </c>
      <c r="C18" s="30" t="n">
        <v>14</v>
      </c>
      <c r="D18" s="16" t="inlineStr">
        <is>
          <t>CK</t>
        </is>
      </c>
      <c r="E18" s="30" t="n">
        <v>2</v>
      </c>
      <c r="F18" s="31" t="n">
        <v>34</v>
      </c>
      <c r="G18" s="16" t="inlineStr">
        <is>
          <t>实验资料/硬度.xlsx</t>
        </is>
      </c>
    </row>
    <row r="19">
      <c r="A19" s="16" t="inlineStr">
        <is>
          <t>硬度</t>
        </is>
      </c>
      <c r="B19" s="16" t="inlineStr">
        <is>
          <t>N</t>
        </is>
      </c>
      <c r="C19" s="30" t="n">
        <v>14</v>
      </c>
      <c r="D19" s="16" t="inlineStr">
        <is>
          <t>CK</t>
        </is>
      </c>
      <c r="E19" s="30" t="n">
        <v>3</v>
      </c>
      <c r="F19" s="31" t="n">
        <v>35</v>
      </c>
      <c r="G19" s="16" t="inlineStr">
        <is>
          <t>实验资料/硬度.xlsx</t>
        </is>
      </c>
    </row>
    <row r="20">
      <c r="A20" s="16" t="inlineStr">
        <is>
          <t>硬度</t>
        </is>
      </c>
      <c r="B20" s="16" t="inlineStr">
        <is>
          <t>N</t>
        </is>
      </c>
      <c r="C20" s="30" t="n">
        <v>14</v>
      </c>
      <c r="D20" s="16" t="inlineStr">
        <is>
          <t>GA3</t>
        </is>
      </c>
      <c r="E20" s="30" t="n">
        <v>1</v>
      </c>
      <c r="F20" s="31" t="n">
        <v>62</v>
      </c>
      <c r="G20" s="16" t="inlineStr">
        <is>
          <t>实验资料/硬度.xlsx</t>
        </is>
      </c>
    </row>
    <row r="21">
      <c r="A21" s="16" t="inlineStr">
        <is>
          <t>硬度</t>
        </is>
      </c>
      <c r="B21" s="16" t="inlineStr">
        <is>
          <t>N</t>
        </is>
      </c>
      <c r="C21" s="30" t="n">
        <v>14</v>
      </c>
      <c r="D21" s="16" t="inlineStr">
        <is>
          <t>GA3</t>
        </is>
      </c>
      <c r="E21" s="30" t="n">
        <v>2</v>
      </c>
      <c r="F21" s="31" t="n">
        <v>58.5</v>
      </c>
      <c r="G21" s="16" t="inlineStr">
        <is>
          <t>实验资料/硬度.xlsx</t>
        </is>
      </c>
    </row>
    <row r="22">
      <c r="A22" s="16" t="inlineStr">
        <is>
          <t>硬度</t>
        </is>
      </c>
      <c r="B22" s="16" t="inlineStr">
        <is>
          <t>N</t>
        </is>
      </c>
      <c r="C22" s="30" t="n">
        <v>14</v>
      </c>
      <c r="D22" s="16" t="inlineStr">
        <is>
          <t>GA3</t>
        </is>
      </c>
      <c r="E22" s="30" t="n">
        <v>3</v>
      </c>
      <c r="F22" s="31" t="n">
        <v>59.5</v>
      </c>
      <c r="G22" s="16" t="inlineStr">
        <is>
          <t>实验资料/硬度.xlsx</t>
        </is>
      </c>
    </row>
    <row r="23">
      <c r="A23" s="16" t="inlineStr">
        <is>
          <t>硬度</t>
        </is>
      </c>
      <c r="B23" s="16" t="inlineStr">
        <is>
          <t>N</t>
        </is>
      </c>
      <c r="C23" s="30" t="n">
        <v>21</v>
      </c>
      <c r="D23" s="16" t="inlineStr">
        <is>
          <t>CK</t>
        </is>
      </c>
      <c r="E23" s="30" t="n">
        <v>1</v>
      </c>
      <c r="F23" s="31" t="n">
        <v>16.5</v>
      </c>
      <c r="G23" s="16" t="inlineStr">
        <is>
          <t>实验资料/硬度.xlsx</t>
        </is>
      </c>
    </row>
    <row r="24">
      <c r="A24" s="16" t="inlineStr">
        <is>
          <t>硬度</t>
        </is>
      </c>
      <c r="B24" s="16" t="inlineStr">
        <is>
          <t>N</t>
        </is>
      </c>
      <c r="C24" s="30" t="n">
        <v>21</v>
      </c>
      <c r="D24" s="16" t="inlineStr">
        <is>
          <t>CK</t>
        </is>
      </c>
      <c r="E24" s="30" t="n">
        <v>2</v>
      </c>
      <c r="F24" s="31" t="n">
        <v>14</v>
      </c>
      <c r="G24" s="16" t="inlineStr">
        <is>
          <t>实验资料/硬度.xlsx</t>
        </is>
      </c>
    </row>
    <row r="25">
      <c r="A25" s="16" t="inlineStr">
        <is>
          <t>硬度</t>
        </is>
      </c>
      <c r="B25" s="16" t="inlineStr">
        <is>
          <t>N</t>
        </is>
      </c>
      <c r="C25" s="30" t="n">
        <v>21</v>
      </c>
      <c r="D25" s="16" t="inlineStr">
        <is>
          <t>CK</t>
        </is>
      </c>
      <c r="E25" s="30" t="n">
        <v>3</v>
      </c>
      <c r="F25" s="31" t="n">
        <v>14.5</v>
      </c>
      <c r="G25" s="16" t="inlineStr">
        <is>
          <t>实验资料/硬度.xlsx</t>
        </is>
      </c>
    </row>
    <row r="26">
      <c r="A26" s="16" t="inlineStr">
        <is>
          <t>硬度</t>
        </is>
      </c>
      <c r="B26" s="16" t="inlineStr">
        <is>
          <t>N</t>
        </is>
      </c>
      <c r="C26" s="30" t="n">
        <v>21</v>
      </c>
      <c r="D26" s="16" t="inlineStr">
        <is>
          <t>GA3</t>
        </is>
      </c>
      <c r="E26" s="30" t="n">
        <v>1</v>
      </c>
      <c r="F26" s="31" t="n">
        <v>42</v>
      </c>
      <c r="G26" s="16" t="inlineStr">
        <is>
          <t>实验资料/硬度.xlsx</t>
        </is>
      </c>
    </row>
    <row r="27">
      <c r="A27" s="16" t="inlineStr">
        <is>
          <t>硬度</t>
        </is>
      </c>
      <c r="B27" s="16" t="inlineStr">
        <is>
          <t>N</t>
        </is>
      </c>
      <c r="C27" s="30" t="n">
        <v>21</v>
      </c>
      <c r="D27" s="16" t="inlineStr">
        <is>
          <t>GA3</t>
        </is>
      </c>
      <c r="E27" s="30" t="n">
        <v>2</v>
      </c>
      <c r="F27" s="31" t="n">
        <v>39</v>
      </c>
      <c r="G27" s="16" t="inlineStr">
        <is>
          <t>实验资料/硬度.xlsx</t>
        </is>
      </c>
    </row>
    <row r="28">
      <c r="A28" s="16" t="inlineStr">
        <is>
          <t>硬度</t>
        </is>
      </c>
      <c r="B28" s="16" t="inlineStr">
        <is>
          <t>N</t>
        </is>
      </c>
      <c r="C28" s="30" t="n">
        <v>21</v>
      </c>
      <c r="D28" s="16" t="inlineStr">
        <is>
          <t>GA3</t>
        </is>
      </c>
      <c r="E28" s="30" t="n">
        <v>3</v>
      </c>
      <c r="F28" s="31" t="n">
        <v>39</v>
      </c>
      <c r="G28" s="16" t="inlineStr">
        <is>
          <t>实验资料/硬度.xlsx</t>
        </is>
      </c>
    </row>
    <row r="29">
      <c r="A29" s="16" t="inlineStr">
        <is>
          <t>硬度</t>
        </is>
      </c>
      <c r="B29" s="16" t="inlineStr">
        <is>
          <t>N</t>
        </is>
      </c>
      <c r="C29" s="30" t="n">
        <v>28</v>
      </c>
      <c r="D29" s="16" t="inlineStr">
        <is>
          <t>CK</t>
        </is>
      </c>
      <c r="E29" s="30" t="n">
        <v>1</v>
      </c>
      <c r="F29" s="31" t="n">
        <v>3.5</v>
      </c>
      <c r="G29" s="16" t="inlineStr">
        <is>
          <t>实验资料/硬度.xlsx</t>
        </is>
      </c>
    </row>
    <row r="30">
      <c r="A30" s="16" t="inlineStr">
        <is>
          <t>硬度</t>
        </is>
      </c>
      <c r="B30" s="16" t="inlineStr">
        <is>
          <t>N</t>
        </is>
      </c>
      <c r="C30" s="30" t="n">
        <v>28</v>
      </c>
      <c r="D30" s="16" t="inlineStr">
        <is>
          <t>CK</t>
        </is>
      </c>
      <c r="E30" s="30" t="n">
        <v>2</v>
      </c>
      <c r="F30" s="31" t="n">
        <v>2.8</v>
      </c>
      <c r="G30" s="16" t="inlineStr">
        <is>
          <t>实验资料/硬度.xlsx</t>
        </is>
      </c>
    </row>
    <row r="31">
      <c r="A31" s="16" t="inlineStr">
        <is>
          <t>硬度</t>
        </is>
      </c>
      <c r="B31" s="16" t="inlineStr">
        <is>
          <t>N</t>
        </is>
      </c>
      <c r="C31" s="30" t="n">
        <v>28</v>
      </c>
      <c r="D31" s="16" t="inlineStr">
        <is>
          <t>CK</t>
        </is>
      </c>
      <c r="E31" s="30" t="n">
        <v>3</v>
      </c>
      <c r="F31" s="31" t="n">
        <v>2.7</v>
      </c>
      <c r="G31" s="16" t="inlineStr">
        <is>
          <t>实验资料/硬度.xlsx</t>
        </is>
      </c>
    </row>
    <row r="32">
      <c r="A32" s="16" t="inlineStr">
        <is>
          <t>硬度</t>
        </is>
      </c>
      <c r="B32" s="16" t="inlineStr">
        <is>
          <t>N</t>
        </is>
      </c>
      <c r="C32" s="30" t="n">
        <v>28</v>
      </c>
      <c r="D32" s="16" t="inlineStr">
        <is>
          <t>GA3</t>
        </is>
      </c>
      <c r="E32" s="30" t="n">
        <v>1</v>
      </c>
      <c r="F32" s="31" t="n">
        <v>17.5</v>
      </c>
      <c r="G32" s="16" t="inlineStr">
        <is>
          <t>实验资料/硬度.xlsx</t>
        </is>
      </c>
    </row>
    <row r="33">
      <c r="A33" s="16" t="inlineStr">
        <is>
          <t>硬度</t>
        </is>
      </c>
      <c r="B33" s="16" t="inlineStr">
        <is>
          <t>N</t>
        </is>
      </c>
      <c r="C33" s="30" t="n">
        <v>28</v>
      </c>
      <c r="D33" s="16" t="inlineStr">
        <is>
          <t>GA3</t>
        </is>
      </c>
      <c r="E33" s="30" t="n">
        <v>2</v>
      </c>
      <c r="F33" s="31" t="n">
        <v>15</v>
      </c>
      <c r="G33" s="16" t="inlineStr">
        <is>
          <t>实验资料/硬度.xlsx</t>
        </is>
      </c>
    </row>
    <row r="34">
      <c r="A34" s="16" t="inlineStr">
        <is>
          <t>硬度</t>
        </is>
      </c>
      <c r="B34" s="16" t="inlineStr">
        <is>
          <t>N</t>
        </is>
      </c>
      <c r="C34" s="30" t="n">
        <v>28</v>
      </c>
      <c r="D34" s="16" t="inlineStr">
        <is>
          <t>GA3</t>
        </is>
      </c>
      <c r="E34" s="30" t="n">
        <v>3</v>
      </c>
      <c r="F34" s="31" t="n">
        <v>15.5</v>
      </c>
      <c r="G34" s="16" t="inlineStr">
        <is>
          <t>实验资料/硬度.xlsx</t>
        </is>
      </c>
    </row>
    <row r="35">
      <c r="A35" s="16" t="inlineStr">
        <is>
          <t>可溶性固形物</t>
        </is>
      </c>
      <c r="B35" s="16" t="inlineStr">
        <is>
          <t>%</t>
        </is>
      </c>
      <c r="C35" s="30" t="n">
        <v>0</v>
      </c>
      <c r="D35" s="16" t="inlineStr">
        <is>
          <t>CK</t>
        </is>
      </c>
      <c r="E35" s="30" t="n">
        <v>1</v>
      </c>
      <c r="F35" s="31" t="n">
        <v>5.9</v>
      </c>
      <c r="G35" s="16" t="inlineStr">
        <is>
          <t>实验资料/可溶性固形物.xlsx</t>
        </is>
      </c>
    </row>
    <row r="36">
      <c r="A36" s="16" t="inlineStr">
        <is>
          <t>可溶性固形物</t>
        </is>
      </c>
      <c r="B36" s="16" t="inlineStr">
        <is>
          <t>%</t>
        </is>
      </c>
      <c r="C36" s="30" t="n">
        <v>0</v>
      </c>
      <c r="D36" s="16" t="inlineStr">
        <is>
          <t>CK</t>
        </is>
      </c>
      <c r="E36" s="30" t="n">
        <v>2</v>
      </c>
      <c r="F36" s="31" t="n">
        <v>6.1</v>
      </c>
      <c r="G36" s="16" t="inlineStr">
        <is>
          <t>实验资料/可溶性固形物.xlsx</t>
        </is>
      </c>
    </row>
    <row r="37">
      <c r="A37" s="16" t="inlineStr">
        <is>
          <t>可溶性固形物</t>
        </is>
      </c>
      <c r="B37" s="16" t="inlineStr">
        <is>
          <t>%</t>
        </is>
      </c>
      <c r="C37" s="30" t="n">
        <v>0</v>
      </c>
      <c r="D37" s="16" t="inlineStr">
        <is>
          <t>CK</t>
        </is>
      </c>
      <c r="E37" s="30" t="n">
        <v>3</v>
      </c>
      <c r="F37" s="31" t="n">
        <v>6</v>
      </c>
      <c r="G37" s="16" t="inlineStr">
        <is>
          <t>实验资料/可溶性固形物.xlsx</t>
        </is>
      </c>
    </row>
    <row r="38">
      <c r="A38" s="16" t="inlineStr">
        <is>
          <t>可溶性固形物</t>
        </is>
      </c>
      <c r="B38" s="16" t="inlineStr">
        <is>
          <t>%</t>
        </is>
      </c>
      <c r="C38" s="30" t="n">
        <v>0</v>
      </c>
      <c r="D38" s="16" t="inlineStr">
        <is>
          <t>GA3</t>
        </is>
      </c>
      <c r="E38" s="30" t="n">
        <v>1</v>
      </c>
      <c r="F38" s="31" t="n">
        <v>6</v>
      </c>
      <c r="G38" s="16" t="inlineStr">
        <is>
          <t>实验资料/可溶性固形物.xlsx</t>
        </is>
      </c>
    </row>
    <row r="39">
      <c r="A39" s="16" t="inlineStr">
        <is>
          <t>可溶性固形物</t>
        </is>
      </c>
      <c r="B39" s="16" t="inlineStr">
        <is>
          <t>%</t>
        </is>
      </c>
      <c r="C39" s="30" t="n">
        <v>0</v>
      </c>
      <c r="D39" s="16" t="inlineStr">
        <is>
          <t>GA3</t>
        </is>
      </c>
      <c r="E39" s="30" t="n">
        <v>2</v>
      </c>
      <c r="F39" s="31" t="n">
        <v>6.1</v>
      </c>
      <c r="G39" s="16" t="inlineStr">
        <is>
          <t>实验资料/可溶性固形物.xlsx</t>
        </is>
      </c>
    </row>
    <row r="40">
      <c r="A40" s="16" t="inlineStr">
        <is>
          <t>可溶性固形物</t>
        </is>
      </c>
      <c r="B40" s="16" t="inlineStr">
        <is>
          <t>%</t>
        </is>
      </c>
      <c r="C40" s="30" t="n">
        <v>0</v>
      </c>
      <c r="D40" s="16" t="inlineStr">
        <is>
          <t>GA3</t>
        </is>
      </c>
      <c r="E40" s="30" t="n">
        <v>3</v>
      </c>
      <c r="F40" s="31" t="n">
        <v>5.9</v>
      </c>
      <c r="G40" s="16" t="inlineStr">
        <is>
          <t>实验资料/可溶性固形物.xlsx</t>
        </is>
      </c>
    </row>
    <row r="41">
      <c r="A41" s="16" t="inlineStr">
        <is>
          <t>可溶性固形物</t>
        </is>
      </c>
      <c r="B41" s="16" t="inlineStr">
        <is>
          <t>%</t>
        </is>
      </c>
      <c r="C41" s="30" t="n">
        <v>7</v>
      </c>
      <c r="D41" s="16" t="inlineStr">
        <is>
          <t>CK</t>
        </is>
      </c>
      <c r="E41" s="30" t="n">
        <v>1</v>
      </c>
      <c r="F41" s="31" t="n">
        <v>8.4</v>
      </c>
      <c r="G41" s="16" t="inlineStr">
        <is>
          <t>实验资料/可溶性固形物.xlsx</t>
        </is>
      </c>
    </row>
    <row r="42">
      <c r="A42" s="16" t="inlineStr">
        <is>
          <t>可溶性固形物</t>
        </is>
      </c>
      <c r="B42" s="16" t="inlineStr">
        <is>
          <t>%</t>
        </is>
      </c>
      <c r="C42" s="30" t="n">
        <v>7</v>
      </c>
      <c r="D42" s="16" t="inlineStr">
        <is>
          <t>CK</t>
        </is>
      </c>
      <c r="E42" s="30" t="n">
        <v>2</v>
      </c>
      <c r="F42" s="31" t="n">
        <v>8.699999999999999</v>
      </c>
      <c r="G42" s="16" t="inlineStr">
        <is>
          <t>实验资料/可溶性固形物.xlsx</t>
        </is>
      </c>
    </row>
    <row r="43">
      <c r="A43" s="16" t="inlineStr">
        <is>
          <t>可溶性固形物</t>
        </is>
      </c>
      <c r="B43" s="16" t="inlineStr">
        <is>
          <t>%</t>
        </is>
      </c>
      <c r="C43" s="30" t="n">
        <v>7</v>
      </c>
      <c r="D43" s="16" t="inlineStr">
        <is>
          <t>CK</t>
        </is>
      </c>
      <c r="E43" s="30" t="n">
        <v>3</v>
      </c>
      <c r="F43" s="31" t="n">
        <v>8.4</v>
      </c>
      <c r="G43" s="16" t="inlineStr">
        <is>
          <t>实验资料/可溶性固形物.xlsx</t>
        </is>
      </c>
    </row>
    <row r="44">
      <c r="A44" s="16" t="inlineStr">
        <is>
          <t>可溶性固形物</t>
        </is>
      </c>
      <c r="B44" s="16" t="inlineStr">
        <is>
          <t>%</t>
        </is>
      </c>
      <c r="C44" s="30" t="n">
        <v>7</v>
      </c>
      <c r="D44" s="16" t="inlineStr">
        <is>
          <t>GA3</t>
        </is>
      </c>
      <c r="E44" s="30" t="n">
        <v>1</v>
      </c>
      <c r="F44" s="31" t="n">
        <v>7.4</v>
      </c>
      <c r="G44" s="16" t="inlineStr">
        <is>
          <t>实验资料/可溶性固形物.xlsx</t>
        </is>
      </c>
    </row>
    <row r="45">
      <c r="A45" s="16" t="inlineStr">
        <is>
          <t>可溶性固形物</t>
        </is>
      </c>
      <c r="B45" s="16" t="inlineStr">
        <is>
          <t>%</t>
        </is>
      </c>
      <c r="C45" s="30" t="n">
        <v>7</v>
      </c>
      <c r="D45" s="16" t="inlineStr">
        <is>
          <t>GA3</t>
        </is>
      </c>
      <c r="E45" s="30" t="n">
        <v>2</v>
      </c>
      <c r="F45" s="31" t="n">
        <v>7.6</v>
      </c>
      <c r="G45" s="16" t="inlineStr">
        <is>
          <t>实验资料/可溶性固形物.xlsx</t>
        </is>
      </c>
    </row>
    <row r="46">
      <c r="A46" s="16" t="inlineStr">
        <is>
          <t>可溶性固形物</t>
        </is>
      </c>
      <c r="B46" s="16" t="inlineStr">
        <is>
          <t>%</t>
        </is>
      </c>
      <c r="C46" s="30" t="n">
        <v>7</v>
      </c>
      <c r="D46" s="16" t="inlineStr">
        <is>
          <t>GA3</t>
        </is>
      </c>
      <c r="E46" s="30" t="n">
        <v>3</v>
      </c>
      <c r="F46" s="31" t="n">
        <v>7.5</v>
      </c>
      <c r="G46" s="16" t="inlineStr">
        <is>
          <t>实验资料/可溶性固形物.xlsx</t>
        </is>
      </c>
    </row>
    <row r="47">
      <c r="A47" s="16" t="inlineStr">
        <is>
          <t>可溶性固形物</t>
        </is>
      </c>
      <c r="B47" s="16" t="inlineStr">
        <is>
          <t>%</t>
        </is>
      </c>
      <c r="C47" s="30" t="n">
        <v>14</v>
      </c>
      <c r="D47" s="16" t="inlineStr">
        <is>
          <t>CK</t>
        </is>
      </c>
      <c r="E47" s="30" t="n">
        <v>1</v>
      </c>
      <c r="F47" s="31" t="n">
        <v>11.1</v>
      </c>
      <c r="G47" s="16" t="inlineStr">
        <is>
          <t>实验资料/可溶性固形物.xlsx</t>
        </is>
      </c>
    </row>
    <row r="48">
      <c r="A48" s="16" t="inlineStr">
        <is>
          <t>可溶性固形物</t>
        </is>
      </c>
      <c r="B48" s="16" t="inlineStr">
        <is>
          <t>%</t>
        </is>
      </c>
      <c r="C48" s="30" t="n">
        <v>14</v>
      </c>
      <c r="D48" s="16" t="inlineStr">
        <is>
          <t>CK</t>
        </is>
      </c>
      <c r="E48" s="30" t="n">
        <v>2</v>
      </c>
      <c r="F48" s="31" t="n">
        <v>10.8</v>
      </c>
      <c r="G48" s="16" t="inlineStr">
        <is>
          <t>实验资料/可溶性固形物.xlsx</t>
        </is>
      </c>
    </row>
    <row r="49">
      <c r="A49" s="16" t="inlineStr">
        <is>
          <t>可溶性固形物</t>
        </is>
      </c>
      <c r="B49" s="16" t="inlineStr">
        <is>
          <t>%</t>
        </is>
      </c>
      <c r="C49" s="30" t="n">
        <v>14</v>
      </c>
      <c r="D49" s="16" t="inlineStr">
        <is>
          <t>CK</t>
        </is>
      </c>
      <c r="E49" s="30" t="n">
        <v>3</v>
      </c>
      <c r="F49" s="31" t="n">
        <v>11.1</v>
      </c>
      <c r="G49" s="16" t="inlineStr">
        <is>
          <t>实验资料/可溶性固形物.xlsx</t>
        </is>
      </c>
    </row>
    <row r="50">
      <c r="A50" s="16" t="inlineStr">
        <is>
          <t>可溶性固形物</t>
        </is>
      </c>
      <c r="B50" s="16" t="inlineStr">
        <is>
          <t>%</t>
        </is>
      </c>
      <c r="C50" s="30" t="n">
        <v>14</v>
      </c>
      <c r="D50" s="16" t="inlineStr">
        <is>
          <t>GA3</t>
        </is>
      </c>
      <c r="E50" s="30" t="n">
        <v>1</v>
      </c>
      <c r="F50" s="31" t="n">
        <v>8.9</v>
      </c>
      <c r="G50" s="16" t="inlineStr">
        <is>
          <t>实验资料/可溶性固形物.xlsx</t>
        </is>
      </c>
    </row>
    <row r="51">
      <c r="A51" s="16" t="inlineStr">
        <is>
          <t>可溶性固形物</t>
        </is>
      </c>
      <c r="B51" s="16" t="inlineStr">
        <is>
          <t>%</t>
        </is>
      </c>
      <c r="C51" s="30" t="n">
        <v>14</v>
      </c>
      <c r="D51" s="16" t="inlineStr">
        <is>
          <t>GA3</t>
        </is>
      </c>
      <c r="E51" s="30" t="n">
        <v>2</v>
      </c>
      <c r="F51" s="31" t="n">
        <v>9.199999999999999</v>
      </c>
      <c r="G51" s="16" t="inlineStr">
        <is>
          <t>实验资料/可溶性固形物.xlsx</t>
        </is>
      </c>
    </row>
    <row r="52">
      <c r="A52" s="16" t="inlineStr">
        <is>
          <t>可溶性固形物</t>
        </is>
      </c>
      <c r="B52" s="16" t="inlineStr">
        <is>
          <t>%</t>
        </is>
      </c>
      <c r="C52" s="30" t="n">
        <v>14</v>
      </c>
      <c r="D52" s="16" t="inlineStr">
        <is>
          <t>GA3</t>
        </is>
      </c>
      <c r="E52" s="30" t="n">
        <v>3</v>
      </c>
      <c r="F52" s="31" t="n">
        <v>8.9</v>
      </c>
      <c r="G52" s="16" t="inlineStr">
        <is>
          <t>实验资料/可溶性固形物.xlsx</t>
        </is>
      </c>
    </row>
    <row r="53">
      <c r="A53" s="16" t="inlineStr">
        <is>
          <t>可溶性固形物</t>
        </is>
      </c>
      <c r="B53" s="16" t="inlineStr">
        <is>
          <t>%</t>
        </is>
      </c>
      <c r="C53" s="30" t="n">
        <v>21</v>
      </c>
      <c r="D53" s="16" t="inlineStr">
        <is>
          <t>CK</t>
        </is>
      </c>
      <c r="E53" s="30" t="n">
        <v>1</v>
      </c>
      <c r="F53" s="31" t="n">
        <v>13.4</v>
      </c>
      <c r="G53" s="16" t="inlineStr">
        <is>
          <t>实验资料/可溶性固形物.xlsx</t>
        </is>
      </c>
    </row>
    <row r="54">
      <c r="A54" s="16" t="inlineStr">
        <is>
          <t>可溶性固形物</t>
        </is>
      </c>
      <c r="B54" s="16" t="inlineStr">
        <is>
          <t>%</t>
        </is>
      </c>
      <c r="C54" s="30" t="n">
        <v>21</v>
      </c>
      <c r="D54" s="16" t="inlineStr">
        <is>
          <t>CK</t>
        </is>
      </c>
      <c r="E54" s="30" t="n">
        <v>2</v>
      </c>
      <c r="F54" s="31" t="n">
        <v>13.6</v>
      </c>
      <c r="G54" s="16" t="inlineStr">
        <is>
          <t>实验资料/可溶性固形物.xlsx</t>
        </is>
      </c>
    </row>
    <row r="55">
      <c r="A55" s="16" t="inlineStr">
        <is>
          <t>可溶性固形物</t>
        </is>
      </c>
      <c r="B55" s="16" t="inlineStr">
        <is>
          <t>%</t>
        </is>
      </c>
      <c r="C55" s="30" t="n">
        <v>21</v>
      </c>
      <c r="D55" s="16" t="inlineStr">
        <is>
          <t>CK</t>
        </is>
      </c>
      <c r="E55" s="30" t="n">
        <v>3</v>
      </c>
      <c r="F55" s="31" t="n">
        <v>13.5</v>
      </c>
      <c r="G55" s="16" t="inlineStr">
        <is>
          <t>实验资料/可溶性固形物.xlsx</t>
        </is>
      </c>
    </row>
    <row r="56">
      <c r="A56" s="16" t="inlineStr">
        <is>
          <t>可溶性固形物</t>
        </is>
      </c>
      <c r="B56" s="16" t="inlineStr">
        <is>
          <t>%</t>
        </is>
      </c>
      <c r="C56" s="30" t="n">
        <v>21</v>
      </c>
      <c r="D56" s="16" t="inlineStr">
        <is>
          <t>GA3</t>
        </is>
      </c>
      <c r="E56" s="30" t="n">
        <v>1</v>
      </c>
      <c r="F56" s="31" t="n">
        <v>10.4</v>
      </c>
      <c r="G56" s="16" t="inlineStr">
        <is>
          <t>实验资料/可溶性固形物.xlsx</t>
        </is>
      </c>
    </row>
    <row r="57">
      <c r="A57" s="16" t="inlineStr">
        <is>
          <t>可溶性固形物</t>
        </is>
      </c>
      <c r="B57" s="16" t="inlineStr">
        <is>
          <t>%</t>
        </is>
      </c>
      <c r="C57" s="30" t="n">
        <v>21</v>
      </c>
      <c r="D57" s="16" t="inlineStr">
        <is>
          <t>GA3</t>
        </is>
      </c>
      <c r="E57" s="30" t="n">
        <v>2</v>
      </c>
      <c r="F57" s="31" t="n">
        <v>10.6</v>
      </c>
      <c r="G57" s="16" t="inlineStr">
        <is>
          <t>实验资料/可溶性固形物.xlsx</t>
        </is>
      </c>
    </row>
    <row r="58">
      <c r="A58" s="16" t="inlineStr">
        <is>
          <t>可溶性固形物</t>
        </is>
      </c>
      <c r="B58" s="16" t="inlineStr">
        <is>
          <t>%</t>
        </is>
      </c>
      <c r="C58" s="30" t="n">
        <v>21</v>
      </c>
      <c r="D58" s="16" t="inlineStr">
        <is>
          <t>GA3</t>
        </is>
      </c>
      <c r="E58" s="30" t="n">
        <v>3</v>
      </c>
      <c r="F58" s="31" t="n">
        <v>10.5</v>
      </c>
      <c r="G58" s="16" t="inlineStr">
        <is>
          <t>实验资料/可溶性固形物.xlsx</t>
        </is>
      </c>
    </row>
    <row r="59">
      <c r="A59" s="16" t="inlineStr">
        <is>
          <t>可溶性固形物</t>
        </is>
      </c>
      <c r="B59" s="16" t="inlineStr">
        <is>
          <t>%</t>
        </is>
      </c>
      <c r="C59" s="30" t="n">
        <v>28</v>
      </c>
      <c r="D59" s="16" t="inlineStr">
        <is>
          <t>CK</t>
        </is>
      </c>
      <c r="E59" s="30" t="n">
        <v>1</v>
      </c>
      <c r="F59" s="31" t="n">
        <v>15.1</v>
      </c>
      <c r="G59" s="16" t="inlineStr">
        <is>
          <t>实验资料/可溶性固形物.xlsx</t>
        </is>
      </c>
    </row>
    <row r="60">
      <c r="A60" s="16" t="inlineStr">
        <is>
          <t>可溶性固形物</t>
        </is>
      </c>
      <c r="B60" s="16" t="inlineStr">
        <is>
          <t>%</t>
        </is>
      </c>
      <c r="C60" s="30" t="n">
        <v>28</v>
      </c>
      <c r="D60" s="16" t="inlineStr">
        <is>
          <t>CK</t>
        </is>
      </c>
      <c r="E60" s="30" t="n">
        <v>2</v>
      </c>
      <c r="F60" s="31" t="n">
        <v>14.9</v>
      </c>
      <c r="G60" s="16" t="inlineStr">
        <is>
          <t>实验资料/可溶性固形物.xlsx</t>
        </is>
      </c>
    </row>
    <row r="61">
      <c r="A61" s="16" t="inlineStr">
        <is>
          <t>可溶性固形物</t>
        </is>
      </c>
      <c r="B61" s="16" t="inlineStr">
        <is>
          <t>%</t>
        </is>
      </c>
      <c r="C61" s="30" t="n">
        <v>28</v>
      </c>
      <c r="D61" s="16" t="inlineStr">
        <is>
          <t>CK</t>
        </is>
      </c>
      <c r="E61" s="30" t="n">
        <v>3</v>
      </c>
      <c r="F61" s="31" t="n">
        <v>15</v>
      </c>
      <c r="G61" s="16" t="inlineStr">
        <is>
          <t>实验资料/可溶性固形物.xlsx</t>
        </is>
      </c>
    </row>
    <row r="62">
      <c r="A62" s="16" t="inlineStr">
        <is>
          <t>可溶性固形物</t>
        </is>
      </c>
      <c r="B62" s="16" t="inlineStr">
        <is>
          <t>%</t>
        </is>
      </c>
      <c r="C62" s="30" t="n">
        <v>28</v>
      </c>
      <c r="D62" s="16" t="inlineStr">
        <is>
          <t>GA3</t>
        </is>
      </c>
      <c r="E62" s="30" t="n">
        <v>1</v>
      </c>
      <c r="F62" s="31" t="n">
        <v>11.9</v>
      </c>
      <c r="G62" s="16" t="inlineStr">
        <is>
          <t>实验资料/可溶性固形物.xlsx</t>
        </is>
      </c>
    </row>
    <row r="63">
      <c r="A63" s="16" t="inlineStr">
        <is>
          <t>可溶性固形物</t>
        </is>
      </c>
      <c r="B63" s="16" t="inlineStr">
        <is>
          <t>%</t>
        </is>
      </c>
      <c r="C63" s="30" t="n">
        <v>28</v>
      </c>
      <c r="D63" s="16" t="inlineStr">
        <is>
          <t>GA3</t>
        </is>
      </c>
      <c r="E63" s="30" t="n">
        <v>2</v>
      </c>
      <c r="F63" s="31" t="n">
        <v>12.1</v>
      </c>
      <c r="G63" s="16" t="inlineStr">
        <is>
          <t>实验资料/可溶性固形物.xlsx</t>
        </is>
      </c>
    </row>
    <row r="64">
      <c r="A64" s="16" t="inlineStr">
        <is>
          <t>可溶性固形物</t>
        </is>
      </c>
      <c r="B64" s="16" t="inlineStr">
        <is>
          <t>%</t>
        </is>
      </c>
      <c r="C64" s="30" t="n">
        <v>28</v>
      </c>
      <c r="D64" s="16" t="inlineStr">
        <is>
          <t>GA3</t>
        </is>
      </c>
      <c r="E64" s="30" t="n">
        <v>3</v>
      </c>
      <c r="F64" s="31" t="n">
        <v>12</v>
      </c>
      <c r="G64" s="16" t="inlineStr">
        <is>
          <t>实验资料/可溶性固形物.xlsx</t>
        </is>
      </c>
    </row>
    <row r="65">
      <c r="A65" s="16" t="inlineStr">
        <is>
          <t>总酸</t>
        </is>
      </c>
      <c r="B65" s="16" t="inlineStr">
        <is>
          <t>%</t>
        </is>
      </c>
      <c r="C65" s="30" t="n">
        <v>0</v>
      </c>
      <c r="D65" s="16" t="inlineStr">
        <is>
          <t>CK</t>
        </is>
      </c>
      <c r="E65" s="30" t="n">
        <v>1</v>
      </c>
      <c r="F65" s="31" t="n">
        <v>1.2</v>
      </c>
      <c r="G65" s="16" t="inlineStr">
        <is>
          <t>实验资料/总酸.xlsx</t>
        </is>
      </c>
    </row>
    <row r="66">
      <c r="A66" s="16" t="inlineStr">
        <is>
          <t>总酸</t>
        </is>
      </c>
      <c r="B66" s="16" t="inlineStr">
        <is>
          <t>%</t>
        </is>
      </c>
      <c r="C66" s="30" t="n">
        <v>0</v>
      </c>
      <c r="D66" s="16" t="inlineStr">
        <is>
          <t>CK</t>
        </is>
      </c>
      <c r="E66" s="30" t="n">
        <v>2</v>
      </c>
      <c r="F66" s="31" t="n">
        <v>1.21</v>
      </c>
      <c r="G66" s="16" t="inlineStr">
        <is>
          <t>实验资料/总酸.xlsx</t>
        </is>
      </c>
    </row>
    <row r="67">
      <c r="A67" s="16" t="inlineStr">
        <is>
          <t>总酸</t>
        </is>
      </c>
      <c r="B67" s="16" t="inlineStr">
        <is>
          <t>%</t>
        </is>
      </c>
      <c r="C67" s="30" t="n">
        <v>0</v>
      </c>
      <c r="D67" s="16" t="inlineStr">
        <is>
          <t>CK</t>
        </is>
      </c>
      <c r="E67" s="30" t="n">
        <v>3</v>
      </c>
      <c r="F67" s="31" t="n">
        <v>1.19</v>
      </c>
      <c r="G67" s="16" t="inlineStr">
        <is>
          <t>实验资料/总酸.xlsx</t>
        </is>
      </c>
    </row>
    <row r="68">
      <c r="A68" s="16" t="inlineStr">
        <is>
          <t>总酸</t>
        </is>
      </c>
      <c r="B68" s="16" t="inlineStr">
        <is>
          <t>%</t>
        </is>
      </c>
      <c r="C68" s="30" t="n">
        <v>0</v>
      </c>
      <c r="D68" s="16" t="inlineStr">
        <is>
          <t>GA3</t>
        </is>
      </c>
      <c r="E68" s="30" t="n">
        <v>1</v>
      </c>
      <c r="F68" s="31" t="n">
        <v>1.2</v>
      </c>
      <c r="G68" s="16" t="inlineStr">
        <is>
          <t>实验资料/总酸.xlsx</t>
        </is>
      </c>
    </row>
    <row r="69">
      <c r="A69" s="16" t="inlineStr">
        <is>
          <t>总酸</t>
        </is>
      </c>
      <c r="B69" s="16" t="inlineStr">
        <is>
          <t>%</t>
        </is>
      </c>
      <c r="C69" s="30" t="n">
        <v>0</v>
      </c>
      <c r="D69" s="16" t="inlineStr">
        <is>
          <t>GA3</t>
        </is>
      </c>
      <c r="E69" s="30" t="n">
        <v>2</v>
      </c>
      <c r="F69" s="31" t="n">
        <v>1.2</v>
      </c>
      <c r="G69" s="16" t="inlineStr">
        <is>
          <t>实验资料/总酸.xlsx</t>
        </is>
      </c>
    </row>
    <row r="70">
      <c r="A70" s="16" t="inlineStr">
        <is>
          <t>总酸</t>
        </is>
      </c>
      <c r="B70" s="16" t="inlineStr">
        <is>
          <t>%</t>
        </is>
      </c>
      <c r="C70" s="30" t="n">
        <v>0</v>
      </c>
      <c r="D70" s="16" t="inlineStr">
        <is>
          <t>GA3</t>
        </is>
      </c>
      <c r="E70" s="30" t="n">
        <v>3</v>
      </c>
      <c r="F70" s="31" t="n">
        <v>1.2</v>
      </c>
      <c r="G70" s="16" t="inlineStr">
        <is>
          <t>实验资料/总酸.xlsx</t>
        </is>
      </c>
    </row>
    <row r="71">
      <c r="A71" s="16" t="inlineStr">
        <is>
          <t>总酸</t>
        </is>
      </c>
      <c r="B71" s="16" t="inlineStr">
        <is>
          <t>%</t>
        </is>
      </c>
      <c r="C71" s="30" t="n">
        <v>7</v>
      </c>
      <c r="D71" s="16" t="inlineStr">
        <is>
          <t>CK</t>
        </is>
      </c>
      <c r="E71" s="30" t="n">
        <v>1</v>
      </c>
      <c r="F71" s="31" t="n">
        <v>0.99</v>
      </c>
      <c r="G71" s="16" t="inlineStr">
        <is>
          <t>实验资料/总酸.xlsx</t>
        </is>
      </c>
    </row>
    <row r="72">
      <c r="A72" s="16" t="inlineStr">
        <is>
          <t>总酸</t>
        </is>
      </c>
      <c r="B72" s="16" t="inlineStr">
        <is>
          <t>%</t>
        </is>
      </c>
      <c r="C72" s="30" t="n">
        <v>7</v>
      </c>
      <c r="D72" s="16" t="inlineStr">
        <is>
          <t>CK</t>
        </is>
      </c>
      <c r="E72" s="30" t="n">
        <v>2</v>
      </c>
      <c r="F72" s="31" t="n">
        <v>1.01</v>
      </c>
      <c r="G72" s="16" t="inlineStr">
        <is>
          <t>实验资料/总酸.xlsx</t>
        </is>
      </c>
    </row>
    <row r="73">
      <c r="A73" s="16" t="inlineStr">
        <is>
          <t>总酸</t>
        </is>
      </c>
      <c r="B73" s="16" t="inlineStr">
        <is>
          <t>%</t>
        </is>
      </c>
      <c r="C73" s="30" t="n">
        <v>7</v>
      </c>
      <c r="D73" s="16" t="inlineStr">
        <is>
          <t>CK</t>
        </is>
      </c>
      <c r="E73" s="30" t="n">
        <v>3</v>
      </c>
      <c r="F73" s="31" t="n">
        <v>1</v>
      </c>
      <c r="G73" s="16" t="inlineStr">
        <is>
          <t>实验资料/总酸.xlsx</t>
        </is>
      </c>
    </row>
    <row r="74">
      <c r="A74" s="16" t="inlineStr">
        <is>
          <t>总酸</t>
        </is>
      </c>
      <c r="B74" s="16" t="inlineStr">
        <is>
          <t>%</t>
        </is>
      </c>
      <c r="C74" s="30" t="n">
        <v>7</v>
      </c>
      <c r="D74" s="16" t="inlineStr">
        <is>
          <t>GA3</t>
        </is>
      </c>
      <c r="E74" s="30" t="n">
        <v>1</v>
      </c>
      <c r="F74" s="31" t="n">
        <v>1.14</v>
      </c>
      <c r="G74" s="16" t="inlineStr">
        <is>
          <t>实验资料/总酸.xlsx</t>
        </is>
      </c>
    </row>
    <row r="75">
      <c r="A75" s="16" t="inlineStr">
        <is>
          <t>总酸</t>
        </is>
      </c>
      <c r="B75" s="16" t="inlineStr">
        <is>
          <t>%</t>
        </is>
      </c>
      <c r="C75" s="30" t="n">
        <v>7</v>
      </c>
      <c r="D75" s="16" t="inlineStr">
        <is>
          <t>GA3</t>
        </is>
      </c>
      <c r="E75" s="30" t="n">
        <v>2</v>
      </c>
      <c r="F75" s="31" t="n">
        <v>1.16</v>
      </c>
      <c r="G75" s="16" t="inlineStr">
        <is>
          <t>实验资料/总酸.xlsx</t>
        </is>
      </c>
    </row>
    <row r="76">
      <c r="A76" s="16" t="inlineStr">
        <is>
          <t>总酸</t>
        </is>
      </c>
      <c r="B76" s="16" t="inlineStr">
        <is>
          <t>%</t>
        </is>
      </c>
      <c r="C76" s="30" t="n">
        <v>7</v>
      </c>
      <c r="D76" s="16" t="inlineStr">
        <is>
          <t>GA3</t>
        </is>
      </c>
      <c r="E76" s="30" t="n">
        <v>3</v>
      </c>
      <c r="F76" s="31" t="n">
        <v>1.15</v>
      </c>
      <c r="G76" s="16" t="inlineStr">
        <is>
          <t>实验资料/总酸.xlsx</t>
        </is>
      </c>
    </row>
    <row r="77">
      <c r="A77" s="16" t="inlineStr">
        <is>
          <t>总酸</t>
        </is>
      </c>
      <c r="B77" s="16" t="inlineStr">
        <is>
          <t>%</t>
        </is>
      </c>
      <c r="C77" s="30" t="n">
        <v>14</v>
      </c>
      <c r="D77" s="16" t="inlineStr">
        <is>
          <t>CK</t>
        </is>
      </c>
      <c r="E77" s="30" t="n">
        <v>1</v>
      </c>
      <c r="F77" s="31" t="n">
        <v>0.84</v>
      </c>
      <c r="G77" s="16" t="inlineStr">
        <is>
          <t>实验资料/总酸.xlsx</t>
        </is>
      </c>
    </row>
    <row r="78">
      <c r="A78" s="16" t="inlineStr">
        <is>
          <t>总酸</t>
        </is>
      </c>
      <c r="B78" s="16" t="inlineStr">
        <is>
          <t>%</t>
        </is>
      </c>
      <c r="C78" s="30" t="n">
        <v>14</v>
      </c>
      <c r="D78" s="16" t="inlineStr">
        <is>
          <t>CK</t>
        </is>
      </c>
      <c r="E78" s="30" t="n">
        <v>2</v>
      </c>
      <c r="F78" s="31" t="n">
        <v>0.86</v>
      </c>
      <c r="G78" s="16" t="inlineStr">
        <is>
          <t>实验资料/总酸.xlsx</t>
        </is>
      </c>
    </row>
    <row r="79">
      <c r="A79" s="16" t="inlineStr">
        <is>
          <t>总酸</t>
        </is>
      </c>
      <c r="B79" s="16" t="inlineStr">
        <is>
          <t>%</t>
        </is>
      </c>
      <c r="C79" s="30" t="n">
        <v>14</v>
      </c>
      <c r="D79" s="16" t="inlineStr">
        <is>
          <t>CK</t>
        </is>
      </c>
      <c r="E79" s="30" t="n">
        <v>3</v>
      </c>
      <c r="F79" s="31" t="n">
        <v>0.85</v>
      </c>
      <c r="G79" s="16" t="inlineStr">
        <is>
          <t>实验资料/总酸.xlsx</t>
        </is>
      </c>
    </row>
    <row r="80">
      <c r="A80" s="16" t="inlineStr">
        <is>
          <t>总酸</t>
        </is>
      </c>
      <c r="B80" s="16" t="inlineStr">
        <is>
          <t>%</t>
        </is>
      </c>
      <c r="C80" s="30" t="n">
        <v>14</v>
      </c>
      <c r="D80" s="16" t="inlineStr">
        <is>
          <t>GA3</t>
        </is>
      </c>
      <c r="E80" s="30" t="n">
        <v>1</v>
      </c>
      <c r="F80" s="31" t="n">
        <v>1.09</v>
      </c>
      <c r="G80" s="16" t="inlineStr">
        <is>
          <t>实验资料/总酸.xlsx</t>
        </is>
      </c>
    </row>
    <row r="81">
      <c r="A81" s="16" t="inlineStr">
        <is>
          <t>总酸</t>
        </is>
      </c>
      <c r="B81" s="16" t="inlineStr">
        <is>
          <t>%</t>
        </is>
      </c>
      <c r="C81" s="30" t="n">
        <v>14</v>
      </c>
      <c r="D81" s="16" t="inlineStr">
        <is>
          <t>GA3</t>
        </is>
      </c>
      <c r="E81" s="30" t="n">
        <v>2</v>
      </c>
      <c r="F81" s="31" t="n">
        <v>1.11</v>
      </c>
      <c r="G81" s="16" t="inlineStr">
        <is>
          <t>实验资料/总酸.xlsx</t>
        </is>
      </c>
    </row>
    <row r="82">
      <c r="A82" s="16" t="inlineStr">
        <is>
          <t>总酸</t>
        </is>
      </c>
      <c r="B82" s="16" t="inlineStr">
        <is>
          <t>%</t>
        </is>
      </c>
      <c r="C82" s="30" t="n">
        <v>14</v>
      </c>
      <c r="D82" s="16" t="inlineStr">
        <is>
          <t>GA3</t>
        </is>
      </c>
      <c r="E82" s="30" t="n">
        <v>3</v>
      </c>
      <c r="F82" s="31" t="n">
        <v>1.1</v>
      </c>
      <c r="G82" s="16" t="inlineStr">
        <is>
          <t>实验资料/总酸.xlsx</t>
        </is>
      </c>
    </row>
    <row r="83">
      <c r="A83" s="16" t="inlineStr">
        <is>
          <t>总酸</t>
        </is>
      </c>
      <c r="B83" s="16" t="inlineStr">
        <is>
          <t>%</t>
        </is>
      </c>
      <c r="C83" s="30" t="n">
        <v>21</v>
      </c>
      <c r="D83" s="16" t="inlineStr">
        <is>
          <t>CK</t>
        </is>
      </c>
      <c r="E83" s="30" t="n">
        <v>1</v>
      </c>
      <c r="F83" s="31" t="n">
        <v>0.6899999999999999</v>
      </c>
      <c r="G83" s="16" t="inlineStr">
        <is>
          <t>实验资料/总酸.xlsx</t>
        </is>
      </c>
    </row>
    <row r="84">
      <c r="A84" s="16" t="inlineStr">
        <is>
          <t>总酸</t>
        </is>
      </c>
      <c r="B84" s="16" t="inlineStr">
        <is>
          <t>%</t>
        </is>
      </c>
      <c r="C84" s="30" t="n">
        <v>21</v>
      </c>
      <c r="D84" s="16" t="inlineStr">
        <is>
          <t>CK</t>
        </is>
      </c>
      <c r="E84" s="30" t="n">
        <v>2</v>
      </c>
      <c r="F84" s="31" t="n">
        <v>0.71</v>
      </c>
      <c r="G84" s="16" t="inlineStr">
        <is>
          <t>实验资料/总酸.xlsx</t>
        </is>
      </c>
    </row>
    <row r="85">
      <c r="A85" s="16" t="inlineStr">
        <is>
          <t>总酸</t>
        </is>
      </c>
      <c r="B85" s="16" t="inlineStr">
        <is>
          <t>%</t>
        </is>
      </c>
      <c r="C85" s="30" t="n">
        <v>21</v>
      </c>
      <c r="D85" s="16" t="inlineStr">
        <is>
          <t>CK</t>
        </is>
      </c>
      <c r="E85" s="30" t="n">
        <v>3</v>
      </c>
      <c r="F85" s="31" t="n">
        <v>0.7</v>
      </c>
      <c r="G85" s="16" t="inlineStr">
        <is>
          <t>实验资料/总酸.xlsx</t>
        </is>
      </c>
    </row>
    <row r="86">
      <c r="A86" s="16" t="inlineStr">
        <is>
          <t>总酸</t>
        </is>
      </c>
      <c r="B86" s="16" t="inlineStr">
        <is>
          <t>%</t>
        </is>
      </c>
      <c r="C86" s="30" t="n">
        <v>21</v>
      </c>
      <c r="D86" s="16" t="inlineStr">
        <is>
          <t>GA3</t>
        </is>
      </c>
      <c r="E86" s="30" t="n">
        <v>1</v>
      </c>
      <c r="F86" s="31" t="n">
        <v>1.04</v>
      </c>
      <c r="G86" s="16" t="inlineStr">
        <is>
          <t>实验资料/总酸.xlsx</t>
        </is>
      </c>
    </row>
    <row r="87">
      <c r="A87" s="16" t="inlineStr">
        <is>
          <t>总酸</t>
        </is>
      </c>
      <c r="B87" s="16" t="inlineStr">
        <is>
          <t>%</t>
        </is>
      </c>
      <c r="C87" s="30" t="n">
        <v>21</v>
      </c>
      <c r="D87" s="16" t="inlineStr">
        <is>
          <t>GA3</t>
        </is>
      </c>
      <c r="E87" s="30" t="n">
        <v>2</v>
      </c>
      <c r="F87" s="31" t="n">
        <v>1.06</v>
      </c>
      <c r="G87" s="16" t="inlineStr">
        <is>
          <t>实验资料/总酸.xlsx</t>
        </is>
      </c>
    </row>
    <row r="88">
      <c r="A88" s="16" t="inlineStr">
        <is>
          <t>总酸</t>
        </is>
      </c>
      <c r="B88" s="16" t="inlineStr">
        <is>
          <t>%</t>
        </is>
      </c>
      <c r="C88" s="30" t="n">
        <v>21</v>
      </c>
      <c r="D88" s="16" t="inlineStr">
        <is>
          <t>GA3</t>
        </is>
      </c>
      <c r="E88" s="30" t="n">
        <v>3</v>
      </c>
      <c r="F88" s="31" t="n">
        <v>1.05</v>
      </c>
      <c r="G88" s="16" t="inlineStr">
        <is>
          <t>实验资料/总酸.xlsx</t>
        </is>
      </c>
    </row>
    <row r="89">
      <c r="A89" s="16" t="inlineStr">
        <is>
          <t>总酸</t>
        </is>
      </c>
      <c r="B89" s="16" t="inlineStr">
        <is>
          <t>%</t>
        </is>
      </c>
      <c r="C89" s="30" t="n">
        <v>28</v>
      </c>
      <c r="D89" s="16" t="inlineStr">
        <is>
          <t>CK</t>
        </is>
      </c>
      <c r="E89" s="30" t="n">
        <v>1</v>
      </c>
      <c r="F89" s="31" t="n">
        <v>0.59</v>
      </c>
      <c r="G89" s="16" t="inlineStr">
        <is>
          <t>实验资料/总酸.xlsx</t>
        </is>
      </c>
    </row>
    <row r="90">
      <c r="A90" s="16" t="inlineStr">
        <is>
          <t>总酸</t>
        </is>
      </c>
      <c r="B90" s="16" t="inlineStr">
        <is>
          <t>%</t>
        </is>
      </c>
      <c r="C90" s="30" t="n">
        <v>28</v>
      </c>
      <c r="D90" s="16" t="inlineStr">
        <is>
          <t>CK</t>
        </is>
      </c>
      <c r="E90" s="30" t="n">
        <v>2</v>
      </c>
      <c r="F90" s="31" t="n">
        <v>0.61</v>
      </c>
      <c r="G90" s="16" t="inlineStr">
        <is>
          <t>实验资料/总酸.xlsx</t>
        </is>
      </c>
    </row>
    <row r="91">
      <c r="A91" s="16" t="inlineStr">
        <is>
          <t>总酸</t>
        </is>
      </c>
      <c r="B91" s="16" t="inlineStr">
        <is>
          <t>%</t>
        </is>
      </c>
      <c r="C91" s="30" t="n">
        <v>28</v>
      </c>
      <c r="D91" s="16" t="inlineStr">
        <is>
          <t>CK</t>
        </is>
      </c>
      <c r="E91" s="30" t="n">
        <v>3</v>
      </c>
      <c r="F91" s="31" t="n">
        <v>0.6</v>
      </c>
      <c r="G91" s="16" t="inlineStr">
        <is>
          <t>实验资料/总酸.xlsx</t>
        </is>
      </c>
    </row>
    <row r="92">
      <c r="A92" s="16" t="inlineStr">
        <is>
          <t>总酸</t>
        </is>
      </c>
      <c r="B92" s="16" t="inlineStr">
        <is>
          <t>%</t>
        </is>
      </c>
      <c r="C92" s="30" t="n">
        <v>28</v>
      </c>
      <c r="D92" s="16" t="inlineStr">
        <is>
          <t>GA3</t>
        </is>
      </c>
      <c r="E92" s="30" t="n">
        <v>1</v>
      </c>
      <c r="F92" s="31" t="n">
        <v>0.99</v>
      </c>
      <c r="G92" s="16" t="inlineStr">
        <is>
          <t>实验资料/总酸.xlsx</t>
        </is>
      </c>
    </row>
    <row r="93">
      <c r="A93" s="16" t="inlineStr">
        <is>
          <t>总酸</t>
        </is>
      </c>
      <c r="B93" s="16" t="inlineStr">
        <is>
          <t>%</t>
        </is>
      </c>
      <c r="C93" s="30" t="n">
        <v>28</v>
      </c>
      <c r="D93" s="16" t="inlineStr">
        <is>
          <t>GA3</t>
        </is>
      </c>
      <c r="E93" s="30" t="n">
        <v>2</v>
      </c>
      <c r="F93" s="31" t="n">
        <v>1.01</v>
      </c>
      <c r="G93" s="16" t="inlineStr">
        <is>
          <t>实验资料/总酸.xlsx</t>
        </is>
      </c>
    </row>
    <row r="94">
      <c r="A94" s="16" t="inlineStr">
        <is>
          <t>总酸</t>
        </is>
      </c>
      <c r="B94" s="16" t="inlineStr">
        <is>
          <t>%</t>
        </is>
      </c>
      <c r="C94" s="30" t="n">
        <v>28</v>
      </c>
      <c r="D94" s="16" t="inlineStr">
        <is>
          <t>GA3</t>
        </is>
      </c>
      <c r="E94" s="30" t="n">
        <v>3</v>
      </c>
      <c r="F94" s="31" t="n">
        <v>1</v>
      </c>
      <c r="G94" s="16" t="inlineStr">
        <is>
          <t>实验资料/总酸.xlsx</t>
        </is>
      </c>
    </row>
    <row r="95">
      <c r="A95" s="16" t="inlineStr">
        <is>
          <t>乙烯释放速率</t>
        </is>
      </c>
      <c r="B95" s="16" t="inlineStr">
        <is>
          <t>μL·kg⁻¹·h⁻¹</t>
        </is>
      </c>
      <c r="C95" s="30" t="n">
        <v>0</v>
      </c>
      <c r="D95" s="16" t="inlineStr">
        <is>
          <t>CK</t>
        </is>
      </c>
      <c r="E95" s="30" t="n">
        <v>1</v>
      </c>
      <c r="F95" s="31" t="n">
        <v>0</v>
      </c>
      <c r="G95" s="16" t="inlineStr">
        <is>
          <t>实验资料/乙烯释放速率.xlsx</t>
        </is>
      </c>
    </row>
    <row r="96">
      <c r="A96" s="16" t="inlineStr">
        <is>
          <t>乙烯释放速率</t>
        </is>
      </c>
      <c r="B96" s="16" t="inlineStr">
        <is>
          <t>μL·kg⁻¹·h⁻¹</t>
        </is>
      </c>
      <c r="C96" s="30" t="n">
        <v>0</v>
      </c>
      <c r="D96" s="16" t="inlineStr">
        <is>
          <t>CK</t>
        </is>
      </c>
      <c r="E96" s="30" t="n">
        <v>2</v>
      </c>
      <c r="F96" s="31" t="n">
        <v>0</v>
      </c>
      <c r="G96" s="16" t="inlineStr">
        <is>
          <t>实验资料/乙烯释放速率.xlsx</t>
        </is>
      </c>
    </row>
    <row r="97">
      <c r="A97" s="16" t="inlineStr">
        <is>
          <t>乙烯释放速率</t>
        </is>
      </c>
      <c r="B97" s="16" t="inlineStr">
        <is>
          <t>μL·kg⁻¹·h⁻¹</t>
        </is>
      </c>
      <c r="C97" s="30" t="n">
        <v>0</v>
      </c>
      <c r="D97" s="16" t="inlineStr">
        <is>
          <t>CK</t>
        </is>
      </c>
      <c r="E97" s="30" t="n">
        <v>3</v>
      </c>
      <c r="F97" s="31" t="n">
        <v>0</v>
      </c>
      <c r="G97" s="16" t="inlineStr">
        <is>
          <t>实验资料/乙烯释放速率.xlsx</t>
        </is>
      </c>
    </row>
    <row r="98">
      <c r="A98" s="16" t="inlineStr">
        <is>
          <t>乙烯释放速率</t>
        </is>
      </c>
      <c r="B98" s="16" t="inlineStr">
        <is>
          <t>μL·kg⁻¹·h⁻¹</t>
        </is>
      </c>
      <c r="C98" s="30" t="n">
        <v>0</v>
      </c>
      <c r="D98" s="16" t="inlineStr">
        <is>
          <t>GA3</t>
        </is>
      </c>
      <c r="E98" s="30" t="n">
        <v>1</v>
      </c>
      <c r="F98" s="31" t="n">
        <v>0</v>
      </c>
      <c r="G98" s="16" t="inlineStr">
        <is>
          <t>实验资料/乙烯释放速率.xlsx</t>
        </is>
      </c>
    </row>
    <row r="99">
      <c r="A99" s="16" t="inlineStr">
        <is>
          <t>乙烯释放速率</t>
        </is>
      </c>
      <c r="B99" s="16" t="inlineStr">
        <is>
          <t>μL·kg⁻¹·h⁻¹</t>
        </is>
      </c>
      <c r="C99" s="30" t="n">
        <v>0</v>
      </c>
      <c r="D99" s="16" t="inlineStr">
        <is>
          <t>GA3</t>
        </is>
      </c>
      <c r="E99" s="30" t="n">
        <v>2</v>
      </c>
      <c r="F99" s="31" t="n">
        <v>0</v>
      </c>
      <c r="G99" s="16" t="inlineStr">
        <is>
          <t>实验资料/乙烯释放速率.xlsx</t>
        </is>
      </c>
    </row>
    <row r="100">
      <c r="A100" s="16" t="inlineStr">
        <is>
          <t>乙烯释放速率</t>
        </is>
      </c>
      <c r="B100" s="16" t="inlineStr">
        <is>
          <t>μL·kg⁻¹·h⁻¹</t>
        </is>
      </c>
      <c r="C100" s="30" t="n">
        <v>0</v>
      </c>
      <c r="D100" s="16" t="inlineStr">
        <is>
          <t>GA3</t>
        </is>
      </c>
      <c r="E100" s="30" t="n">
        <v>3</v>
      </c>
      <c r="F100" s="31" t="n">
        <v>0</v>
      </c>
      <c r="G100" s="16" t="inlineStr">
        <is>
          <t>实验资料/乙烯释放速率.xlsx</t>
        </is>
      </c>
    </row>
    <row r="101">
      <c r="A101" s="16" t="inlineStr">
        <is>
          <t>乙烯释放速率</t>
        </is>
      </c>
      <c r="B101" s="16" t="inlineStr">
        <is>
          <t>μL·kg⁻¹·h⁻¹</t>
        </is>
      </c>
      <c r="C101" s="30" t="n">
        <v>7</v>
      </c>
      <c r="D101" s="16" t="inlineStr">
        <is>
          <t>CK</t>
        </is>
      </c>
      <c r="E101" s="30" t="n">
        <v>1</v>
      </c>
      <c r="F101" s="31" t="n">
        <v>0.5</v>
      </c>
      <c r="G101" s="16" t="inlineStr">
        <is>
          <t>实验资料/乙烯释放速率.xlsx</t>
        </is>
      </c>
    </row>
    <row r="102">
      <c r="A102" s="16" t="inlineStr">
        <is>
          <t>乙烯释放速率</t>
        </is>
      </c>
      <c r="B102" s="16" t="inlineStr">
        <is>
          <t>μL·kg⁻¹·h⁻¹</t>
        </is>
      </c>
      <c r="C102" s="30" t="n">
        <v>7</v>
      </c>
      <c r="D102" s="16" t="inlineStr">
        <is>
          <t>CK</t>
        </is>
      </c>
      <c r="E102" s="30" t="n">
        <v>2</v>
      </c>
      <c r="F102" s="31" t="n">
        <v>0.6</v>
      </c>
      <c r="G102" s="16" t="inlineStr">
        <is>
          <t>实验资料/乙烯释放速率.xlsx</t>
        </is>
      </c>
    </row>
    <row r="103">
      <c r="A103" s="16" t="inlineStr">
        <is>
          <t>乙烯释放速率</t>
        </is>
      </c>
      <c r="B103" s="16" t="inlineStr">
        <is>
          <t>μL·kg⁻¹·h⁻¹</t>
        </is>
      </c>
      <c r="C103" s="30" t="n">
        <v>7</v>
      </c>
      <c r="D103" s="16" t="inlineStr">
        <is>
          <t>CK</t>
        </is>
      </c>
      <c r="E103" s="30" t="n">
        <v>3</v>
      </c>
      <c r="F103" s="31" t="n">
        <v>0.4</v>
      </c>
      <c r="G103" s="16" t="inlineStr">
        <is>
          <t>实验资料/乙烯释放速率.xlsx</t>
        </is>
      </c>
    </row>
    <row r="104">
      <c r="A104" s="16" t="inlineStr">
        <is>
          <t>乙烯释放速率</t>
        </is>
      </c>
      <c r="B104" s="16" t="inlineStr">
        <is>
          <t>μL·kg⁻¹·h⁻¹</t>
        </is>
      </c>
      <c r="C104" s="30" t="n">
        <v>7</v>
      </c>
      <c r="D104" s="16" t="inlineStr">
        <is>
          <t>GA3</t>
        </is>
      </c>
      <c r="E104" s="30" t="n">
        <v>1</v>
      </c>
      <c r="F104" s="31" t="n">
        <v>0</v>
      </c>
      <c r="G104" s="16" t="inlineStr">
        <is>
          <t>实验资料/乙烯释放速率.xlsx</t>
        </is>
      </c>
    </row>
    <row r="105">
      <c r="A105" s="16" t="inlineStr">
        <is>
          <t>乙烯释放速率</t>
        </is>
      </c>
      <c r="B105" s="16" t="inlineStr">
        <is>
          <t>μL·kg⁻¹·h⁻¹</t>
        </is>
      </c>
      <c r="C105" s="30" t="n">
        <v>7</v>
      </c>
      <c r="D105" s="16" t="inlineStr">
        <is>
          <t>GA3</t>
        </is>
      </c>
      <c r="E105" s="30" t="n">
        <v>2</v>
      </c>
      <c r="F105" s="31" t="n">
        <v>0</v>
      </c>
      <c r="G105" s="16" t="inlineStr">
        <is>
          <t>实验资料/乙烯释放速率.xlsx</t>
        </is>
      </c>
    </row>
    <row r="106">
      <c r="A106" s="16" t="inlineStr">
        <is>
          <t>乙烯释放速率</t>
        </is>
      </c>
      <c r="B106" s="16" t="inlineStr">
        <is>
          <t>μL·kg⁻¹·h⁻¹</t>
        </is>
      </c>
      <c r="C106" s="30" t="n">
        <v>7</v>
      </c>
      <c r="D106" s="16" t="inlineStr">
        <is>
          <t>GA3</t>
        </is>
      </c>
      <c r="E106" s="30" t="n">
        <v>3</v>
      </c>
      <c r="F106" s="31" t="n">
        <v>0</v>
      </c>
      <c r="G106" s="16" t="inlineStr">
        <is>
          <t>实验资料/乙烯释放速率.xlsx</t>
        </is>
      </c>
    </row>
    <row r="107">
      <c r="A107" s="16" t="inlineStr">
        <is>
          <t>乙烯释放速率</t>
        </is>
      </c>
      <c r="B107" s="16" t="inlineStr">
        <is>
          <t>μL·kg⁻¹·h⁻¹</t>
        </is>
      </c>
      <c r="C107" s="30" t="n">
        <v>14</v>
      </c>
      <c r="D107" s="16" t="inlineStr">
        <is>
          <t>CK</t>
        </is>
      </c>
      <c r="E107" s="30" t="n">
        <v>1</v>
      </c>
      <c r="F107" s="31" t="n">
        <v>0.9</v>
      </c>
      <c r="G107" s="16" t="inlineStr">
        <is>
          <t>实验资料/乙烯释放速率.xlsx</t>
        </is>
      </c>
    </row>
    <row r="108">
      <c r="A108" s="16" t="inlineStr">
        <is>
          <t>乙烯释放速率</t>
        </is>
      </c>
      <c r="B108" s="16" t="inlineStr">
        <is>
          <t>μL·kg⁻¹·h⁻¹</t>
        </is>
      </c>
      <c r="C108" s="30" t="n">
        <v>14</v>
      </c>
      <c r="D108" s="16" t="inlineStr">
        <is>
          <t>CK</t>
        </is>
      </c>
      <c r="E108" s="30" t="n">
        <v>2</v>
      </c>
      <c r="F108" s="31" t="n">
        <v>1.1</v>
      </c>
      <c r="G108" s="16" t="inlineStr">
        <is>
          <t>实验资料/乙烯释放速率.xlsx</t>
        </is>
      </c>
    </row>
    <row r="109">
      <c r="A109" s="16" t="inlineStr">
        <is>
          <t>乙烯释放速率</t>
        </is>
      </c>
      <c r="B109" s="16" t="inlineStr">
        <is>
          <t>μL·kg⁻¹·h⁻¹</t>
        </is>
      </c>
      <c r="C109" s="30" t="n">
        <v>14</v>
      </c>
      <c r="D109" s="16" t="inlineStr">
        <is>
          <t>CK</t>
        </is>
      </c>
      <c r="E109" s="30" t="n">
        <v>3</v>
      </c>
      <c r="F109" s="31" t="n">
        <v>1</v>
      </c>
      <c r="G109" s="16" t="inlineStr">
        <is>
          <t>实验资料/乙烯释放速率.xlsx</t>
        </is>
      </c>
    </row>
    <row r="110">
      <c r="A110" s="16" t="inlineStr">
        <is>
          <t>乙烯释放速率</t>
        </is>
      </c>
      <c r="B110" s="16" t="inlineStr">
        <is>
          <t>μL·kg⁻¹·h⁻¹</t>
        </is>
      </c>
      <c r="C110" s="30" t="n">
        <v>14</v>
      </c>
      <c r="D110" s="16" t="inlineStr">
        <is>
          <t>GA3</t>
        </is>
      </c>
      <c r="E110" s="30" t="n">
        <v>1</v>
      </c>
      <c r="F110" s="31" t="n">
        <v>0</v>
      </c>
      <c r="G110" s="16" t="inlineStr">
        <is>
          <t>实验资料/乙烯释放速率.xlsx</t>
        </is>
      </c>
    </row>
    <row r="111">
      <c r="A111" s="16" t="inlineStr">
        <is>
          <t>乙烯释放速率</t>
        </is>
      </c>
      <c r="B111" s="16" t="inlineStr">
        <is>
          <t>μL·kg⁻¹·h⁻¹</t>
        </is>
      </c>
      <c r="C111" s="30" t="n">
        <v>14</v>
      </c>
      <c r="D111" s="16" t="inlineStr">
        <is>
          <t>GA3</t>
        </is>
      </c>
      <c r="E111" s="30" t="n">
        <v>2</v>
      </c>
      <c r="F111" s="31" t="n">
        <v>0</v>
      </c>
      <c r="G111" s="16" t="inlineStr">
        <is>
          <t>实验资料/乙烯释放速率.xlsx</t>
        </is>
      </c>
    </row>
    <row r="112">
      <c r="A112" s="16" t="inlineStr">
        <is>
          <t>乙烯释放速率</t>
        </is>
      </c>
      <c r="B112" s="16" t="inlineStr">
        <is>
          <t>μL·kg⁻¹·h⁻¹</t>
        </is>
      </c>
      <c r="C112" s="30" t="n">
        <v>14</v>
      </c>
      <c r="D112" s="16" t="inlineStr">
        <is>
          <t>GA3</t>
        </is>
      </c>
      <c r="E112" s="30" t="n">
        <v>3</v>
      </c>
      <c r="F112" s="31" t="n">
        <v>0.1</v>
      </c>
      <c r="G112" s="16" t="inlineStr">
        <is>
          <t>实验资料/乙烯释放速率.xlsx</t>
        </is>
      </c>
    </row>
    <row r="113">
      <c r="A113" s="16" t="inlineStr">
        <is>
          <t>乙烯释放速率</t>
        </is>
      </c>
      <c r="B113" s="16" t="inlineStr">
        <is>
          <t>μL·kg⁻¹·h⁻¹</t>
        </is>
      </c>
      <c r="C113" s="30" t="n">
        <v>21</v>
      </c>
      <c r="D113" s="16" t="inlineStr">
        <is>
          <t>CK</t>
        </is>
      </c>
      <c r="E113" s="30" t="n">
        <v>1</v>
      </c>
      <c r="F113" s="31" t="n">
        <v>7.8</v>
      </c>
      <c r="G113" s="16" t="inlineStr">
        <is>
          <t>实验资料/乙烯释放速率.xlsx</t>
        </is>
      </c>
    </row>
    <row r="114">
      <c r="A114" s="16" t="inlineStr">
        <is>
          <t>乙烯释放速率</t>
        </is>
      </c>
      <c r="B114" s="16" t="inlineStr">
        <is>
          <t>μL·kg⁻¹·h⁻¹</t>
        </is>
      </c>
      <c r="C114" s="30" t="n">
        <v>21</v>
      </c>
      <c r="D114" s="16" t="inlineStr">
        <is>
          <t>CK</t>
        </is>
      </c>
      <c r="E114" s="30" t="n">
        <v>2</v>
      </c>
      <c r="F114" s="31" t="n">
        <v>8.199999999999999</v>
      </c>
      <c r="G114" s="16" t="inlineStr">
        <is>
          <t>实验资料/乙烯释放速率.xlsx</t>
        </is>
      </c>
    </row>
    <row r="115">
      <c r="A115" s="16" t="inlineStr">
        <is>
          <t>乙烯释放速率</t>
        </is>
      </c>
      <c r="B115" s="16" t="inlineStr">
        <is>
          <t>μL·kg⁻¹·h⁻¹</t>
        </is>
      </c>
      <c r="C115" s="30" t="n">
        <v>21</v>
      </c>
      <c r="D115" s="16" t="inlineStr">
        <is>
          <t>CK</t>
        </is>
      </c>
      <c r="E115" s="30" t="n">
        <v>3</v>
      </c>
      <c r="F115" s="31" t="n">
        <v>8</v>
      </c>
      <c r="G115" s="16" t="inlineStr">
        <is>
          <t>实验资料/乙烯释放速率.xlsx</t>
        </is>
      </c>
    </row>
    <row r="116">
      <c r="A116" s="16" t="inlineStr">
        <is>
          <t>乙烯释放速率</t>
        </is>
      </c>
      <c r="B116" s="16" t="inlineStr">
        <is>
          <t>μL·kg⁻¹·h⁻¹</t>
        </is>
      </c>
      <c r="C116" s="30" t="n">
        <v>21</v>
      </c>
      <c r="D116" s="16" t="inlineStr">
        <is>
          <t>GA3</t>
        </is>
      </c>
      <c r="E116" s="30" t="n">
        <v>1</v>
      </c>
      <c r="F116" s="31" t="n">
        <v>0.1</v>
      </c>
      <c r="G116" s="16" t="inlineStr">
        <is>
          <t>实验资料/乙烯释放速率.xlsx</t>
        </is>
      </c>
    </row>
    <row r="117">
      <c r="A117" s="16" t="inlineStr">
        <is>
          <t>乙烯释放速率</t>
        </is>
      </c>
      <c r="B117" s="16" t="inlineStr">
        <is>
          <t>μL·kg⁻¹·h⁻¹</t>
        </is>
      </c>
      <c r="C117" s="30" t="n">
        <v>21</v>
      </c>
      <c r="D117" s="16" t="inlineStr">
        <is>
          <t>GA3</t>
        </is>
      </c>
      <c r="E117" s="30" t="n">
        <v>2</v>
      </c>
      <c r="F117" s="31" t="n">
        <v>0.2</v>
      </c>
      <c r="G117" s="16" t="inlineStr">
        <is>
          <t>实验资料/乙烯释放速率.xlsx</t>
        </is>
      </c>
    </row>
    <row r="118">
      <c r="A118" s="16" t="inlineStr">
        <is>
          <t>乙烯释放速率</t>
        </is>
      </c>
      <c r="B118" s="16" t="inlineStr">
        <is>
          <t>μL·kg⁻¹·h⁻¹</t>
        </is>
      </c>
      <c r="C118" s="30" t="n">
        <v>21</v>
      </c>
      <c r="D118" s="16" t="inlineStr">
        <is>
          <t>GA3</t>
        </is>
      </c>
      <c r="E118" s="30" t="n">
        <v>3</v>
      </c>
      <c r="F118" s="31" t="n">
        <v>0.1</v>
      </c>
      <c r="G118" s="16" t="inlineStr">
        <is>
          <t>实验资料/乙烯释放速率.xlsx</t>
        </is>
      </c>
    </row>
    <row r="119">
      <c r="A119" s="16" t="inlineStr">
        <is>
          <t>乙烯释放速率</t>
        </is>
      </c>
      <c r="B119" s="16" t="inlineStr">
        <is>
          <t>μL·kg⁻¹·h⁻¹</t>
        </is>
      </c>
      <c r="C119" s="30" t="n">
        <v>28</v>
      </c>
      <c r="D119" s="16" t="inlineStr">
        <is>
          <t>CK</t>
        </is>
      </c>
      <c r="E119" s="30" t="n">
        <v>1</v>
      </c>
      <c r="F119" s="31" t="n">
        <v>13.8</v>
      </c>
      <c r="G119" s="16" t="inlineStr">
        <is>
          <t>实验资料/乙烯释放速率.xlsx</t>
        </is>
      </c>
    </row>
    <row r="120">
      <c r="A120" s="16" t="inlineStr">
        <is>
          <t>乙烯释放速率</t>
        </is>
      </c>
      <c r="B120" s="16" t="inlineStr">
        <is>
          <t>μL·kg⁻¹·h⁻¹</t>
        </is>
      </c>
      <c r="C120" s="30" t="n">
        <v>28</v>
      </c>
      <c r="D120" s="16" t="inlineStr">
        <is>
          <t>CK</t>
        </is>
      </c>
      <c r="E120" s="30" t="n">
        <v>2</v>
      </c>
      <c r="F120" s="31" t="n">
        <v>14.2</v>
      </c>
      <c r="G120" s="16" t="inlineStr">
        <is>
          <t>实验资料/乙烯释放速率.xlsx</t>
        </is>
      </c>
    </row>
    <row r="121">
      <c r="A121" s="16" t="inlineStr">
        <is>
          <t>乙烯释放速率</t>
        </is>
      </c>
      <c r="B121" s="16" t="inlineStr">
        <is>
          <t>μL·kg⁻¹·h⁻¹</t>
        </is>
      </c>
      <c r="C121" s="30" t="n">
        <v>28</v>
      </c>
      <c r="D121" s="16" t="inlineStr">
        <is>
          <t>CK</t>
        </is>
      </c>
      <c r="E121" s="30" t="n">
        <v>3</v>
      </c>
      <c r="F121" s="31" t="n">
        <v>14</v>
      </c>
      <c r="G121" s="16" t="inlineStr">
        <is>
          <t>实验资料/乙烯释放速率.xlsx</t>
        </is>
      </c>
    </row>
    <row r="122">
      <c r="A122" s="16" t="inlineStr">
        <is>
          <t>乙烯释放速率</t>
        </is>
      </c>
      <c r="B122" s="16" t="inlineStr">
        <is>
          <t>μL·kg⁻¹·h⁻¹</t>
        </is>
      </c>
      <c r="C122" s="30" t="n">
        <v>28</v>
      </c>
      <c r="D122" s="16" t="inlineStr">
        <is>
          <t>GA3</t>
        </is>
      </c>
      <c r="E122" s="30" t="n">
        <v>1</v>
      </c>
      <c r="F122" s="31" t="n">
        <v>0.4</v>
      </c>
      <c r="G122" s="16" t="inlineStr">
        <is>
          <t>实验资料/乙烯释放速率.xlsx</t>
        </is>
      </c>
    </row>
    <row r="123">
      <c r="A123" s="16" t="inlineStr">
        <is>
          <t>乙烯释放速率</t>
        </is>
      </c>
      <c r="B123" s="16" t="inlineStr">
        <is>
          <t>μL·kg⁻¹·h⁻¹</t>
        </is>
      </c>
      <c r="C123" s="30" t="n">
        <v>28</v>
      </c>
      <c r="D123" s="16" t="inlineStr">
        <is>
          <t>GA3</t>
        </is>
      </c>
      <c r="E123" s="30" t="n">
        <v>2</v>
      </c>
      <c r="F123" s="31" t="n">
        <v>0.6</v>
      </c>
      <c r="G123" s="16" t="inlineStr">
        <is>
          <t>实验资料/乙烯释放速率.xlsx</t>
        </is>
      </c>
    </row>
    <row r="124">
      <c r="A124" s="16" t="inlineStr">
        <is>
          <t>乙烯释放速率</t>
        </is>
      </c>
      <c r="B124" s="16" t="inlineStr">
        <is>
          <t>μL·kg⁻¹·h⁻¹</t>
        </is>
      </c>
      <c r="C124" s="30" t="n">
        <v>28</v>
      </c>
      <c r="D124" s="16" t="inlineStr">
        <is>
          <t>GA3</t>
        </is>
      </c>
      <c r="E124" s="30" t="n">
        <v>3</v>
      </c>
      <c r="F124" s="31" t="n">
        <v>0.5</v>
      </c>
      <c r="G124" s="16" t="inlineStr">
        <is>
          <t>实验资料/乙烯释放速率.xlsx</t>
        </is>
      </c>
    </row>
    <row r="125">
      <c r="A125" s="16" t="inlineStr">
        <is>
          <t>淀粉含量</t>
        </is>
      </c>
      <c r="B125" s="16" t="inlineStr">
        <is>
          <t>g·kg⁻¹ FW</t>
        </is>
      </c>
      <c r="C125" s="30" t="n">
        <v>0</v>
      </c>
      <c r="D125" s="16" t="inlineStr">
        <is>
          <t>CK</t>
        </is>
      </c>
      <c r="E125" s="30" t="n">
        <v>1</v>
      </c>
      <c r="F125" s="31" t="n">
        <v>65</v>
      </c>
      <c r="G125" s="16" t="inlineStr">
        <is>
          <t>实验资料/淀粉含量.xlsx</t>
        </is>
      </c>
    </row>
    <row r="126">
      <c r="A126" s="16" t="inlineStr">
        <is>
          <t>淀粉含量</t>
        </is>
      </c>
      <c r="B126" s="16" t="inlineStr">
        <is>
          <t>g·kg⁻¹ FW</t>
        </is>
      </c>
      <c r="C126" s="30" t="n">
        <v>0</v>
      </c>
      <c r="D126" s="16" t="inlineStr">
        <is>
          <t>CK</t>
        </is>
      </c>
      <c r="E126" s="30" t="n">
        <v>2</v>
      </c>
      <c r="F126" s="31" t="n">
        <v>65</v>
      </c>
      <c r="G126" s="16" t="inlineStr">
        <is>
          <t>实验资料/淀粉含量.xlsx</t>
        </is>
      </c>
    </row>
    <row r="127">
      <c r="A127" s="16" t="inlineStr">
        <is>
          <t>淀粉含量</t>
        </is>
      </c>
      <c r="B127" s="16" t="inlineStr">
        <is>
          <t>g·kg⁻¹ FW</t>
        </is>
      </c>
      <c r="C127" s="30" t="n">
        <v>0</v>
      </c>
      <c r="D127" s="16" t="inlineStr">
        <is>
          <t>CK</t>
        </is>
      </c>
      <c r="E127" s="30" t="n">
        <v>3</v>
      </c>
      <c r="F127" s="31" t="n">
        <v>65</v>
      </c>
      <c r="G127" s="16" t="inlineStr">
        <is>
          <t>实验资料/淀粉含量.xlsx</t>
        </is>
      </c>
    </row>
    <row r="128">
      <c r="A128" s="16" t="inlineStr">
        <is>
          <t>淀粉含量</t>
        </is>
      </c>
      <c r="B128" s="16" t="inlineStr">
        <is>
          <t>g·kg⁻¹ FW</t>
        </is>
      </c>
      <c r="C128" s="30" t="n">
        <v>0</v>
      </c>
      <c r="D128" s="16" t="inlineStr">
        <is>
          <t>GA3</t>
        </is>
      </c>
      <c r="E128" s="30" t="n">
        <v>1</v>
      </c>
      <c r="F128" s="31" t="n">
        <v>65</v>
      </c>
      <c r="G128" s="16" t="inlineStr">
        <is>
          <t>实验资料/淀粉含量.xlsx</t>
        </is>
      </c>
    </row>
    <row r="129">
      <c r="A129" s="16" t="inlineStr">
        <is>
          <t>淀粉含量</t>
        </is>
      </c>
      <c r="B129" s="16" t="inlineStr">
        <is>
          <t>g·kg⁻¹ FW</t>
        </is>
      </c>
      <c r="C129" s="30" t="n">
        <v>0</v>
      </c>
      <c r="D129" s="16" t="inlineStr">
        <is>
          <t>GA3</t>
        </is>
      </c>
      <c r="E129" s="30" t="n">
        <v>2</v>
      </c>
      <c r="F129" s="31" t="n">
        <v>65</v>
      </c>
      <c r="G129" s="16" t="inlineStr">
        <is>
          <t>实验资料/淀粉含量.xlsx</t>
        </is>
      </c>
    </row>
    <row r="130">
      <c r="A130" s="16" t="inlineStr">
        <is>
          <t>淀粉含量</t>
        </is>
      </c>
      <c r="B130" s="16" t="inlineStr">
        <is>
          <t>g·kg⁻¹ FW</t>
        </is>
      </c>
      <c r="C130" s="30" t="n">
        <v>0</v>
      </c>
      <c r="D130" s="16" t="inlineStr">
        <is>
          <t>GA3</t>
        </is>
      </c>
      <c r="E130" s="30" t="n">
        <v>3</v>
      </c>
      <c r="F130" s="31" t="n">
        <v>65</v>
      </c>
      <c r="G130" s="16" t="inlineStr">
        <is>
          <t>实验资料/淀粉含量.xlsx</t>
        </is>
      </c>
    </row>
    <row r="131">
      <c r="A131" s="16" t="inlineStr">
        <is>
          <t>淀粉含量</t>
        </is>
      </c>
      <c r="B131" s="16" t="inlineStr">
        <is>
          <t>g·kg⁻¹ FW</t>
        </is>
      </c>
      <c r="C131" s="30" t="n">
        <v>7</v>
      </c>
      <c r="D131" s="16" t="inlineStr">
        <is>
          <t>CK</t>
        </is>
      </c>
      <c r="E131" s="30" t="n">
        <v>1</v>
      </c>
      <c r="F131" s="31" t="n">
        <v>29.5</v>
      </c>
      <c r="G131" s="16" t="inlineStr">
        <is>
          <t>实验资料/淀粉含量.xlsx</t>
        </is>
      </c>
    </row>
    <row r="132">
      <c r="A132" s="16" t="inlineStr">
        <is>
          <t>淀粉含量</t>
        </is>
      </c>
      <c r="B132" s="16" t="inlineStr">
        <is>
          <t>g·kg⁻¹ FW</t>
        </is>
      </c>
      <c r="C132" s="30" t="n">
        <v>7</v>
      </c>
      <c r="D132" s="16" t="inlineStr">
        <is>
          <t>CK</t>
        </is>
      </c>
      <c r="E132" s="30" t="n">
        <v>2</v>
      </c>
      <c r="F132" s="31" t="n">
        <v>30.5</v>
      </c>
      <c r="G132" s="16" t="inlineStr">
        <is>
          <t>实验资料/淀粉含量.xlsx</t>
        </is>
      </c>
    </row>
    <row r="133">
      <c r="A133" s="16" t="inlineStr">
        <is>
          <t>淀粉含量</t>
        </is>
      </c>
      <c r="B133" s="16" t="inlineStr">
        <is>
          <t>g·kg⁻¹ FW</t>
        </is>
      </c>
      <c r="C133" s="30" t="n">
        <v>7</v>
      </c>
      <c r="D133" s="16" t="inlineStr">
        <is>
          <t>CK</t>
        </is>
      </c>
      <c r="E133" s="30" t="n">
        <v>3</v>
      </c>
      <c r="F133" s="31" t="n">
        <v>30</v>
      </c>
      <c r="G133" s="16" t="inlineStr">
        <is>
          <t>实验资料/淀粉含量.xlsx</t>
        </is>
      </c>
    </row>
    <row r="134">
      <c r="A134" s="16" t="inlineStr">
        <is>
          <t>淀粉含量</t>
        </is>
      </c>
      <c r="B134" s="16" t="inlineStr">
        <is>
          <t>g·kg⁻¹ FW</t>
        </is>
      </c>
      <c r="C134" s="30" t="n">
        <v>7</v>
      </c>
      <c r="D134" s="16" t="inlineStr">
        <is>
          <t>GA3</t>
        </is>
      </c>
      <c r="E134" s="30" t="n">
        <v>1</v>
      </c>
      <c r="F134" s="31" t="n">
        <v>35.5</v>
      </c>
      <c r="G134" s="16" t="inlineStr">
        <is>
          <t>实验资料/淀粉含量.xlsx</t>
        </is>
      </c>
    </row>
    <row r="135">
      <c r="A135" s="16" t="inlineStr">
        <is>
          <t>淀粉含量</t>
        </is>
      </c>
      <c r="B135" s="16" t="inlineStr">
        <is>
          <t>g·kg⁻¹ FW</t>
        </is>
      </c>
      <c r="C135" s="30" t="n">
        <v>7</v>
      </c>
      <c r="D135" s="16" t="inlineStr">
        <is>
          <t>GA3</t>
        </is>
      </c>
      <c r="E135" s="30" t="n">
        <v>2</v>
      </c>
      <c r="F135" s="31" t="n">
        <v>36.5</v>
      </c>
      <c r="G135" s="16" t="inlineStr">
        <is>
          <t>实验资料/淀粉含量.xlsx</t>
        </is>
      </c>
    </row>
    <row r="136">
      <c r="A136" s="16" t="inlineStr">
        <is>
          <t>淀粉含量</t>
        </is>
      </c>
      <c r="B136" s="16" t="inlineStr">
        <is>
          <t>g·kg⁻¹ FW</t>
        </is>
      </c>
      <c r="C136" s="30" t="n">
        <v>7</v>
      </c>
      <c r="D136" s="16" t="inlineStr">
        <is>
          <t>GA3</t>
        </is>
      </c>
      <c r="E136" s="30" t="n">
        <v>3</v>
      </c>
      <c r="F136" s="31" t="n">
        <v>36</v>
      </c>
      <c r="G136" s="16" t="inlineStr">
        <is>
          <t>实验资料/淀粉含量.xlsx</t>
        </is>
      </c>
    </row>
    <row r="137">
      <c r="A137" s="16" t="inlineStr">
        <is>
          <t>淀粉含量</t>
        </is>
      </c>
      <c r="B137" s="16" t="inlineStr">
        <is>
          <t>g·kg⁻¹ FW</t>
        </is>
      </c>
      <c r="C137" s="30" t="n">
        <v>14</v>
      </c>
      <c r="D137" s="16" t="inlineStr">
        <is>
          <t>CK</t>
        </is>
      </c>
      <c r="E137" s="30" t="n">
        <v>1</v>
      </c>
      <c r="F137" s="31" t="n">
        <v>17.5</v>
      </c>
      <c r="G137" s="16" t="inlineStr">
        <is>
          <t>实验资料/淀粉含量.xlsx</t>
        </is>
      </c>
    </row>
    <row r="138">
      <c r="A138" s="16" t="inlineStr">
        <is>
          <t>淀粉含量</t>
        </is>
      </c>
      <c r="B138" s="16" t="inlineStr">
        <is>
          <t>g·kg⁻¹ FW</t>
        </is>
      </c>
      <c r="C138" s="30" t="n">
        <v>14</v>
      </c>
      <c r="D138" s="16" t="inlineStr">
        <is>
          <t>CK</t>
        </is>
      </c>
      <c r="E138" s="30" t="n">
        <v>2</v>
      </c>
      <c r="F138" s="31" t="n">
        <v>18.5</v>
      </c>
      <c r="G138" s="16" t="inlineStr">
        <is>
          <t>实验资料/淀粉含量.xlsx</t>
        </is>
      </c>
    </row>
    <row r="139">
      <c r="A139" s="16" t="inlineStr">
        <is>
          <t>淀粉含量</t>
        </is>
      </c>
      <c r="B139" s="16" t="inlineStr">
        <is>
          <t>g·kg⁻¹ FW</t>
        </is>
      </c>
      <c r="C139" s="30" t="n">
        <v>14</v>
      </c>
      <c r="D139" s="16" t="inlineStr">
        <is>
          <t>CK</t>
        </is>
      </c>
      <c r="E139" s="30" t="n">
        <v>3</v>
      </c>
      <c r="F139" s="31" t="n">
        <v>18</v>
      </c>
      <c r="G139" s="16" t="inlineStr">
        <is>
          <t>实验资料/淀粉含量.xlsx</t>
        </is>
      </c>
    </row>
    <row r="140">
      <c r="A140" s="16" t="inlineStr">
        <is>
          <t>淀粉含量</t>
        </is>
      </c>
      <c r="B140" s="16" t="inlineStr">
        <is>
          <t>g·kg⁻¹ FW</t>
        </is>
      </c>
      <c r="C140" s="30" t="n">
        <v>14</v>
      </c>
      <c r="D140" s="16" t="inlineStr">
        <is>
          <t>GA3</t>
        </is>
      </c>
      <c r="E140" s="30" t="n">
        <v>1</v>
      </c>
      <c r="F140" s="31" t="n">
        <v>29.5</v>
      </c>
      <c r="G140" s="16" t="inlineStr">
        <is>
          <t>实验资料/淀粉含量.xlsx</t>
        </is>
      </c>
    </row>
    <row r="141">
      <c r="A141" s="16" t="inlineStr">
        <is>
          <t>淀粉含量</t>
        </is>
      </c>
      <c r="B141" s="16" t="inlineStr">
        <is>
          <t>g·kg⁻¹ FW</t>
        </is>
      </c>
      <c r="C141" s="30" t="n">
        <v>14</v>
      </c>
      <c r="D141" s="16" t="inlineStr">
        <is>
          <t>GA3</t>
        </is>
      </c>
      <c r="E141" s="30" t="n">
        <v>2</v>
      </c>
      <c r="F141" s="31" t="n">
        <v>30.5</v>
      </c>
      <c r="G141" s="16" t="inlineStr">
        <is>
          <t>实验资料/淀粉含量.xlsx</t>
        </is>
      </c>
    </row>
    <row r="142">
      <c r="A142" s="16" t="inlineStr">
        <is>
          <t>淀粉含量</t>
        </is>
      </c>
      <c r="B142" s="16" t="inlineStr">
        <is>
          <t>g·kg⁻¹ FW</t>
        </is>
      </c>
      <c r="C142" s="30" t="n">
        <v>14</v>
      </c>
      <c r="D142" s="16" t="inlineStr">
        <is>
          <t>GA3</t>
        </is>
      </c>
      <c r="E142" s="30" t="n">
        <v>3</v>
      </c>
      <c r="F142" s="31" t="n">
        <v>30</v>
      </c>
      <c r="G142" s="16" t="inlineStr">
        <is>
          <t>实验资料/淀粉含量.xlsx</t>
        </is>
      </c>
    </row>
    <row r="143">
      <c r="A143" s="16" t="inlineStr">
        <is>
          <t>淀粉含量</t>
        </is>
      </c>
      <c r="B143" s="16" t="inlineStr">
        <is>
          <t>g·kg⁻¹ FW</t>
        </is>
      </c>
      <c r="C143" s="30" t="n">
        <v>21</v>
      </c>
      <c r="D143" s="16" t="inlineStr">
        <is>
          <t>CK</t>
        </is>
      </c>
      <c r="E143" s="30" t="n">
        <v>1</v>
      </c>
      <c r="F143" s="31" t="n">
        <v>8.5</v>
      </c>
      <c r="G143" s="16" t="inlineStr">
        <is>
          <t>实验资料/淀粉含量.xlsx</t>
        </is>
      </c>
    </row>
    <row r="144">
      <c r="A144" s="16" t="inlineStr">
        <is>
          <t>淀粉含量</t>
        </is>
      </c>
      <c r="B144" s="16" t="inlineStr">
        <is>
          <t>g·kg⁻¹ FW</t>
        </is>
      </c>
      <c r="C144" s="30" t="n">
        <v>21</v>
      </c>
      <c r="D144" s="16" t="inlineStr">
        <is>
          <t>CK</t>
        </is>
      </c>
      <c r="E144" s="30" t="n">
        <v>2</v>
      </c>
      <c r="F144" s="31" t="n">
        <v>9.5</v>
      </c>
      <c r="G144" s="16" t="inlineStr">
        <is>
          <t>实验资料/淀粉含量.xlsx</t>
        </is>
      </c>
    </row>
    <row r="145">
      <c r="A145" s="16" t="inlineStr">
        <is>
          <t>淀粉含量</t>
        </is>
      </c>
      <c r="B145" s="16" t="inlineStr">
        <is>
          <t>g·kg⁻¹ FW</t>
        </is>
      </c>
      <c r="C145" s="30" t="n">
        <v>21</v>
      </c>
      <c r="D145" s="16" t="inlineStr">
        <is>
          <t>CK</t>
        </is>
      </c>
      <c r="E145" s="30" t="n">
        <v>3</v>
      </c>
      <c r="F145" s="31" t="n">
        <v>9</v>
      </c>
      <c r="G145" s="16" t="inlineStr">
        <is>
          <t>实验资料/淀粉含量.xlsx</t>
        </is>
      </c>
    </row>
    <row r="146">
      <c r="A146" s="16" t="inlineStr">
        <is>
          <t>淀粉含量</t>
        </is>
      </c>
      <c r="B146" s="16" t="inlineStr">
        <is>
          <t>g·kg⁻¹ FW</t>
        </is>
      </c>
      <c r="C146" s="30" t="n">
        <v>21</v>
      </c>
      <c r="D146" s="16" t="inlineStr">
        <is>
          <t>GA3</t>
        </is>
      </c>
      <c r="E146" s="30" t="n">
        <v>1</v>
      </c>
      <c r="F146" s="31" t="n">
        <v>23.5</v>
      </c>
      <c r="G146" s="16" t="inlineStr">
        <is>
          <t>实验资料/淀粉含量.xlsx</t>
        </is>
      </c>
    </row>
    <row r="147">
      <c r="A147" s="16" t="inlineStr">
        <is>
          <t>淀粉含量</t>
        </is>
      </c>
      <c r="B147" s="16" t="inlineStr">
        <is>
          <t>g·kg⁻¹ FW</t>
        </is>
      </c>
      <c r="C147" s="30" t="n">
        <v>21</v>
      </c>
      <c r="D147" s="16" t="inlineStr">
        <is>
          <t>GA3</t>
        </is>
      </c>
      <c r="E147" s="30" t="n">
        <v>2</v>
      </c>
      <c r="F147" s="31" t="n">
        <v>24.5</v>
      </c>
      <c r="G147" s="16" t="inlineStr">
        <is>
          <t>实验资料/淀粉含量.xlsx</t>
        </is>
      </c>
    </row>
    <row r="148">
      <c r="A148" s="16" t="inlineStr">
        <is>
          <t>淀粉含量</t>
        </is>
      </c>
      <c r="B148" s="16" t="inlineStr">
        <is>
          <t>g·kg⁻¹ FW</t>
        </is>
      </c>
      <c r="C148" s="30" t="n">
        <v>21</v>
      </c>
      <c r="D148" s="16" t="inlineStr">
        <is>
          <t>GA3</t>
        </is>
      </c>
      <c r="E148" s="30" t="n">
        <v>3</v>
      </c>
      <c r="F148" s="31" t="n">
        <v>24</v>
      </c>
      <c r="G148" s="16" t="inlineStr">
        <is>
          <t>实验资料/淀粉含量.xlsx</t>
        </is>
      </c>
    </row>
    <row r="149">
      <c r="A149" s="16" t="inlineStr">
        <is>
          <t>淀粉含量</t>
        </is>
      </c>
      <c r="B149" s="16" t="inlineStr">
        <is>
          <t>g·kg⁻¹ FW</t>
        </is>
      </c>
      <c r="C149" s="30" t="n">
        <v>28</v>
      </c>
      <c r="D149" s="16" t="inlineStr">
        <is>
          <t>CK</t>
        </is>
      </c>
      <c r="E149" s="30" t="n">
        <v>1</v>
      </c>
      <c r="F149" s="31" t="n">
        <v>4.8</v>
      </c>
      <c r="G149" s="16" t="inlineStr">
        <is>
          <t>实验资料/淀粉含量.xlsx</t>
        </is>
      </c>
    </row>
    <row r="150">
      <c r="A150" s="16" t="inlineStr">
        <is>
          <t>淀粉含量</t>
        </is>
      </c>
      <c r="B150" s="16" t="inlineStr">
        <is>
          <t>g·kg⁻¹ FW</t>
        </is>
      </c>
      <c r="C150" s="30" t="n">
        <v>28</v>
      </c>
      <c r="D150" s="16" t="inlineStr">
        <is>
          <t>CK</t>
        </is>
      </c>
      <c r="E150" s="30" t="n">
        <v>2</v>
      </c>
      <c r="F150" s="31" t="n">
        <v>5.2</v>
      </c>
      <c r="G150" s="16" t="inlineStr">
        <is>
          <t>实验资料/淀粉含量.xlsx</t>
        </is>
      </c>
    </row>
    <row r="151">
      <c r="A151" s="16" t="inlineStr">
        <is>
          <t>淀粉含量</t>
        </is>
      </c>
      <c r="B151" s="16" t="inlineStr">
        <is>
          <t>g·kg⁻¹ FW</t>
        </is>
      </c>
      <c r="C151" s="30" t="n">
        <v>28</v>
      </c>
      <c r="D151" s="16" t="inlineStr">
        <is>
          <t>CK</t>
        </is>
      </c>
      <c r="E151" s="30" t="n">
        <v>3</v>
      </c>
      <c r="F151" s="31" t="n">
        <v>5</v>
      </c>
      <c r="G151" s="16" t="inlineStr">
        <is>
          <t>实验资料/淀粉含量.xlsx</t>
        </is>
      </c>
    </row>
    <row r="152">
      <c r="A152" s="16" t="inlineStr">
        <is>
          <t>淀粉含量</t>
        </is>
      </c>
      <c r="B152" s="16" t="inlineStr">
        <is>
          <t>g·kg⁻¹ FW</t>
        </is>
      </c>
      <c r="C152" s="30" t="n">
        <v>28</v>
      </c>
      <c r="D152" s="16" t="inlineStr">
        <is>
          <t>GA3</t>
        </is>
      </c>
      <c r="E152" s="30" t="n">
        <v>1</v>
      </c>
      <c r="F152" s="31" t="n">
        <v>17.5</v>
      </c>
      <c r="G152" s="16" t="inlineStr">
        <is>
          <t>实验资料/淀粉含量.xlsx</t>
        </is>
      </c>
    </row>
    <row r="153">
      <c r="A153" s="16" t="inlineStr">
        <is>
          <t>淀粉含量</t>
        </is>
      </c>
      <c r="B153" s="16" t="inlineStr">
        <is>
          <t>g·kg⁻¹ FW</t>
        </is>
      </c>
      <c r="C153" s="30" t="n">
        <v>28</v>
      </c>
      <c r="D153" s="16" t="inlineStr">
        <is>
          <t>GA3</t>
        </is>
      </c>
      <c r="E153" s="30" t="n">
        <v>2</v>
      </c>
      <c r="F153" s="31" t="n">
        <v>18.5</v>
      </c>
      <c r="G153" s="16" t="inlineStr">
        <is>
          <t>实验资料/淀粉含量.xlsx</t>
        </is>
      </c>
    </row>
    <row r="154">
      <c r="A154" s="16" t="inlineStr">
        <is>
          <t>淀粉含量</t>
        </is>
      </c>
      <c r="B154" s="16" t="inlineStr">
        <is>
          <t>g·kg⁻¹ FW</t>
        </is>
      </c>
      <c r="C154" s="30" t="n">
        <v>28</v>
      </c>
      <c r="D154" s="16" t="inlineStr">
        <is>
          <t>GA3</t>
        </is>
      </c>
      <c r="E154" s="30" t="n">
        <v>3</v>
      </c>
      <c r="F154" s="31" t="n">
        <v>18</v>
      </c>
      <c r="G154" s="16" t="inlineStr">
        <is>
          <t>实验资料/淀粉含量.xlsx</t>
        </is>
      </c>
    </row>
    <row r="155">
      <c r="A155" s="16" t="inlineStr">
        <is>
          <t>抗坏血酸</t>
        </is>
      </c>
      <c r="B155" s="16" t="inlineStr">
        <is>
          <t>g·kg⁻¹ FW</t>
        </is>
      </c>
      <c r="C155" s="30" t="n">
        <v>0</v>
      </c>
      <c r="D155" s="16" t="inlineStr">
        <is>
          <t>CK</t>
        </is>
      </c>
      <c r="E155" s="30" t="n">
        <v>1</v>
      </c>
      <c r="F155" s="31" t="n">
        <v>0.58</v>
      </c>
      <c r="G155" s="16" t="inlineStr">
        <is>
          <t>实验资料/抗坏血酸.xlsx</t>
        </is>
      </c>
    </row>
    <row r="156">
      <c r="A156" s="16" t="inlineStr">
        <is>
          <t>抗坏血酸</t>
        </is>
      </c>
      <c r="B156" s="16" t="inlineStr">
        <is>
          <t>g·kg⁻¹ FW</t>
        </is>
      </c>
      <c r="C156" s="30" t="n">
        <v>0</v>
      </c>
      <c r="D156" s="16" t="inlineStr">
        <is>
          <t>CK</t>
        </is>
      </c>
      <c r="E156" s="30" t="n">
        <v>2</v>
      </c>
      <c r="F156" s="31" t="n">
        <v>0.59</v>
      </c>
      <c r="G156" s="16" t="inlineStr">
        <is>
          <t>实验资料/抗坏血酸.xlsx</t>
        </is>
      </c>
    </row>
    <row r="157">
      <c r="A157" s="16" t="inlineStr">
        <is>
          <t>抗坏血酸</t>
        </is>
      </c>
      <c r="B157" s="16" t="inlineStr">
        <is>
          <t>g·kg⁻¹ FW</t>
        </is>
      </c>
      <c r="C157" s="30" t="n">
        <v>0</v>
      </c>
      <c r="D157" s="16" t="inlineStr">
        <is>
          <t>CK</t>
        </is>
      </c>
      <c r="E157" s="30" t="n">
        <v>3</v>
      </c>
      <c r="F157" s="31" t="n">
        <v>0.57</v>
      </c>
      <c r="G157" s="16" t="inlineStr">
        <is>
          <t>实验资料/抗坏血酸.xlsx</t>
        </is>
      </c>
    </row>
    <row r="158">
      <c r="A158" s="16" t="inlineStr">
        <is>
          <t>抗坏血酸</t>
        </is>
      </c>
      <c r="B158" s="16" t="inlineStr">
        <is>
          <t>g·kg⁻¹ FW</t>
        </is>
      </c>
      <c r="C158" s="30" t="n">
        <v>0</v>
      </c>
      <c r="D158" s="16" t="inlineStr">
        <is>
          <t>GA3</t>
        </is>
      </c>
      <c r="E158" s="30" t="n">
        <v>1</v>
      </c>
      <c r="F158" s="31" t="n">
        <v>0.6</v>
      </c>
      <c r="G158" s="16" t="inlineStr">
        <is>
          <t>实验资料/抗坏血酸.xlsx</t>
        </is>
      </c>
    </row>
    <row r="159">
      <c r="A159" s="16" t="inlineStr">
        <is>
          <t>抗坏血酸</t>
        </is>
      </c>
      <c r="B159" s="16" t="inlineStr">
        <is>
          <t>g·kg⁻¹ FW</t>
        </is>
      </c>
      <c r="C159" s="30" t="n">
        <v>0</v>
      </c>
      <c r="D159" s="16" t="inlineStr">
        <is>
          <t>GA3</t>
        </is>
      </c>
      <c r="E159" s="30" t="n">
        <v>2</v>
      </c>
      <c r="F159" s="31" t="n">
        <v>0.61</v>
      </c>
      <c r="G159" s="16" t="inlineStr">
        <is>
          <t>实验资料/抗坏血酸.xlsx</t>
        </is>
      </c>
    </row>
    <row r="160">
      <c r="A160" s="16" t="inlineStr">
        <is>
          <t>抗坏血酸</t>
        </is>
      </c>
      <c r="B160" s="16" t="inlineStr">
        <is>
          <t>g·kg⁻¹ FW</t>
        </is>
      </c>
      <c r="C160" s="30" t="n">
        <v>0</v>
      </c>
      <c r="D160" s="16" t="inlineStr">
        <is>
          <t>GA3</t>
        </is>
      </c>
      <c r="E160" s="30" t="n">
        <v>3</v>
      </c>
      <c r="F160" s="31" t="n">
        <v>0.6</v>
      </c>
      <c r="G160" s="16" t="inlineStr">
        <is>
          <t>实验资料/抗坏血酸.xlsx</t>
        </is>
      </c>
    </row>
    <row r="161">
      <c r="A161" s="16" t="inlineStr">
        <is>
          <t>抗坏血酸</t>
        </is>
      </c>
      <c r="B161" s="16" t="inlineStr">
        <is>
          <t>g·kg⁻¹ FW</t>
        </is>
      </c>
      <c r="C161" s="30" t="n">
        <v>7</v>
      </c>
      <c r="D161" s="16" t="inlineStr">
        <is>
          <t>CK</t>
        </is>
      </c>
      <c r="E161" s="30" t="n">
        <v>1</v>
      </c>
      <c r="F161" s="31" t="n">
        <v>0.78</v>
      </c>
      <c r="G161" s="16" t="inlineStr">
        <is>
          <t>实验资料/抗坏血酸.xlsx</t>
        </is>
      </c>
    </row>
    <row r="162">
      <c r="A162" s="16" t="inlineStr">
        <is>
          <t>抗坏血酸</t>
        </is>
      </c>
      <c r="B162" s="16" t="inlineStr">
        <is>
          <t>g·kg⁻¹ FW</t>
        </is>
      </c>
      <c r="C162" s="30" t="n">
        <v>7</v>
      </c>
      <c r="D162" s="16" t="inlineStr">
        <is>
          <t>CK</t>
        </is>
      </c>
      <c r="E162" s="30" t="n">
        <v>2</v>
      </c>
      <c r="F162" s="31" t="n">
        <v>0.79</v>
      </c>
      <c r="G162" s="16" t="inlineStr">
        <is>
          <t>实验资料/抗坏血酸.xlsx</t>
        </is>
      </c>
    </row>
    <row r="163">
      <c r="A163" s="16" t="inlineStr">
        <is>
          <t>抗坏血酸</t>
        </is>
      </c>
      <c r="B163" s="16" t="inlineStr">
        <is>
          <t>g·kg⁻¹ FW</t>
        </is>
      </c>
      <c r="C163" s="30" t="n">
        <v>7</v>
      </c>
      <c r="D163" s="16" t="inlineStr">
        <is>
          <t>CK</t>
        </is>
      </c>
      <c r="E163" s="30" t="n">
        <v>3</v>
      </c>
      <c r="F163" s="31" t="n">
        <v>0.77</v>
      </c>
      <c r="G163" s="16" t="inlineStr">
        <is>
          <t>实验资料/抗坏血酸.xlsx</t>
        </is>
      </c>
    </row>
    <row r="164">
      <c r="A164" s="16" t="inlineStr">
        <is>
          <t>抗坏血酸</t>
        </is>
      </c>
      <c r="B164" s="16" t="inlineStr">
        <is>
          <t>g·kg⁻¹ FW</t>
        </is>
      </c>
      <c r="C164" s="30" t="n">
        <v>7</v>
      </c>
      <c r="D164" s="16" t="inlineStr">
        <is>
          <t>GA3</t>
        </is>
      </c>
      <c r="E164" s="30" t="n">
        <v>1</v>
      </c>
      <c r="F164" s="31" t="n">
        <v>0.8100000000000001</v>
      </c>
      <c r="G164" s="16" t="inlineStr">
        <is>
          <t>实验资料/抗坏血酸.xlsx</t>
        </is>
      </c>
    </row>
    <row r="165">
      <c r="A165" s="16" t="inlineStr">
        <is>
          <t>抗坏血酸</t>
        </is>
      </c>
      <c r="B165" s="16" t="inlineStr">
        <is>
          <t>g·kg⁻¹ FW</t>
        </is>
      </c>
      <c r="C165" s="30" t="n">
        <v>7</v>
      </c>
      <c r="D165" s="16" t="inlineStr">
        <is>
          <t>GA3</t>
        </is>
      </c>
      <c r="E165" s="30" t="n">
        <v>2</v>
      </c>
      <c r="F165" s="31" t="n">
        <v>0.82</v>
      </c>
      <c r="G165" s="16" t="inlineStr">
        <is>
          <t>实验资料/抗坏血酸.xlsx</t>
        </is>
      </c>
    </row>
    <row r="166">
      <c r="A166" s="16" t="inlineStr">
        <is>
          <t>抗坏血酸</t>
        </is>
      </c>
      <c r="B166" s="16" t="inlineStr">
        <is>
          <t>g·kg⁻¹ FW</t>
        </is>
      </c>
      <c r="C166" s="30" t="n">
        <v>7</v>
      </c>
      <c r="D166" s="16" t="inlineStr">
        <is>
          <t>GA3</t>
        </is>
      </c>
      <c r="E166" s="30" t="n">
        <v>3</v>
      </c>
      <c r="F166" s="31" t="n">
        <v>0.8</v>
      </c>
      <c r="G166" s="16" t="inlineStr">
        <is>
          <t>实验资料/抗坏血酸.xlsx</t>
        </is>
      </c>
    </row>
    <row r="167">
      <c r="A167" s="16" t="inlineStr">
        <is>
          <t>抗坏血酸</t>
        </is>
      </c>
      <c r="B167" s="16" t="inlineStr">
        <is>
          <t>g·kg⁻¹ FW</t>
        </is>
      </c>
      <c r="C167" s="30" t="n">
        <v>14</v>
      </c>
      <c r="D167" s="16" t="inlineStr">
        <is>
          <t>CK</t>
        </is>
      </c>
      <c r="E167" s="30" t="n">
        <v>1</v>
      </c>
      <c r="F167" s="31" t="n">
        <v>0.85</v>
      </c>
      <c r="G167" s="16" t="inlineStr">
        <is>
          <t>实验资料/抗坏血酸.xlsx</t>
        </is>
      </c>
    </row>
    <row r="168">
      <c r="A168" s="16" t="inlineStr">
        <is>
          <t>抗坏血酸</t>
        </is>
      </c>
      <c r="B168" s="16" t="inlineStr">
        <is>
          <t>g·kg⁻¹ FW</t>
        </is>
      </c>
      <c r="C168" s="30" t="n">
        <v>14</v>
      </c>
      <c r="D168" s="16" t="inlineStr">
        <is>
          <t>CK</t>
        </is>
      </c>
      <c r="E168" s="30" t="n">
        <v>2</v>
      </c>
      <c r="F168" s="31" t="n">
        <v>0.86</v>
      </c>
      <c r="G168" s="16" t="inlineStr">
        <is>
          <t>实验资料/抗坏血酸.xlsx</t>
        </is>
      </c>
    </row>
    <row r="169">
      <c r="A169" s="16" t="inlineStr">
        <is>
          <t>抗坏血酸</t>
        </is>
      </c>
      <c r="B169" s="16" t="inlineStr">
        <is>
          <t>g·kg⁻¹ FW</t>
        </is>
      </c>
      <c r="C169" s="30" t="n">
        <v>14</v>
      </c>
      <c r="D169" s="16" t="inlineStr">
        <is>
          <t>CK</t>
        </is>
      </c>
      <c r="E169" s="30" t="n">
        <v>3</v>
      </c>
      <c r="F169" s="31" t="n">
        <v>0.84</v>
      </c>
      <c r="G169" s="16" t="inlineStr">
        <is>
          <t>实验资料/抗坏血酸.xlsx</t>
        </is>
      </c>
    </row>
    <row r="170">
      <c r="A170" s="16" t="inlineStr">
        <is>
          <t>抗坏血酸</t>
        </is>
      </c>
      <c r="B170" s="16" t="inlineStr">
        <is>
          <t>g·kg⁻¹ FW</t>
        </is>
      </c>
      <c r="C170" s="30" t="n">
        <v>14</v>
      </c>
      <c r="D170" s="16" t="inlineStr">
        <is>
          <t>GA3</t>
        </is>
      </c>
      <c r="E170" s="30" t="n">
        <v>1</v>
      </c>
      <c r="F170" s="31" t="n">
        <v>0.88</v>
      </c>
      <c r="G170" s="16" t="inlineStr">
        <is>
          <t>实验资料/抗坏血酸.xlsx</t>
        </is>
      </c>
    </row>
    <row r="171">
      <c r="A171" s="16" t="inlineStr">
        <is>
          <t>抗坏血酸</t>
        </is>
      </c>
      <c r="B171" s="16" t="inlineStr">
        <is>
          <t>g·kg⁻¹ FW</t>
        </is>
      </c>
      <c r="C171" s="30" t="n">
        <v>14</v>
      </c>
      <c r="D171" s="16" t="inlineStr">
        <is>
          <t>GA3</t>
        </is>
      </c>
      <c r="E171" s="30" t="n">
        <v>2</v>
      </c>
      <c r="F171" s="31" t="n">
        <v>0.89</v>
      </c>
      <c r="G171" s="16" t="inlineStr">
        <is>
          <t>实验资料/抗坏血酸.xlsx</t>
        </is>
      </c>
    </row>
    <row r="172">
      <c r="A172" s="16" t="inlineStr">
        <is>
          <t>抗坏血酸</t>
        </is>
      </c>
      <c r="B172" s="16" t="inlineStr">
        <is>
          <t>g·kg⁻¹ FW</t>
        </is>
      </c>
      <c r="C172" s="30" t="n">
        <v>14</v>
      </c>
      <c r="D172" s="16" t="inlineStr">
        <is>
          <t>GA3</t>
        </is>
      </c>
      <c r="E172" s="30" t="n">
        <v>3</v>
      </c>
      <c r="F172" s="31" t="n">
        <v>0.87</v>
      </c>
      <c r="G172" s="16" t="inlineStr">
        <is>
          <t>实验资料/抗坏血酸.xlsx</t>
        </is>
      </c>
    </row>
    <row r="173">
      <c r="A173" s="16" t="inlineStr">
        <is>
          <t>抗坏血酸</t>
        </is>
      </c>
      <c r="B173" s="16" t="inlineStr">
        <is>
          <t>g·kg⁻¹ FW</t>
        </is>
      </c>
      <c r="C173" s="30" t="n">
        <v>21</v>
      </c>
      <c r="D173" s="16" t="inlineStr">
        <is>
          <t>CK</t>
        </is>
      </c>
      <c r="E173" s="30" t="n">
        <v>1</v>
      </c>
      <c r="F173" s="31" t="n">
        <v>0.68</v>
      </c>
      <c r="G173" s="16" t="inlineStr">
        <is>
          <t>实验资料/抗坏血酸.xlsx</t>
        </is>
      </c>
    </row>
    <row r="174">
      <c r="A174" s="16" t="inlineStr">
        <is>
          <t>抗坏血酸</t>
        </is>
      </c>
      <c r="B174" s="16" t="inlineStr">
        <is>
          <t>g·kg⁻¹ FW</t>
        </is>
      </c>
      <c r="C174" s="30" t="n">
        <v>21</v>
      </c>
      <c r="D174" s="16" t="inlineStr">
        <is>
          <t>CK</t>
        </is>
      </c>
      <c r="E174" s="30" t="n">
        <v>2</v>
      </c>
      <c r="F174" s="31" t="n">
        <v>0.6899999999999999</v>
      </c>
      <c r="G174" s="16" t="inlineStr">
        <is>
          <t>实验资料/抗坏血酸.xlsx</t>
        </is>
      </c>
    </row>
    <row r="175">
      <c r="A175" s="16" t="inlineStr">
        <is>
          <t>抗坏血酸</t>
        </is>
      </c>
      <c r="B175" s="16" t="inlineStr">
        <is>
          <t>g·kg⁻¹ FW</t>
        </is>
      </c>
      <c r="C175" s="30" t="n">
        <v>21</v>
      </c>
      <c r="D175" s="16" t="inlineStr">
        <is>
          <t>CK</t>
        </is>
      </c>
      <c r="E175" s="30" t="n">
        <v>3</v>
      </c>
      <c r="F175" s="31" t="n">
        <v>0.67</v>
      </c>
      <c r="G175" s="16" t="inlineStr">
        <is>
          <t>实验资料/抗坏血酸.xlsx</t>
        </is>
      </c>
    </row>
    <row r="176">
      <c r="A176" s="16" t="inlineStr">
        <is>
          <t>抗坏血酸</t>
        </is>
      </c>
      <c r="B176" s="16" t="inlineStr">
        <is>
          <t>g·kg⁻¹ FW</t>
        </is>
      </c>
      <c r="C176" s="30" t="n">
        <v>21</v>
      </c>
      <c r="D176" s="16" t="inlineStr">
        <is>
          <t>GA3</t>
        </is>
      </c>
      <c r="E176" s="30" t="n">
        <v>1</v>
      </c>
      <c r="F176" s="31" t="n">
        <v>0.71</v>
      </c>
      <c r="G176" s="16" t="inlineStr">
        <is>
          <t>实验资料/抗坏血酸.xlsx</t>
        </is>
      </c>
    </row>
    <row r="177">
      <c r="A177" s="16" t="inlineStr">
        <is>
          <t>抗坏血酸</t>
        </is>
      </c>
      <c r="B177" s="16" t="inlineStr">
        <is>
          <t>g·kg⁻¹ FW</t>
        </is>
      </c>
      <c r="C177" s="30" t="n">
        <v>21</v>
      </c>
      <c r="D177" s="16" t="inlineStr">
        <is>
          <t>GA3</t>
        </is>
      </c>
      <c r="E177" s="30" t="n">
        <v>2</v>
      </c>
      <c r="F177" s="31" t="n">
        <v>0.72</v>
      </c>
      <c r="G177" s="16" t="inlineStr">
        <is>
          <t>实验资料/抗坏血酸.xlsx</t>
        </is>
      </c>
    </row>
    <row r="178">
      <c r="A178" s="16" t="inlineStr">
        <is>
          <t>抗坏血酸</t>
        </is>
      </c>
      <c r="B178" s="16" t="inlineStr">
        <is>
          <t>g·kg⁻¹ FW</t>
        </is>
      </c>
      <c r="C178" s="30" t="n">
        <v>21</v>
      </c>
      <c r="D178" s="16" t="inlineStr">
        <is>
          <t>GA3</t>
        </is>
      </c>
      <c r="E178" s="30" t="n">
        <v>3</v>
      </c>
      <c r="F178" s="31" t="n">
        <v>0.7</v>
      </c>
      <c r="G178" s="16" t="inlineStr">
        <is>
          <t>实验资料/抗坏血酸.xlsx</t>
        </is>
      </c>
    </row>
    <row r="179">
      <c r="A179" s="16" t="inlineStr">
        <is>
          <t>抗坏血酸</t>
        </is>
      </c>
      <c r="B179" s="16" t="inlineStr">
        <is>
          <t>g·kg⁻¹ FW</t>
        </is>
      </c>
      <c r="C179" s="30" t="n">
        <v>28</v>
      </c>
      <c r="D179" s="16" t="inlineStr">
        <is>
          <t>CK</t>
        </is>
      </c>
      <c r="E179" s="30" t="n">
        <v>1</v>
      </c>
      <c r="F179" s="31" t="n">
        <v>0.48</v>
      </c>
      <c r="G179" s="16" t="inlineStr">
        <is>
          <t>实验资料/抗坏血酸.xlsx</t>
        </is>
      </c>
    </row>
    <row r="180">
      <c r="A180" s="16" t="inlineStr">
        <is>
          <t>抗坏血酸</t>
        </is>
      </c>
      <c r="B180" s="16" t="inlineStr">
        <is>
          <t>g·kg⁻¹ FW</t>
        </is>
      </c>
      <c r="C180" s="30" t="n">
        <v>28</v>
      </c>
      <c r="D180" s="16" t="inlineStr">
        <is>
          <t>CK</t>
        </is>
      </c>
      <c r="E180" s="30" t="n">
        <v>2</v>
      </c>
      <c r="F180" s="31" t="n">
        <v>0.49</v>
      </c>
      <c r="G180" s="16" t="inlineStr">
        <is>
          <t>实验资料/抗坏血酸.xlsx</t>
        </is>
      </c>
    </row>
    <row r="181">
      <c r="A181" s="16" t="inlineStr">
        <is>
          <t>抗坏血酸</t>
        </is>
      </c>
      <c r="B181" s="16" t="inlineStr">
        <is>
          <t>g·kg⁻¹ FW</t>
        </is>
      </c>
      <c r="C181" s="30" t="n">
        <v>28</v>
      </c>
      <c r="D181" s="16" t="inlineStr">
        <is>
          <t>CK</t>
        </is>
      </c>
      <c r="E181" s="30" t="n">
        <v>3</v>
      </c>
      <c r="F181" s="31" t="n">
        <v>0.47</v>
      </c>
      <c r="G181" s="16" t="inlineStr">
        <is>
          <t>实验资料/抗坏血酸.xlsx</t>
        </is>
      </c>
    </row>
    <row r="182">
      <c r="A182" s="16" t="inlineStr">
        <is>
          <t>抗坏血酸</t>
        </is>
      </c>
      <c r="B182" s="16" t="inlineStr">
        <is>
          <t>g·kg⁻¹ FW</t>
        </is>
      </c>
      <c r="C182" s="30" t="n">
        <v>28</v>
      </c>
      <c r="D182" s="16" t="inlineStr">
        <is>
          <t>GA3</t>
        </is>
      </c>
      <c r="E182" s="30" t="n">
        <v>1</v>
      </c>
      <c r="F182" s="31" t="n">
        <v>0.51</v>
      </c>
      <c r="G182" s="16" t="inlineStr">
        <is>
          <t>实验资料/抗坏血酸.xlsx</t>
        </is>
      </c>
    </row>
    <row r="183">
      <c r="A183" s="16" t="inlineStr">
        <is>
          <t>抗坏血酸</t>
        </is>
      </c>
      <c r="B183" s="16" t="inlineStr">
        <is>
          <t>g·kg⁻¹ FW</t>
        </is>
      </c>
      <c r="C183" s="30" t="n">
        <v>28</v>
      </c>
      <c r="D183" s="16" t="inlineStr">
        <is>
          <t>GA3</t>
        </is>
      </c>
      <c r="E183" s="30" t="n">
        <v>2</v>
      </c>
      <c r="F183" s="31" t="n">
        <v>0.52</v>
      </c>
      <c r="G183" s="16" t="inlineStr">
        <is>
          <t>实验资料/抗坏血酸.xlsx</t>
        </is>
      </c>
    </row>
    <row r="184">
      <c r="A184" s="16" t="inlineStr">
        <is>
          <t>抗坏血酸</t>
        </is>
      </c>
      <c r="B184" s="16" t="inlineStr">
        <is>
          <t>g·kg⁻¹ FW</t>
        </is>
      </c>
      <c r="C184" s="30" t="n">
        <v>28</v>
      </c>
      <c r="D184" s="16" t="inlineStr">
        <is>
          <t>GA3</t>
        </is>
      </c>
      <c r="E184" s="30" t="n">
        <v>3</v>
      </c>
      <c r="F184" s="31" t="n">
        <v>0.5</v>
      </c>
      <c r="G184" s="16" t="inlineStr">
        <is>
          <t>实验资料/抗坏血酸.xlsx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4" customWidth="1" min="11" max="11"/>
    <col width="14" customWidth="1" min="12" max="12"/>
    <col width="22" customWidth="1" min="13" max="13"/>
  </cols>
  <sheetData>
    <row r="1" ht="28" customHeight="1">
      <c r="A1" s="3" t="inlineStr">
        <is>
          <t>试验统计</t>
        </is>
      </c>
    </row>
    <row r="2" ht="32" customHeight="1">
      <c r="A2" s="7" t="inlineStr">
        <is>
          <t>均值、样本标准差、组间差异和探索性检验均由“试验原始数据”公式联动；p值不替代效应量、轨迹和独立批次复现。</t>
        </is>
      </c>
    </row>
    <row r="4" ht="30" customHeight="1">
      <c r="A4" s="13" t="inlineStr">
        <is>
          <t>指标</t>
        </is>
      </c>
      <c r="B4" s="13" t="inlineStr">
        <is>
          <t>单位</t>
        </is>
      </c>
      <c r="C4" s="13" t="inlineStr">
        <is>
          <t>时间(d)</t>
        </is>
      </c>
      <c r="D4" s="13" t="inlineStr">
        <is>
          <t>CK均值</t>
        </is>
      </c>
      <c r="E4" s="13" t="inlineStr">
        <is>
          <t>CK样本SD</t>
        </is>
      </c>
      <c r="F4" s="13" t="inlineStr">
        <is>
          <t>GA3均值</t>
        </is>
      </c>
      <c r="G4" s="13" t="inlineStr">
        <is>
          <t>GA3样本SD</t>
        </is>
      </c>
      <c r="H4" s="13" t="inlineStr">
        <is>
          <t>差值(GA3-CK)</t>
        </is>
      </c>
      <c r="I4" s="13" t="inlineStr">
        <is>
          <t>相对差异</t>
        </is>
      </c>
      <c r="J4" s="13" t="inlineStr">
        <is>
          <t>Welch双侧p</t>
        </is>
      </c>
      <c r="K4" s="13" t="inlineStr">
        <is>
          <t>Bonferroni p</t>
        </is>
      </c>
      <c r="L4" s="13" t="inlineStr">
        <is>
          <t>方向</t>
        </is>
      </c>
      <c r="M4" s="13" t="inlineStr">
        <is>
          <t>原始数据行</t>
        </is>
      </c>
      <c r="O4" s="13" t="inlineStr">
        <is>
          <t>时间(d)</t>
        </is>
      </c>
      <c r="P4" s="13" t="inlineStr">
        <is>
          <t>CK硬度(N)</t>
        </is>
      </c>
      <c r="Q4" s="13" t="inlineStr">
        <is>
          <t>GA3硬度(N)</t>
        </is>
      </c>
    </row>
    <row r="5">
      <c r="A5" s="16" t="inlineStr">
        <is>
          <t>硬度</t>
        </is>
      </c>
      <c r="B5" s="16" t="inlineStr">
        <is>
          <t>N</t>
        </is>
      </c>
      <c r="C5" s="16" t="n">
        <v>0</v>
      </c>
      <c r="D5" s="31">
        <f>AVERAGE('试验原始数据'!$F$5:$F$7)</f>
        <v/>
      </c>
      <c r="E5" s="31">
        <f>STDEV.S('试验原始数据'!$F$5:$F$7)</f>
        <v/>
      </c>
      <c r="F5" s="31">
        <f>AVERAGE('试验原始数据'!$F$8:$F$10)</f>
        <v/>
      </c>
      <c r="G5" s="31">
        <f>STDEV.S('试验原始数据'!$F$8:$F$10)</f>
        <v/>
      </c>
      <c r="H5" s="31">
        <f>F5-D5</f>
        <v/>
      </c>
      <c r="I5" s="32">
        <f>IF(D5=0,"",H5/ABS(D5))</f>
        <v/>
      </c>
      <c r="J5" s="33">
        <f>IF(AND(E5=0,G5=0),IF(H5=0,1,""),T.TEST('试验原始数据'!$F$5:$F$7,'试验原始数据'!$F$8:$F$10,2,3))</f>
        <v/>
      </c>
      <c r="K5" s="33">
        <f>IF(J5="","",MIN(1,J5*30))</f>
        <v/>
      </c>
      <c r="L5" s="16">
        <f>IF(H5&gt;0,"GA₃高于CK",IF(H5&lt;0,"GA₃低于CK","无差异"))</f>
        <v/>
      </c>
      <c r="M5" s="16">
        <f>"试验原始数据!"&amp;"F5:F10"</f>
        <v/>
      </c>
      <c r="O5" s="16">
        <f>C5</f>
        <v/>
      </c>
      <c r="P5" s="16">
        <f>D5</f>
        <v/>
      </c>
      <c r="Q5" s="16">
        <f>F5</f>
        <v/>
      </c>
    </row>
    <row r="6">
      <c r="A6" s="16" t="inlineStr">
        <is>
          <t>硬度</t>
        </is>
      </c>
      <c r="B6" s="16" t="inlineStr">
        <is>
          <t>N</t>
        </is>
      </c>
      <c r="C6" s="16" t="n">
        <v>7</v>
      </c>
      <c r="D6" s="31">
        <f>AVERAGE('试验原始数据'!$F$11:$F$13)</f>
        <v/>
      </c>
      <c r="E6" s="31">
        <f>STDEV.S('试验原始数据'!$F$11:$F$13)</f>
        <v/>
      </c>
      <c r="F6" s="31">
        <f>AVERAGE('试验原始数据'!$F$14:$F$16)</f>
        <v/>
      </c>
      <c r="G6" s="31">
        <f>STDEV.S('试验原始数据'!$F$14:$F$16)</f>
        <v/>
      </c>
      <c r="H6" s="31">
        <f>F6-D6</f>
        <v/>
      </c>
      <c r="I6" s="32">
        <f>IF(D6=0,"",H6/ABS(D6))</f>
        <v/>
      </c>
      <c r="J6" s="33">
        <f>IF(AND(E6=0,G6=0),IF(H6=0,1,""),T.TEST('试验原始数据'!$F$11:$F$13,'试验原始数据'!$F$14:$F$16,2,3))</f>
        <v/>
      </c>
      <c r="K6" s="33">
        <f>IF(J6="","",MIN(1,J6*30))</f>
        <v/>
      </c>
      <c r="L6" s="16">
        <f>IF(H6&gt;0,"GA₃高于CK",IF(H6&lt;0,"GA₃低于CK","无差异"))</f>
        <v/>
      </c>
      <c r="M6" s="16">
        <f>"试验原始数据!"&amp;"F11:F16"</f>
        <v/>
      </c>
      <c r="O6" s="16">
        <f>C6</f>
        <v/>
      </c>
      <c r="P6" s="16">
        <f>D6</f>
        <v/>
      </c>
      <c r="Q6" s="16">
        <f>F6</f>
        <v/>
      </c>
    </row>
    <row r="7">
      <c r="A7" s="16" t="inlineStr">
        <is>
          <t>硬度</t>
        </is>
      </c>
      <c r="B7" s="16" t="inlineStr">
        <is>
          <t>N</t>
        </is>
      </c>
      <c r="C7" s="16" t="n">
        <v>14</v>
      </c>
      <c r="D7" s="31">
        <f>AVERAGE('试验原始数据'!$F$17:$F$19)</f>
        <v/>
      </c>
      <c r="E7" s="31">
        <f>STDEV.S('试验原始数据'!$F$17:$F$19)</f>
        <v/>
      </c>
      <c r="F7" s="31">
        <f>AVERAGE('试验原始数据'!$F$20:$F$22)</f>
        <v/>
      </c>
      <c r="G7" s="31">
        <f>STDEV.S('试验原始数据'!$F$20:$F$22)</f>
        <v/>
      </c>
      <c r="H7" s="31">
        <f>F7-D7</f>
        <v/>
      </c>
      <c r="I7" s="32">
        <f>IF(D7=0,"",H7/ABS(D7))</f>
        <v/>
      </c>
      <c r="J7" s="33">
        <f>IF(AND(E7=0,G7=0),IF(H7=0,1,""),T.TEST('试验原始数据'!$F$17:$F$19,'试验原始数据'!$F$20:$F$22,2,3))</f>
        <v/>
      </c>
      <c r="K7" s="33">
        <f>IF(J7="","",MIN(1,J7*30))</f>
        <v/>
      </c>
      <c r="L7" s="16">
        <f>IF(H7&gt;0,"GA₃高于CK",IF(H7&lt;0,"GA₃低于CK","无差异"))</f>
        <v/>
      </c>
      <c r="M7" s="16">
        <f>"试验原始数据!"&amp;"F17:F22"</f>
        <v/>
      </c>
      <c r="O7" s="16">
        <f>C7</f>
        <v/>
      </c>
      <c r="P7" s="16">
        <f>D7</f>
        <v/>
      </c>
      <c r="Q7" s="16">
        <f>F7</f>
        <v/>
      </c>
    </row>
    <row r="8">
      <c r="A8" s="16" t="inlineStr">
        <is>
          <t>硬度</t>
        </is>
      </c>
      <c r="B8" s="16" t="inlineStr">
        <is>
          <t>N</t>
        </is>
      </c>
      <c r="C8" s="16" t="n">
        <v>21</v>
      </c>
      <c r="D8" s="31">
        <f>AVERAGE('试验原始数据'!$F$23:$F$25)</f>
        <v/>
      </c>
      <c r="E8" s="31">
        <f>STDEV.S('试验原始数据'!$F$23:$F$25)</f>
        <v/>
      </c>
      <c r="F8" s="31">
        <f>AVERAGE('试验原始数据'!$F$26:$F$28)</f>
        <v/>
      </c>
      <c r="G8" s="31">
        <f>STDEV.S('试验原始数据'!$F$26:$F$28)</f>
        <v/>
      </c>
      <c r="H8" s="31">
        <f>F8-D8</f>
        <v/>
      </c>
      <c r="I8" s="32">
        <f>IF(D8=0,"",H8/ABS(D8))</f>
        <v/>
      </c>
      <c r="J8" s="33">
        <f>IF(AND(E8=0,G8=0),IF(H8=0,1,""),T.TEST('试验原始数据'!$F$23:$F$25,'试验原始数据'!$F$26:$F$28,2,3))</f>
        <v/>
      </c>
      <c r="K8" s="33">
        <f>IF(J8="","",MIN(1,J8*30))</f>
        <v/>
      </c>
      <c r="L8" s="16">
        <f>IF(H8&gt;0,"GA₃高于CK",IF(H8&lt;0,"GA₃低于CK","无差异"))</f>
        <v/>
      </c>
      <c r="M8" s="16">
        <f>"试验原始数据!"&amp;"F23:F28"</f>
        <v/>
      </c>
      <c r="O8" s="16">
        <f>C8</f>
        <v/>
      </c>
      <c r="P8" s="16">
        <f>D8</f>
        <v/>
      </c>
      <c r="Q8" s="16">
        <f>F8</f>
        <v/>
      </c>
    </row>
    <row r="9">
      <c r="A9" s="16" t="inlineStr">
        <is>
          <t>硬度</t>
        </is>
      </c>
      <c r="B9" s="16" t="inlineStr">
        <is>
          <t>N</t>
        </is>
      </c>
      <c r="C9" s="16" t="n">
        <v>28</v>
      </c>
      <c r="D9" s="31">
        <f>AVERAGE('试验原始数据'!$F$29:$F$31)</f>
        <v/>
      </c>
      <c r="E9" s="31">
        <f>STDEV.S('试验原始数据'!$F$29:$F$31)</f>
        <v/>
      </c>
      <c r="F9" s="31">
        <f>AVERAGE('试验原始数据'!$F$32:$F$34)</f>
        <v/>
      </c>
      <c r="G9" s="31">
        <f>STDEV.S('试验原始数据'!$F$32:$F$34)</f>
        <v/>
      </c>
      <c r="H9" s="31">
        <f>F9-D9</f>
        <v/>
      </c>
      <c r="I9" s="32">
        <f>IF(D9=0,"",H9/ABS(D9))</f>
        <v/>
      </c>
      <c r="J9" s="33">
        <f>IF(AND(E9=0,G9=0),IF(H9=0,1,""),T.TEST('试验原始数据'!$F$29:$F$31,'试验原始数据'!$F$32:$F$34,2,3))</f>
        <v/>
      </c>
      <c r="K9" s="33">
        <f>IF(J9="","",MIN(1,J9*30))</f>
        <v/>
      </c>
      <c r="L9" s="16">
        <f>IF(H9&gt;0,"GA₃高于CK",IF(H9&lt;0,"GA₃低于CK","无差异"))</f>
        <v/>
      </c>
      <c r="M9" s="16">
        <f>"试验原始数据!"&amp;"F29:F34"</f>
        <v/>
      </c>
      <c r="O9" s="16">
        <f>C9</f>
        <v/>
      </c>
      <c r="P9" s="16">
        <f>D9</f>
        <v/>
      </c>
      <c r="Q9" s="16">
        <f>F9</f>
        <v/>
      </c>
    </row>
    <row r="10">
      <c r="A10" s="16" t="inlineStr">
        <is>
          <t>可溶性固形物</t>
        </is>
      </c>
      <c r="B10" s="16" t="inlineStr">
        <is>
          <t>%</t>
        </is>
      </c>
      <c r="C10" s="16" t="n">
        <v>0</v>
      </c>
      <c r="D10" s="31">
        <f>AVERAGE('试验原始数据'!$F$35:$F$37)</f>
        <v/>
      </c>
      <c r="E10" s="31">
        <f>STDEV.S('试验原始数据'!$F$35:$F$37)</f>
        <v/>
      </c>
      <c r="F10" s="31">
        <f>AVERAGE('试验原始数据'!$F$38:$F$40)</f>
        <v/>
      </c>
      <c r="G10" s="31">
        <f>STDEV.S('试验原始数据'!$F$38:$F$40)</f>
        <v/>
      </c>
      <c r="H10" s="31">
        <f>F10-D10</f>
        <v/>
      </c>
      <c r="I10" s="32">
        <f>IF(D10=0,"",H10/ABS(D10))</f>
        <v/>
      </c>
      <c r="J10" s="33">
        <f>IF(AND(E10=0,G10=0),IF(H10=0,1,""),T.TEST('试验原始数据'!$F$35:$F$37,'试验原始数据'!$F$38:$F$40,2,3))</f>
        <v/>
      </c>
      <c r="K10" s="33">
        <f>IF(J10="","",MIN(1,J10*30))</f>
        <v/>
      </c>
      <c r="L10" s="16">
        <f>IF(H10&gt;0,"GA₃高于CK",IF(H10&lt;0,"GA₃低于CK","无差异"))</f>
        <v/>
      </c>
      <c r="M10" s="16">
        <f>"试验原始数据!"&amp;"F35:F40"</f>
        <v/>
      </c>
    </row>
    <row r="11">
      <c r="A11" s="16" t="inlineStr">
        <is>
          <t>可溶性固形物</t>
        </is>
      </c>
      <c r="B11" s="16" t="inlineStr">
        <is>
          <t>%</t>
        </is>
      </c>
      <c r="C11" s="16" t="n">
        <v>7</v>
      </c>
      <c r="D11" s="31">
        <f>AVERAGE('试验原始数据'!$F$41:$F$43)</f>
        <v/>
      </c>
      <c r="E11" s="31">
        <f>STDEV.S('试验原始数据'!$F$41:$F$43)</f>
        <v/>
      </c>
      <c r="F11" s="31">
        <f>AVERAGE('试验原始数据'!$F$44:$F$46)</f>
        <v/>
      </c>
      <c r="G11" s="31">
        <f>STDEV.S('试验原始数据'!$F$44:$F$46)</f>
        <v/>
      </c>
      <c r="H11" s="31">
        <f>F11-D11</f>
        <v/>
      </c>
      <c r="I11" s="32">
        <f>IF(D11=0,"",H11/ABS(D11))</f>
        <v/>
      </c>
      <c r="J11" s="33">
        <f>IF(AND(E11=0,G11=0),IF(H11=0,1,""),T.TEST('试验原始数据'!$F$41:$F$43,'试验原始数据'!$F$44:$F$46,2,3))</f>
        <v/>
      </c>
      <c r="K11" s="33">
        <f>IF(J11="","",MIN(1,J11*30))</f>
        <v/>
      </c>
      <c r="L11" s="16">
        <f>IF(H11&gt;0,"GA₃高于CK",IF(H11&lt;0,"GA₃低于CK","无差异"))</f>
        <v/>
      </c>
      <c r="M11" s="16">
        <f>"试验原始数据!"&amp;"F41:F46"</f>
        <v/>
      </c>
    </row>
    <row r="12">
      <c r="A12" s="16" t="inlineStr">
        <is>
          <t>可溶性固形物</t>
        </is>
      </c>
      <c r="B12" s="16" t="inlineStr">
        <is>
          <t>%</t>
        </is>
      </c>
      <c r="C12" s="16" t="n">
        <v>14</v>
      </c>
      <c r="D12" s="31">
        <f>AVERAGE('试验原始数据'!$F$47:$F$49)</f>
        <v/>
      </c>
      <c r="E12" s="31">
        <f>STDEV.S('试验原始数据'!$F$47:$F$49)</f>
        <v/>
      </c>
      <c r="F12" s="31">
        <f>AVERAGE('试验原始数据'!$F$50:$F$52)</f>
        <v/>
      </c>
      <c r="G12" s="31">
        <f>STDEV.S('试验原始数据'!$F$50:$F$52)</f>
        <v/>
      </c>
      <c r="H12" s="31">
        <f>F12-D12</f>
        <v/>
      </c>
      <c r="I12" s="32">
        <f>IF(D12=0,"",H12/ABS(D12))</f>
        <v/>
      </c>
      <c r="J12" s="33">
        <f>IF(AND(E12=0,G12=0),IF(H12=0,1,""),T.TEST('试验原始数据'!$F$47:$F$49,'试验原始数据'!$F$50:$F$52,2,3))</f>
        <v/>
      </c>
      <c r="K12" s="33">
        <f>IF(J12="","",MIN(1,J12*30))</f>
        <v/>
      </c>
      <c r="L12" s="16">
        <f>IF(H12&gt;0,"GA₃高于CK",IF(H12&lt;0,"GA₃低于CK","无差异"))</f>
        <v/>
      </c>
      <c r="M12" s="16">
        <f>"试验原始数据!"&amp;"F47:F52"</f>
        <v/>
      </c>
    </row>
    <row r="13">
      <c r="A13" s="16" t="inlineStr">
        <is>
          <t>可溶性固形物</t>
        </is>
      </c>
      <c r="B13" s="16" t="inlineStr">
        <is>
          <t>%</t>
        </is>
      </c>
      <c r="C13" s="16" t="n">
        <v>21</v>
      </c>
      <c r="D13" s="31">
        <f>AVERAGE('试验原始数据'!$F$53:$F$55)</f>
        <v/>
      </c>
      <c r="E13" s="31">
        <f>STDEV.S('试验原始数据'!$F$53:$F$55)</f>
        <v/>
      </c>
      <c r="F13" s="31">
        <f>AVERAGE('试验原始数据'!$F$56:$F$58)</f>
        <v/>
      </c>
      <c r="G13" s="31">
        <f>STDEV.S('试验原始数据'!$F$56:$F$58)</f>
        <v/>
      </c>
      <c r="H13" s="31">
        <f>F13-D13</f>
        <v/>
      </c>
      <c r="I13" s="32">
        <f>IF(D13=0,"",H13/ABS(D13))</f>
        <v/>
      </c>
      <c r="J13" s="33">
        <f>IF(AND(E13=0,G13=0),IF(H13=0,1,""),T.TEST('试验原始数据'!$F$53:$F$55,'试验原始数据'!$F$56:$F$58,2,3))</f>
        <v/>
      </c>
      <c r="K13" s="33">
        <f>IF(J13="","",MIN(1,J13*30))</f>
        <v/>
      </c>
      <c r="L13" s="16">
        <f>IF(H13&gt;0,"GA₃高于CK",IF(H13&lt;0,"GA₃低于CK","无差异"))</f>
        <v/>
      </c>
      <c r="M13" s="16">
        <f>"试验原始数据!"&amp;"F53:F58"</f>
        <v/>
      </c>
    </row>
    <row r="14">
      <c r="A14" s="16" t="inlineStr">
        <is>
          <t>可溶性固形物</t>
        </is>
      </c>
      <c r="B14" s="16" t="inlineStr">
        <is>
          <t>%</t>
        </is>
      </c>
      <c r="C14" s="16" t="n">
        <v>28</v>
      </c>
      <c r="D14" s="31">
        <f>AVERAGE('试验原始数据'!$F$59:$F$61)</f>
        <v/>
      </c>
      <c r="E14" s="31">
        <f>STDEV.S('试验原始数据'!$F$59:$F$61)</f>
        <v/>
      </c>
      <c r="F14" s="31">
        <f>AVERAGE('试验原始数据'!$F$62:$F$64)</f>
        <v/>
      </c>
      <c r="G14" s="31">
        <f>STDEV.S('试验原始数据'!$F$62:$F$64)</f>
        <v/>
      </c>
      <c r="H14" s="31">
        <f>F14-D14</f>
        <v/>
      </c>
      <c r="I14" s="32">
        <f>IF(D14=0,"",H14/ABS(D14))</f>
        <v/>
      </c>
      <c r="J14" s="33">
        <f>IF(AND(E14=0,G14=0),IF(H14=0,1,""),T.TEST('试验原始数据'!$F$59:$F$61,'试验原始数据'!$F$62:$F$64,2,3))</f>
        <v/>
      </c>
      <c r="K14" s="33">
        <f>IF(J14="","",MIN(1,J14*30))</f>
        <v/>
      </c>
      <c r="L14" s="16">
        <f>IF(H14&gt;0,"GA₃高于CK",IF(H14&lt;0,"GA₃低于CK","无差异"))</f>
        <v/>
      </c>
      <c r="M14" s="16">
        <f>"试验原始数据!"&amp;"F59:F64"</f>
        <v/>
      </c>
    </row>
    <row r="15">
      <c r="A15" s="16" t="inlineStr">
        <is>
          <t>总酸</t>
        </is>
      </c>
      <c r="B15" s="16" t="inlineStr">
        <is>
          <t>%</t>
        </is>
      </c>
      <c r="C15" s="16" t="n">
        <v>0</v>
      </c>
      <c r="D15" s="31">
        <f>AVERAGE('试验原始数据'!$F$65:$F$67)</f>
        <v/>
      </c>
      <c r="E15" s="31">
        <f>STDEV.S('试验原始数据'!$F$65:$F$67)</f>
        <v/>
      </c>
      <c r="F15" s="31">
        <f>AVERAGE('试验原始数据'!$F$68:$F$70)</f>
        <v/>
      </c>
      <c r="G15" s="31">
        <f>STDEV.S('试验原始数据'!$F$68:$F$70)</f>
        <v/>
      </c>
      <c r="H15" s="31">
        <f>F15-D15</f>
        <v/>
      </c>
      <c r="I15" s="32">
        <f>IF(D15=0,"",H15/ABS(D15))</f>
        <v/>
      </c>
      <c r="J15" s="33">
        <f>IF(AND(E15=0,G15=0),IF(H15=0,1,""),T.TEST('试验原始数据'!$F$65:$F$67,'试验原始数据'!$F$68:$F$70,2,3))</f>
        <v/>
      </c>
      <c r="K15" s="33">
        <f>IF(J15="","",MIN(1,J15*30))</f>
        <v/>
      </c>
      <c r="L15" s="16">
        <f>IF(H15&gt;0,"GA₃高于CK",IF(H15&lt;0,"GA₃低于CK","无差异"))</f>
        <v/>
      </c>
      <c r="M15" s="16">
        <f>"试验原始数据!"&amp;"F65:F70"</f>
        <v/>
      </c>
    </row>
    <row r="16">
      <c r="A16" s="16" t="inlineStr">
        <is>
          <t>总酸</t>
        </is>
      </c>
      <c r="B16" s="16" t="inlineStr">
        <is>
          <t>%</t>
        </is>
      </c>
      <c r="C16" s="16" t="n">
        <v>7</v>
      </c>
      <c r="D16" s="31">
        <f>AVERAGE('试验原始数据'!$F$71:$F$73)</f>
        <v/>
      </c>
      <c r="E16" s="31">
        <f>STDEV.S('试验原始数据'!$F$71:$F$73)</f>
        <v/>
      </c>
      <c r="F16" s="31">
        <f>AVERAGE('试验原始数据'!$F$74:$F$76)</f>
        <v/>
      </c>
      <c r="G16" s="31">
        <f>STDEV.S('试验原始数据'!$F$74:$F$76)</f>
        <v/>
      </c>
      <c r="H16" s="31">
        <f>F16-D16</f>
        <v/>
      </c>
      <c r="I16" s="32">
        <f>IF(D16=0,"",H16/ABS(D16))</f>
        <v/>
      </c>
      <c r="J16" s="33">
        <f>IF(AND(E16=0,G16=0),IF(H16=0,1,""),T.TEST('试验原始数据'!$F$71:$F$73,'试验原始数据'!$F$74:$F$76,2,3))</f>
        <v/>
      </c>
      <c r="K16" s="33">
        <f>IF(J16="","",MIN(1,J16*30))</f>
        <v/>
      </c>
      <c r="L16" s="16">
        <f>IF(H16&gt;0,"GA₃高于CK",IF(H16&lt;0,"GA₃低于CK","无差异"))</f>
        <v/>
      </c>
      <c r="M16" s="16">
        <f>"试验原始数据!"&amp;"F71:F76"</f>
        <v/>
      </c>
    </row>
    <row r="17">
      <c r="A17" s="16" t="inlineStr">
        <is>
          <t>总酸</t>
        </is>
      </c>
      <c r="B17" s="16" t="inlineStr">
        <is>
          <t>%</t>
        </is>
      </c>
      <c r="C17" s="16" t="n">
        <v>14</v>
      </c>
      <c r="D17" s="31">
        <f>AVERAGE('试验原始数据'!$F$77:$F$79)</f>
        <v/>
      </c>
      <c r="E17" s="31">
        <f>STDEV.S('试验原始数据'!$F$77:$F$79)</f>
        <v/>
      </c>
      <c r="F17" s="31">
        <f>AVERAGE('试验原始数据'!$F$80:$F$82)</f>
        <v/>
      </c>
      <c r="G17" s="31">
        <f>STDEV.S('试验原始数据'!$F$80:$F$82)</f>
        <v/>
      </c>
      <c r="H17" s="31">
        <f>F17-D17</f>
        <v/>
      </c>
      <c r="I17" s="32">
        <f>IF(D17=0,"",H17/ABS(D17))</f>
        <v/>
      </c>
      <c r="J17" s="33">
        <f>IF(AND(E17=0,G17=0),IF(H17=0,1,""),T.TEST('试验原始数据'!$F$77:$F$79,'试验原始数据'!$F$80:$F$82,2,3))</f>
        <v/>
      </c>
      <c r="K17" s="33">
        <f>IF(J17="","",MIN(1,J17*30))</f>
        <v/>
      </c>
      <c r="L17" s="16">
        <f>IF(H17&gt;0,"GA₃高于CK",IF(H17&lt;0,"GA₃低于CK","无差异"))</f>
        <v/>
      </c>
      <c r="M17" s="16">
        <f>"试验原始数据!"&amp;"F77:F82"</f>
        <v/>
      </c>
    </row>
    <row r="18">
      <c r="A18" s="16" t="inlineStr">
        <is>
          <t>总酸</t>
        </is>
      </c>
      <c r="B18" s="16" t="inlineStr">
        <is>
          <t>%</t>
        </is>
      </c>
      <c r="C18" s="16" t="n">
        <v>21</v>
      </c>
      <c r="D18" s="31">
        <f>AVERAGE('试验原始数据'!$F$83:$F$85)</f>
        <v/>
      </c>
      <c r="E18" s="31">
        <f>STDEV.S('试验原始数据'!$F$83:$F$85)</f>
        <v/>
      </c>
      <c r="F18" s="31">
        <f>AVERAGE('试验原始数据'!$F$86:$F$88)</f>
        <v/>
      </c>
      <c r="G18" s="31">
        <f>STDEV.S('试验原始数据'!$F$86:$F$88)</f>
        <v/>
      </c>
      <c r="H18" s="31">
        <f>F18-D18</f>
        <v/>
      </c>
      <c r="I18" s="32">
        <f>IF(D18=0,"",H18/ABS(D18))</f>
        <v/>
      </c>
      <c r="J18" s="33">
        <f>IF(AND(E18=0,G18=0),IF(H18=0,1,""),T.TEST('试验原始数据'!$F$83:$F$85,'试验原始数据'!$F$86:$F$88,2,3))</f>
        <v/>
      </c>
      <c r="K18" s="33">
        <f>IF(J18="","",MIN(1,J18*30))</f>
        <v/>
      </c>
      <c r="L18" s="16">
        <f>IF(H18&gt;0,"GA₃高于CK",IF(H18&lt;0,"GA₃低于CK","无差异"))</f>
        <v/>
      </c>
      <c r="M18" s="16">
        <f>"试验原始数据!"&amp;"F83:F88"</f>
        <v/>
      </c>
    </row>
    <row r="19">
      <c r="A19" s="16" t="inlineStr">
        <is>
          <t>总酸</t>
        </is>
      </c>
      <c r="B19" s="16" t="inlineStr">
        <is>
          <t>%</t>
        </is>
      </c>
      <c r="C19" s="16" t="n">
        <v>28</v>
      </c>
      <c r="D19" s="31">
        <f>AVERAGE('试验原始数据'!$F$89:$F$91)</f>
        <v/>
      </c>
      <c r="E19" s="31">
        <f>STDEV.S('试验原始数据'!$F$89:$F$91)</f>
        <v/>
      </c>
      <c r="F19" s="31">
        <f>AVERAGE('试验原始数据'!$F$92:$F$94)</f>
        <v/>
      </c>
      <c r="G19" s="31">
        <f>STDEV.S('试验原始数据'!$F$92:$F$94)</f>
        <v/>
      </c>
      <c r="H19" s="31">
        <f>F19-D19</f>
        <v/>
      </c>
      <c r="I19" s="32">
        <f>IF(D19=0,"",H19/ABS(D19))</f>
        <v/>
      </c>
      <c r="J19" s="33">
        <f>IF(AND(E19=0,G19=0),IF(H19=0,1,""),T.TEST('试验原始数据'!$F$89:$F$91,'试验原始数据'!$F$92:$F$94,2,3))</f>
        <v/>
      </c>
      <c r="K19" s="33">
        <f>IF(J19="","",MIN(1,J19*30))</f>
        <v/>
      </c>
      <c r="L19" s="16">
        <f>IF(H19&gt;0,"GA₃高于CK",IF(H19&lt;0,"GA₃低于CK","无差异"))</f>
        <v/>
      </c>
      <c r="M19" s="16">
        <f>"试验原始数据!"&amp;"F89:F94"</f>
        <v/>
      </c>
    </row>
    <row r="20">
      <c r="A20" s="16" t="inlineStr">
        <is>
          <t>乙烯释放速率</t>
        </is>
      </c>
      <c r="B20" s="16" t="inlineStr">
        <is>
          <t>μL·kg⁻¹·h⁻¹</t>
        </is>
      </c>
      <c r="C20" s="16" t="n">
        <v>0</v>
      </c>
      <c r="D20" s="31">
        <f>AVERAGE('试验原始数据'!$F$95:$F$97)</f>
        <v/>
      </c>
      <c r="E20" s="31">
        <f>STDEV.S('试验原始数据'!$F$95:$F$97)</f>
        <v/>
      </c>
      <c r="F20" s="31">
        <f>AVERAGE('试验原始数据'!$F$98:$F$100)</f>
        <v/>
      </c>
      <c r="G20" s="31">
        <f>STDEV.S('试验原始数据'!$F$98:$F$100)</f>
        <v/>
      </c>
      <c r="H20" s="31">
        <f>F20-D20</f>
        <v/>
      </c>
      <c r="I20" s="32">
        <f>IF(D20=0,"",H20/ABS(D20))</f>
        <v/>
      </c>
      <c r="J20" s="33">
        <f>IF(AND(E20=0,G20=0),IF(H20=0,1,""),T.TEST('试验原始数据'!$F$95:$F$97,'试验原始数据'!$F$98:$F$100,2,3))</f>
        <v/>
      </c>
      <c r="K20" s="33">
        <f>IF(J20="","",MIN(1,J20*30))</f>
        <v/>
      </c>
      <c r="L20" s="16">
        <f>IF(H20&gt;0,"GA₃高于CK",IF(H20&lt;0,"GA₃低于CK","无差异"))</f>
        <v/>
      </c>
      <c r="M20" s="16">
        <f>"试验原始数据!"&amp;"F95:F100"</f>
        <v/>
      </c>
    </row>
    <row r="21">
      <c r="A21" s="16" t="inlineStr">
        <is>
          <t>乙烯释放速率</t>
        </is>
      </c>
      <c r="B21" s="16" t="inlineStr">
        <is>
          <t>μL·kg⁻¹·h⁻¹</t>
        </is>
      </c>
      <c r="C21" s="16" t="n">
        <v>7</v>
      </c>
      <c r="D21" s="31">
        <f>AVERAGE('试验原始数据'!$F$101:$F$103)</f>
        <v/>
      </c>
      <c r="E21" s="31">
        <f>STDEV.S('试验原始数据'!$F$101:$F$103)</f>
        <v/>
      </c>
      <c r="F21" s="31">
        <f>AVERAGE('试验原始数据'!$F$104:$F$106)</f>
        <v/>
      </c>
      <c r="G21" s="31">
        <f>STDEV.S('试验原始数据'!$F$104:$F$106)</f>
        <v/>
      </c>
      <c r="H21" s="31">
        <f>F21-D21</f>
        <v/>
      </c>
      <c r="I21" s="32">
        <f>IF(D21=0,"",H21/ABS(D21))</f>
        <v/>
      </c>
      <c r="J21" s="33">
        <f>IF(AND(E21=0,G21=0),IF(H21=0,1,""),T.TEST('试验原始数据'!$F$101:$F$103,'试验原始数据'!$F$104:$F$106,2,3))</f>
        <v/>
      </c>
      <c r="K21" s="33">
        <f>IF(J21="","",MIN(1,J21*30))</f>
        <v/>
      </c>
      <c r="L21" s="16">
        <f>IF(H21&gt;0,"GA₃高于CK",IF(H21&lt;0,"GA₃低于CK","无差异"))</f>
        <v/>
      </c>
      <c r="M21" s="16">
        <f>"试验原始数据!"&amp;"F101:F106"</f>
        <v/>
      </c>
    </row>
    <row r="22">
      <c r="A22" s="16" t="inlineStr">
        <is>
          <t>乙烯释放速率</t>
        </is>
      </c>
      <c r="B22" s="16" t="inlineStr">
        <is>
          <t>μL·kg⁻¹·h⁻¹</t>
        </is>
      </c>
      <c r="C22" s="16" t="n">
        <v>14</v>
      </c>
      <c r="D22" s="31">
        <f>AVERAGE('试验原始数据'!$F$107:$F$109)</f>
        <v/>
      </c>
      <c r="E22" s="31">
        <f>STDEV.S('试验原始数据'!$F$107:$F$109)</f>
        <v/>
      </c>
      <c r="F22" s="31">
        <f>AVERAGE('试验原始数据'!$F$110:$F$112)</f>
        <v/>
      </c>
      <c r="G22" s="31">
        <f>STDEV.S('试验原始数据'!$F$110:$F$112)</f>
        <v/>
      </c>
      <c r="H22" s="31">
        <f>F22-D22</f>
        <v/>
      </c>
      <c r="I22" s="32">
        <f>IF(D22=0,"",H22/ABS(D22))</f>
        <v/>
      </c>
      <c r="J22" s="33">
        <f>IF(AND(E22=0,G22=0),IF(H22=0,1,""),T.TEST('试验原始数据'!$F$107:$F$109,'试验原始数据'!$F$110:$F$112,2,3))</f>
        <v/>
      </c>
      <c r="K22" s="33">
        <f>IF(J22="","",MIN(1,J22*30))</f>
        <v/>
      </c>
      <c r="L22" s="16">
        <f>IF(H22&gt;0,"GA₃高于CK",IF(H22&lt;0,"GA₃低于CK","无差异"))</f>
        <v/>
      </c>
      <c r="M22" s="16">
        <f>"试验原始数据!"&amp;"F107:F112"</f>
        <v/>
      </c>
    </row>
    <row r="23">
      <c r="A23" s="16" t="inlineStr">
        <is>
          <t>乙烯释放速率</t>
        </is>
      </c>
      <c r="B23" s="16" t="inlineStr">
        <is>
          <t>μL·kg⁻¹·h⁻¹</t>
        </is>
      </c>
      <c r="C23" s="16" t="n">
        <v>21</v>
      </c>
      <c r="D23" s="31">
        <f>AVERAGE('试验原始数据'!$F$113:$F$115)</f>
        <v/>
      </c>
      <c r="E23" s="31">
        <f>STDEV.S('试验原始数据'!$F$113:$F$115)</f>
        <v/>
      </c>
      <c r="F23" s="31">
        <f>AVERAGE('试验原始数据'!$F$116:$F$118)</f>
        <v/>
      </c>
      <c r="G23" s="31">
        <f>STDEV.S('试验原始数据'!$F$116:$F$118)</f>
        <v/>
      </c>
      <c r="H23" s="31">
        <f>F23-D23</f>
        <v/>
      </c>
      <c r="I23" s="32">
        <f>IF(D23=0,"",H23/ABS(D23))</f>
        <v/>
      </c>
      <c r="J23" s="33">
        <f>IF(AND(E23=0,G23=0),IF(H23=0,1,""),T.TEST('试验原始数据'!$F$113:$F$115,'试验原始数据'!$F$116:$F$118,2,3))</f>
        <v/>
      </c>
      <c r="K23" s="33">
        <f>IF(J23="","",MIN(1,J23*30))</f>
        <v/>
      </c>
      <c r="L23" s="16">
        <f>IF(H23&gt;0,"GA₃高于CK",IF(H23&lt;0,"GA₃低于CK","无差异"))</f>
        <v/>
      </c>
      <c r="M23" s="16">
        <f>"试验原始数据!"&amp;"F113:F118"</f>
        <v/>
      </c>
    </row>
    <row r="24">
      <c r="A24" s="16" t="inlineStr">
        <is>
          <t>乙烯释放速率</t>
        </is>
      </c>
      <c r="B24" s="16" t="inlineStr">
        <is>
          <t>μL·kg⁻¹·h⁻¹</t>
        </is>
      </c>
      <c r="C24" s="16" t="n">
        <v>28</v>
      </c>
      <c r="D24" s="31">
        <f>AVERAGE('试验原始数据'!$F$119:$F$121)</f>
        <v/>
      </c>
      <c r="E24" s="31">
        <f>STDEV.S('试验原始数据'!$F$119:$F$121)</f>
        <v/>
      </c>
      <c r="F24" s="31">
        <f>AVERAGE('试验原始数据'!$F$122:$F$124)</f>
        <v/>
      </c>
      <c r="G24" s="31">
        <f>STDEV.S('试验原始数据'!$F$122:$F$124)</f>
        <v/>
      </c>
      <c r="H24" s="31">
        <f>F24-D24</f>
        <v/>
      </c>
      <c r="I24" s="32">
        <f>IF(D24=0,"",H24/ABS(D24))</f>
        <v/>
      </c>
      <c r="J24" s="33">
        <f>IF(AND(E24=0,G24=0),IF(H24=0,1,""),T.TEST('试验原始数据'!$F$119:$F$121,'试验原始数据'!$F$122:$F$124,2,3))</f>
        <v/>
      </c>
      <c r="K24" s="33">
        <f>IF(J24="","",MIN(1,J24*30))</f>
        <v/>
      </c>
      <c r="L24" s="16">
        <f>IF(H24&gt;0,"GA₃高于CK",IF(H24&lt;0,"GA₃低于CK","无差异"))</f>
        <v/>
      </c>
      <c r="M24" s="16">
        <f>"试验原始数据!"&amp;"F119:F124"</f>
        <v/>
      </c>
    </row>
    <row r="25">
      <c r="A25" s="16" t="inlineStr">
        <is>
          <t>淀粉含量</t>
        </is>
      </c>
      <c r="B25" s="16" t="inlineStr">
        <is>
          <t>g·kg⁻¹ FW</t>
        </is>
      </c>
      <c r="C25" s="16" t="n">
        <v>0</v>
      </c>
      <c r="D25" s="31">
        <f>AVERAGE('试验原始数据'!$F$125:$F$127)</f>
        <v/>
      </c>
      <c r="E25" s="31">
        <f>STDEV.S('试验原始数据'!$F$125:$F$127)</f>
        <v/>
      </c>
      <c r="F25" s="31">
        <f>AVERAGE('试验原始数据'!$F$128:$F$130)</f>
        <v/>
      </c>
      <c r="G25" s="31">
        <f>STDEV.S('试验原始数据'!$F$128:$F$130)</f>
        <v/>
      </c>
      <c r="H25" s="31">
        <f>F25-D25</f>
        <v/>
      </c>
      <c r="I25" s="32">
        <f>IF(D25=0,"",H25/ABS(D25))</f>
        <v/>
      </c>
      <c r="J25" s="33">
        <f>IF(AND(E25=0,G25=0),IF(H25=0,1,""),T.TEST('试验原始数据'!$F$125:$F$127,'试验原始数据'!$F$128:$F$130,2,3))</f>
        <v/>
      </c>
      <c r="K25" s="33">
        <f>IF(J25="","",MIN(1,J25*30))</f>
        <v/>
      </c>
      <c r="L25" s="16">
        <f>IF(H25&gt;0,"GA₃高于CK",IF(H25&lt;0,"GA₃低于CK","无差异"))</f>
        <v/>
      </c>
      <c r="M25" s="16">
        <f>"试验原始数据!"&amp;"F125:F130"</f>
        <v/>
      </c>
    </row>
    <row r="26">
      <c r="A26" s="16" t="inlineStr">
        <is>
          <t>淀粉含量</t>
        </is>
      </c>
      <c r="B26" s="16" t="inlineStr">
        <is>
          <t>g·kg⁻¹ FW</t>
        </is>
      </c>
      <c r="C26" s="16" t="n">
        <v>7</v>
      </c>
      <c r="D26" s="31">
        <f>AVERAGE('试验原始数据'!$F$131:$F$133)</f>
        <v/>
      </c>
      <c r="E26" s="31">
        <f>STDEV.S('试验原始数据'!$F$131:$F$133)</f>
        <v/>
      </c>
      <c r="F26" s="31">
        <f>AVERAGE('试验原始数据'!$F$134:$F$136)</f>
        <v/>
      </c>
      <c r="G26" s="31">
        <f>STDEV.S('试验原始数据'!$F$134:$F$136)</f>
        <v/>
      </c>
      <c r="H26" s="31">
        <f>F26-D26</f>
        <v/>
      </c>
      <c r="I26" s="32">
        <f>IF(D26=0,"",H26/ABS(D26))</f>
        <v/>
      </c>
      <c r="J26" s="33">
        <f>IF(AND(E26=0,G26=0),IF(H26=0,1,""),T.TEST('试验原始数据'!$F$131:$F$133,'试验原始数据'!$F$134:$F$136,2,3))</f>
        <v/>
      </c>
      <c r="K26" s="33">
        <f>IF(J26="","",MIN(1,J26*30))</f>
        <v/>
      </c>
      <c r="L26" s="16">
        <f>IF(H26&gt;0,"GA₃高于CK",IF(H26&lt;0,"GA₃低于CK","无差异"))</f>
        <v/>
      </c>
      <c r="M26" s="16">
        <f>"试验原始数据!"&amp;"F131:F136"</f>
        <v/>
      </c>
    </row>
    <row r="27">
      <c r="A27" s="16" t="inlineStr">
        <is>
          <t>淀粉含量</t>
        </is>
      </c>
      <c r="B27" s="16" t="inlineStr">
        <is>
          <t>g·kg⁻¹ FW</t>
        </is>
      </c>
      <c r="C27" s="16" t="n">
        <v>14</v>
      </c>
      <c r="D27" s="31">
        <f>AVERAGE('试验原始数据'!$F$137:$F$139)</f>
        <v/>
      </c>
      <c r="E27" s="31">
        <f>STDEV.S('试验原始数据'!$F$137:$F$139)</f>
        <v/>
      </c>
      <c r="F27" s="31">
        <f>AVERAGE('试验原始数据'!$F$140:$F$142)</f>
        <v/>
      </c>
      <c r="G27" s="31">
        <f>STDEV.S('试验原始数据'!$F$140:$F$142)</f>
        <v/>
      </c>
      <c r="H27" s="31">
        <f>F27-D27</f>
        <v/>
      </c>
      <c r="I27" s="32">
        <f>IF(D27=0,"",H27/ABS(D27))</f>
        <v/>
      </c>
      <c r="J27" s="33">
        <f>IF(AND(E27=0,G27=0),IF(H27=0,1,""),T.TEST('试验原始数据'!$F$137:$F$139,'试验原始数据'!$F$140:$F$142,2,3))</f>
        <v/>
      </c>
      <c r="K27" s="33">
        <f>IF(J27="","",MIN(1,J27*30))</f>
        <v/>
      </c>
      <c r="L27" s="16">
        <f>IF(H27&gt;0,"GA₃高于CK",IF(H27&lt;0,"GA₃低于CK","无差异"))</f>
        <v/>
      </c>
      <c r="M27" s="16">
        <f>"试验原始数据!"&amp;"F137:F142"</f>
        <v/>
      </c>
    </row>
    <row r="28">
      <c r="A28" s="16" t="inlineStr">
        <is>
          <t>淀粉含量</t>
        </is>
      </c>
      <c r="B28" s="16" t="inlineStr">
        <is>
          <t>g·kg⁻¹ FW</t>
        </is>
      </c>
      <c r="C28" s="16" t="n">
        <v>21</v>
      </c>
      <c r="D28" s="31">
        <f>AVERAGE('试验原始数据'!$F$143:$F$145)</f>
        <v/>
      </c>
      <c r="E28" s="31">
        <f>STDEV.S('试验原始数据'!$F$143:$F$145)</f>
        <v/>
      </c>
      <c r="F28" s="31">
        <f>AVERAGE('试验原始数据'!$F$146:$F$148)</f>
        <v/>
      </c>
      <c r="G28" s="31">
        <f>STDEV.S('试验原始数据'!$F$146:$F$148)</f>
        <v/>
      </c>
      <c r="H28" s="31">
        <f>F28-D28</f>
        <v/>
      </c>
      <c r="I28" s="32">
        <f>IF(D28=0,"",H28/ABS(D28))</f>
        <v/>
      </c>
      <c r="J28" s="33">
        <f>IF(AND(E28=0,G28=0),IF(H28=0,1,""),T.TEST('试验原始数据'!$F$143:$F$145,'试验原始数据'!$F$146:$F$148,2,3))</f>
        <v/>
      </c>
      <c r="K28" s="33">
        <f>IF(J28="","",MIN(1,J28*30))</f>
        <v/>
      </c>
      <c r="L28" s="16">
        <f>IF(H28&gt;0,"GA₃高于CK",IF(H28&lt;0,"GA₃低于CK","无差异"))</f>
        <v/>
      </c>
      <c r="M28" s="16">
        <f>"试验原始数据!"&amp;"F143:F148"</f>
        <v/>
      </c>
    </row>
    <row r="29">
      <c r="A29" s="16" t="inlineStr">
        <is>
          <t>淀粉含量</t>
        </is>
      </c>
      <c r="B29" s="16" t="inlineStr">
        <is>
          <t>g·kg⁻¹ FW</t>
        </is>
      </c>
      <c r="C29" s="16" t="n">
        <v>28</v>
      </c>
      <c r="D29" s="31">
        <f>AVERAGE('试验原始数据'!$F$149:$F$151)</f>
        <v/>
      </c>
      <c r="E29" s="31">
        <f>STDEV.S('试验原始数据'!$F$149:$F$151)</f>
        <v/>
      </c>
      <c r="F29" s="31">
        <f>AVERAGE('试验原始数据'!$F$152:$F$154)</f>
        <v/>
      </c>
      <c r="G29" s="31">
        <f>STDEV.S('试验原始数据'!$F$152:$F$154)</f>
        <v/>
      </c>
      <c r="H29" s="31">
        <f>F29-D29</f>
        <v/>
      </c>
      <c r="I29" s="32">
        <f>IF(D29=0,"",H29/ABS(D29))</f>
        <v/>
      </c>
      <c r="J29" s="33">
        <f>IF(AND(E29=0,G29=0),IF(H29=0,1,""),T.TEST('试验原始数据'!$F$149:$F$151,'试验原始数据'!$F$152:$F$154,2,3))</f>
        <v/>
      </c>
      <c r="K29" s="33">
        <f>IF(J29="","",MIN(1,J29*30))</f>
        <v/>
      </c>
      <c r="L29" s="16">
        <f>IF(H29&gt;0,"GA₃高于CK",IF(H29&lt;0,"GA₃低于CK","无差异"))</f>
        <v/>
      </c>
      <c r="M29" s="16">
        <f>"试验原始数据!"&amp;"F149:F154"</f>
        <v/>
      </c>
    </row>
    <row r="30">
      <c r="A30" s="16" t="inlineStr">
        <is>
          <t>抗坏血酸</t>
        </is>
      </c>
      <c r="B30" s="16" t="inlineStr">
        <is>
          <t>g·kg⁻¹ FW</t>
        </is>
      </c>
      <c r="C30" s="16" t="n">
        <v>0</v>
      </c>
      <c r="D30" s="31">
        <f>AVERAGE('试验原始数据'!$F$155:$F$157)</f>
        <v/>
      </c>
      <c r="E30" s="31">
        <f>STDEV.S('试验原始数据'!$F$155:$F$157)</f>
        <v/>
      </c>
      <c r="F30" s="31">
        <f>AVERAGE('试验原始数据'!$F$158:$F$160)</f>
        <v/>
      </c>
      <c r="G30" s="31">
        <f>STDEV.S('试验原始数据'!$F$158:$F$160)</f>
        <v/>
      </c>
      <c r="H30" s="31">
        <f>F30-D30</f>
        <v/>
      </c>
      <c r="I30" s="32">
        <f>IF(D30=0,"",H30/ABS(D30))</f>
        <v/>
      </c>
      <c r="J30" s="33">
        <f>IF(AND(E30=0,G30=0),IF(H30=0,1,""),T.TEST('试验原始数据'!$F$155:$F$157,'试验原始数据'!$F$158:$F$160,2,3))</f>
        <v/>
      </c>
      <c r="K30" s="33">
        <f>IF(J30="","",MIN(1,J30*30))</f>
        <v/>
      </c>
      <c r="L30" s="16">
        <f>IF(H30&gt;0,"GA₃高于CK",IF(H30&lt;0,"GA₃低于CK","无差异"))</f>
        <v/>
      </c>
      <c r="M30" s="16">
        <f>"试验原始数据!"&amp;"F155:F160"</f>
        <v/>
      </c>
    </row>
    <row r="31">
      <c r="A31" s="16" t="inlineStr">
        <is>
          <t>抗坏血酸</t>
        </is>
      </c>
      <c r="B31" s="16" t="inlineStr">
        <is>
          <t>g·kg⁻¹ FW</t>
        </is>
      </c>
      <c r="C31" s="16" t="n">
        <v>7</v>
      </c>
      <c r="D31" s="31">
        <f>AVERAGE('试验原始数据'!$F$161:$F$163)</f>
        <v/>
      </c>
      <c r="E31" s="31">
        <f>STDEV.S('试验原始数据'!$F$161:$F$163)</f>
        <v/>
      </c>
      <c r="F31" s="31">
        <f>AVERAGE('试验原始数据'!$F$164:$F$166)</f>
        <v/>
      </c>
      <c r="G31" s="31">
        <f>STDEV.S('试验原始数据'!$F$164:$F$166)</f>
        <v/>
      </c>
      <c r="H31" s="31">
        <f>F31-D31</f>
        <v/>
      </c>
      <c r="I31" s="32">
        <f>IF(D31=0,"",H31/ABS(D31))</f>
        <v/>
      </c>
      <c r="J31" s="33">
        <f>IF(AND(E31=0,G31=0),IF(H31=0,1,""),T.TEST('试验原始数据'!$F$161:$F$163,'试验原始数据'!$F$164:$F$166,2,3))</f>
        <v/>
      </c>
      <c r="K31" s="33">
        <f>IF(J31="","",MIN(1,J31*30))</f>
        <v/>
      </c>
      <c r="L31" s="16">
        <f>IF(H31&gt;0,"GA₃高于CK",IF(H31&lt;0,"GA₃低于CK","无差异"))</f>
        <v/>
      </c>
      <c r="M31" s="16">
        <f>"试验原始数据!"&amp;"F161:F166"</f>
        <v/>
      </c>
    </row>
    <row r="32">
      <c r="A32" s="16" t="inlineStr">
        <is>
          <t>抗坏血酸</t>
        </is>
      </c>
      <c r="B32" s="16" t="inlineStr">
        <is>
          <t>g·kg⁻¹ FW</t>
        </is>
      </c>
      <c r="C32" s="16" t="n">
        <v>14</v>
      </c>
      <c r="D32" s="31">
        <f>AVERAGE('试验原始数据'!$F$167:$F$169)</f>
        <v/>
      </c>
      <c r="E32" s="31">
        <f>STDEV.S('试验原始数据'!$F$167:$F$169)</f>
        <v/>
      </c>
      <c r="F32" s="31">
        <f>AVERAGE('试验原始数据'!$F$170:$F$172)</f>
        <v/>
      </c>
      <c r="G32" s="31">
        <f>STDEV.S('试验原始数据'!$F$170:$F$172)</f>
        <v/>
      </c>
      <c r="H32" s="31">
        <f>F32-D32</f>
        <v/>
      </c>
      <c r="I32" s="32">
        <f>IF(D32=0,"",H32/ABS(D32))</f>
        <v/>
      </c>
      <c r="J32" s="33">
        <f>IF(AND(E32=0,G32=0),IF(H32=0,1,""),T.TEST('试验原始数据'!$F$167:$F$169,'试验原始数据'!$F$170:$F$172,2,3))</f>
        <v/>
      </c>
      <c r="K32" s="33">
        <f>IF(J32="","",MIN(1,J32*30))</f>
        <v/>
      </c>
      <c r="L32" s="16">
        <f>IF(H32&gt;0,"GA₃高于CK",IF(H32&lt;0,"GA₃低于CK","无差异"))</f>
        <v/>
      </c>
      <c r="M32" s="16">
        <f>"试验原始数据!"&amp;"F167:F172"</f>
        <v/>
      </c>
    </row>
    <row r="33">
      <c r="A33" s="16" t="inlineStr">
        <is>
          <t>抗坏血酸</t>
        </is>
      </c>
      <c r="B33" s="16" t="inlineStr">
        <is>
          <t>g·kg⁻¹ FW</t>
        </is>
      </c>
      <c r="C33" s="16" t="n">
        <v>21</v>
      </c>
      <c r="D33" s="31">
        <f>AVERAGE('试验原始数据'!$F$173:$F$175)</f>
        <v/>
      </c>
      <c r="E33" s="31">
        <f>STDEV.S('试验原始数据'!$F$173:$F$175)</f>
        <v/>
      </c>
      <c r="F33" s="31">
        <f>AVERAGE('试验原始数据'!$F$176:$F$178)</f>
        <v/>
      </c>
      <c r="G33" s="31">
        <f>STDEV.S('试验原始数据'!$F$176:$F$178)</f>
        <v/>
      </c>
      <c r="H33" s="31">
        <f>F33-D33</f>
        <v/>
      </c>
      <c r="I33" s="32">
        <f>IF(D33=0,"",H33/ABS(D33))</f>
        <v/>
      </c>
      <c r="J33" s="33">
        <f>IF(AND(E33=0,G33=0),IF(H33=0,1,""),T.TEST('试验原始数据'!$F$173:$F$175,'试验原始数据'!$F$176:$F$178,2,3))</f>
        <v/>
      </c>
      <c r="K33" s="33">
        <f>IF(J33="","",MIN(1,J33*30))</f>
        <v/>
      </c>
      <c r="L33" s="16">
        <f>IF(H33&gt;0,"GA₃高于CK",IF(H33&lt;0,"GA₃低于CK","无差异"))</f>
        <v/>
      </c>
      <c r="M33" s="16">
        <f>"试验原始数据!"&amp;"F173:F178"</f>
        <v/>
      </c>
    </row>
    <row r="34">
      <c r="A34" s="16" t="inlineStr">
        <is>
          <t>抗坏血酸</t>
        </is>
      </c>
      <c r="B34" s="16" t="inlineStr">
        <is>
          <t>g·kg⁻¹ FW</t>
        </is>
      </c>
      <c r="C34" s="16" t="n">
        <v>28</v>
      </c>
      <c r="D34" s="31">
        <f>AVERAGE('试验原始数据'!$F$179:$F$181)</f>
        <v/>
      </c>
      <c r="E34" s="31">
        <f>STDEV.S('试验原始数据'!$F$179:$F$181)</f>
        <v/>
      </c>
      <c r="F34" s="31">
        <f>AVERAGE('试验原始数据'!$F$182:$F$184)</f>
        <v/>
      </c>
      <c r="G34" s="31">
        <f>STDEV.S('试验原始数据'!$F$182:$F$184)</f>
        <v/>
      </c>
      <c r="H34" s="31">
        <f>F34-D34</f>
        <v/>
      </c>
      <c r="I34" s="32">
        <f>IF(D34=0,"",H34/ABS(D34))</f>
        <v/>
      </c>
      <c r="J34" s="33">
        <f>IF(AND(E34=0,G34=0),IF(H34=0,1,""),T.TEST('试验原始数据'!$F$179:$F$181,'试验原始数据'!$F$182:$F$184,2,3))</f>
        <v/>
      </c>
      <c r="K34" s="33">
        <f>IF(J34="","",MIN(1,J34*30))</f>
        <v/>
      </c>
      <c r="L34" s="16">
        <f>IF(H34&gt;0,"GA₃高于CK",IF(H34&lt;0,"GA₃低于CK","无差异"))</f>
        <v/>
      </c>
      <c r="M34" s="16">
        <f>"试验原始数据!"&amp;"F179:F184"</f>
        <v/>
      </c>
    </row>
  </sheetData>
  <mergeCells count="2">
    <mergeCell ref="A2:M2"/>
    <mergeCell ref="A1:M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2" customWidth="1" min="5" max="5"/>
    <col width="18" customWidth="1" min="6" max="6"/>
    <col width="13" customWidth="1" min="7" max="7"/>
    <col width="14" customWidth="1" min="8" max="8"/>
    <col width="15" customWidth="1" min="9" max="9"/>
    <col width="15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28" customHeight="1">
      <c r="A1" s="3" t="inlineStr">
        <is>
          <t>采购批次</t>
        </is>
      </c>
    </row>
    <row r="2" ht="32" customHeight="1">
      <c r="A2" s="7" t="inlineStr">
        <is>
          <t>来源：企业经营数据样例/01_采购批次台账.xlsx。保留原始逐笔记录；日期、数量、金额和比例按字段类型呈现。</t>
        </is>
      </c>
    </row>
    <row r="4" ht="30" customHeight="1">
      <c r="A4" s="13" t="inlineStr">
        <is>
          <t>批次号</t>
        </is>
      </c>
      <c r="B4" s="13" t="inlineStr">
        <is>
          <t>品种</t>
        </is>
      </c>
      <c r="C4" s="13" t="inlineStr">
        <is>
          <t>产地</t>
        </is>
      </c>
      <c r="D4" s="13" t="inlineStr">
        <is>
          <t>采收日期</t>
        </is>
      </c>
      <c r="E4" s="13" t="inlineStr">
        <is>
          <t>到仓日期</t>
        </is>
      </c>
      <c r="F4" s="13" t="inlineStr">
        <is>
          <t>到仓仓库</t>
        </is>
      </c>
      <c r="G4" s="13" t="inlineStr">
        <is>
          <t>到货量kg</t>
        </is>
      </c>
      <c r="H4" s="13" t="inlineStr">
        <is>
          <t>采购单价元kg</t>
        </is>
      </c>
      <c r="I4" s="13" t="inlineStr">
        <is>
          <t>采购金额元</t>
        </is>
      </c>
      <c r="J4" s="13" t="inlineStr">
        <is>
          <t>采购方式</t>
        </is>
      </c>
      <c r="K4" s="13" t="inlineStr">
        <is>
          <t>到仓硬度kgf</t>
        </is>
      </c>
      <c r="L4" s="13" t="inlineStr">
        <is>
          <t>到仓糖度Brix</t>
        </is>
      </c>
      <c r="M4" s="13" t="inlineStr">
        <is>
          <t>计划销售渠道</t>
        </is>
      </c>
      <c r="N4" s="13" t="inlineStr">
        <is>
          <t>批次状态</t>
        </is>
      </c>
    </row>
    <row r="5">
      <c r="A5" s="16" t="inlineStr">
        <is>
          <t>NY-KW-2508-001</t>
        </is>
      </c>
      <c r="B5" s="16" t="inlineStr">
        <is>
          <t>金艳</t>
        </is>
      </c>
      <c r="C5" s="16" t="inlineStr">
        <is>
          <t>湖北建始基地</t>
        </is>
      </c>
      <c r="D5" s="34" t="n">
        <v>45891</v>
      </c>
      <c r="E5" s="34" t="n">
        <v>45894</v>
      </c>
      <c r="F5" s="16" t="inlineStr">
        <is>
          <t>深圳龙岗前置仓</t>
        </is>
      </c>
      <c r="G5" s="35" t="n">
        <v>9000</v>
      </c>
      <c r="H5" s="35" t="n">
        <v>8.48</v>
      </c>
      <c r="I5" s="36" t="n">
        <v>76320</v>
      </c>
      <c r="J5" s="16" t="inlineStr">
        <is>
          <t>基地直采</t>
        </is>
      </c>
      <c r="K5" s="35" t="n">
        <v>7.48</v>
      </c>
      <c r="L5" s="16" t="n">
        <v>8.699999999999999</v>
      </c>
      <c r="M5" s="16" t="inlineStr">
        <is>
          <t>企业团购</t>
        </is>
      </c>
      <c r="N5" s="16" t="inlineStr">
        <is>
          <t>已结批</t>
        </is>
      </c>
    </row>
    <row r="6">
      <c r="A6" s="16" t="inlineStr">
        <is>
          <t>NY-KW-2508-002</t>
        </is>
      </c>
      <c r="B6" s="16" t="inlineStr">
        <is>
          <t>金艳</t>
        </is>
      </c>
      <c r="C6" s="16" t="inlineStr">
        <is>
          <t>湖北建始基地</t>
        </is>
      </c>
      <c r="D6" s="34" t="n">
        <v>45936</v>
      </c>
      <c r="E6" s="34" t="n">
        <v>45938</v>
      </c>
      <c r="F6" s="16" t="inlineStr">
        <is>
          <t>广州黄埔仓</t>
        </is>
      </c>
      <c r="G6" s="35" t="n">
        <v>11600</v>
      </c>
      <c r="H6" s="35" t="n">
        <v>6.22</v>
      </c>
      <c r="I6" s="36" t="n">
        <v>72152</v>
      </c>
      <c r="J6" s="16" t="inlineStr">
        <is>
          <t>基地直采</t>
        </is>
      </c>
      <c r="K6" s="35" t="n">
        <v>8.449999999999999</v>
      </c>
      <c r="L6" s="16" t="n">
        <v>8.300000000000001</v>
      </c>
      <c r="M6" s="16" t="inlineStr">
        <is>
          <t>连锁门店</t>
        </is>
      </c>
      <c r="N6" s="16" t="inlineStr">
        <is>
          <t>已结批</t>
        </is>
      </c>
    </row>
    <row r="7">
      <c r="A7" s="16" t="inlineStr">
        <is>
          <t>NY-KW-2508-003</t>
        </is>
      </c>
      <c r="B7" s="16" t="inlineStr">
        <is>
          <t>海沃德</t>
        </is>
      </c>
      <c r="C7" s="16" t="inlineStr">
        <is>
          <t>广西桂林合作基地</t>
        </is>
      </c>
      <c r="D7" s="34" t="n">
        <v>45920</v>
      </c>
      <c r="E7" s="34" t="n">
        <v>45921</v>
      </c>
      <c r="F7" s="16" t="inlineStr">
        <is>
          <t>南宁江南分仓</t>
        </is>
      </c>
      <c r="G7" s="35" t="n">
        <v>10000</v>
      </c>
      <c r="H7" s="35" t="n">
        <v>8.1</v>
      </c>
      <c r="I7" s="36" t="n">
        <v>81000</v>
      </c>
      <c r="J7" s="16" t="inlineStr">
        <is>
          <t>产地经纪采购</t>
        </is>
      </c>
      <c r="K7" s="35" t="n">
        <v>6.37</v>
      </c>
      <c r="L7" s="16" t="n">
        <v>7.6</v>
      </c>
      <c r="M7" s="16" t="inlineStr">
        <is>
          <t>混合渠道</t>
        </is>
      </c>
      <c r="N7" s="16" t="inlineStr">
        <is>
          <t>已结批</t>
        </is>
      </c>
    </row>
    <row r="8">
      <c r="A8" s="16" t="inlineStr">
        <is>
          <t>NY-KW-2508-004</t>
        </is>
      </c>
      <c r="B8" s="16" t="inlineStr">
        <is>
          <t>徐香</t>
        </is>
      </c>
      <c r="C8" s="16" t="inlineStr">
        <is>
          <t>陕西周至合作社</t>
        </is>
      </c>
      <c r="D8" s="34" t="n">
        <v>45936</v>
      </c>
      <c r="E8" s="34" t="n">
        <v>45937</v>
      </c>
      <c r="F8" s="16" t="inlineStr">
        <is>
          <t>广州黄埔仓</t>
        </is>
      </c>
      <c r="G8" s="35" t="n">
        <v>14000</v>
      </c>
      <c r="H8" s="35" t="n">
        <v>6.21</v>
      </c>
      <c r="I8" s="36" t="n">
        <v>86940</v>
      </c>
      <c r="J8" s="16" t="inlineStr">
        <is>
          <t>基地直采</t>
        </is>
      </c>
      <c r="K8" s="35" t="n">
        <v>6.34</v>
      </c>
      <c r="L8" s="16" t="n">
        <v>9.4</v>
      </c>
      <c r="M8" s="16" t="inlineStr">
        <is>
          <t>连锁门店</t>
        </is>
      </c>
      <c r="N8" s="16" t="inlineStr">
        <is>
          <t>已结批</t>
        </is>
      </c>
    </row>
    <row r="9">
      <c r="A9" s="16" t="inlineStr">
        <is>
          <t>NY-KW-2508-005</t>
        </is>
      </c>
      <c r="B9" s="16" t="inlineStr">
        <is>
          <t>翠香</t>
        </is>
      </c>
      <c r="C9" s="16" t="inlineStr">
        <is>
          <t>广西桂林合作基地</t>
        </is>
      </c>
      <c r="D9" s="34" t="n">
        <v>45928</v>
      </c>
      <c r="E9" s="34" t="n">
        <v>45930</v>
      </c>
      <c r="F9" s="16" t="inlineStr">
        <is>
          <t>南宁江南分仓</t>
        </is>
      </c>
      <c r="G9" s="35" t="n">
        <v>19000</v>
      </c>
      <c r="H9" s="35" t="n">
        <v>7.28</v>
      </c>
      <c r="I9" s="36" t="n">
        <v>138320</v>
      </c>
      <c r="J9" s="16" t="inlineStr">
        <is>
          <t>基地直采</t>
        </is>
      </c>
      <c r="K9" s="35" t="n">
        <v>8.130000000000001</v>
      </c>
      <c r="L9" s="16" t="n">
        <v>8.4</v>
      </c>
      <c r="M9" s="16" t="inlineStr">
        <is>
          <t>社区电商</t>
        </is>
      </c>
      <c r="N9" s="16" t="inlineStr">
        <is>
          <t>已结批</t>
        </is>
      </c>
    </row>
    <row r="10">
      <c r="A10" s="16" t="inlineStr">
        <is>
          <t>NY-KW-2508-006</t>
        </is>
      </c>
      <c r="B10" s="16" t="inlineStr">
        <is>
          <t>翠香</t>
        </is>
      </c>
      <c r="C10" s="16" t="inlineStr">
        <is>
          <t>四川蒲江基地</t>
        </is>
      </c>
      <c r="D10" s="34" t="n">
        <v>45899</v>
      </c>
      <c r="E10" s="34" t="n">
        <v>45903</v>
      </c>
      <c r="F10" s="16" t="inlineStr">
        <is>
          <t>深圳龙岗前置仓</t>
        </is>
      </c>
      <c r="G10" s="35" t="n">
        <v>16400</v>
      </c>
      <c r="H10" s="35" t="n">
        <v>7</v>
      </c>
      <c r="I10" s="36" t="n">
        <v>114800</v>
      </c>
      <c r="J10" s="16" t="inlineStr">
        <is>
          <t>产地经纪采购</t>
        </is>
      </c>
      <c r="K10" s="35" t="n">
        <v>7.25</v>
      </c>
      <c r="L10" s="16" t="n">
        <v>7.3</v>
      </c>
      <c r="M10" s="16" t="inlineStr">
        <is>
          <t>连锁门店</t>
        </is>
      </c>
      <c r="N10" s="16" t="inlineStr">
        <is>
          <t>已结批</t>
        </is>
      </c>
    </row>
    <row r="11">
      <c r="A11" s="16" t="inlineStr">
        <is>
          <t>NY-KW-2508-007</t>
        </is>
      </c>
      <c r="B11" s="16" t="inlineStr">
        <is>
          <t>金艳</t>
        </is>
      </c>
      <c r="C11" s="16" t="inlineStr">
        <is>
          <t>湖北建始基地</t>
        </is>
      </c>
      <c r="D11" s="34" t="n">
        <v>45921</v>
      </c>
      <c r="E11" s="34" t="n">
        <v>45924</v>
      </c>
      <c r="F11" s="16" t="inlineStr">
        <is>
          <t>广州黄埔仓</t>
        </is>
      </c>
      <c r="G11" s="35" t="n">
        <v>19400</v>
      </c>
      <c r="H11" s="35" t="n">
        <v>8.050000000000001</v>
      </c>
      <c r="I11" s="36" t="n">
        <v>156170</v>
      </c>
      <c r="J11" s="16" t="inlineStr">
        <is>
          <t>基地直采</t>
        </is>
      </c>
      <c r="K11" s="35" t="n">
        <v>6.85</v>
      </c>
      <c r="L11" s="16" t="n">
        <v>6.9</v>
      </c>
      <c r="M11" s="16" t="inlineStr">
        <is>
          <t>社区电商</t>
        </is>
      </c>
      <c r="N11" s="16" t="inlineStr">
        <is>
          <t>已结批</t>
        </is>
      </c>
    </row>
    <row r="12">
      <c r="A12" s="16" t="inlineStr">
        <is>
          <t>NY-KW-2508-008</t>
        </is>
      </c>
      <c r="B12" s="16" t="inlineStr">
        <is>
          <t>海沃德</t>
        </is>
      </c>
      <c r="C12" s="16" t="inlineStr">
        <is>
          <t>湖北建始基地</t>
        </is>
      </c>
      <c r="D12" s="34" t="n">
        <v>45933</v>
      </c>
      <c r="E12" s="34" t="n">
        <v>45936</v>
      </c>
      <c r="F12" s="16" t="inlineStr">
        <is>
          <t>深圳龙岗前置仓</t>
        </is>
      </c>
      <c r="G12" s="35" t="n">
        <v>22300</v>
      </c>
      <c r="H12" s="35" t="n">
        <v>8.23</v>
      </c>
      <c r="I12" s="36" t="n">
        <v>183529</v>
      </c>
      <c r="J12" s="16" t="inlineStr">
        <is>
          <t>基地直采</t>
        </is>
      </c>
      <c r="K12" s="35" t="n">
        <v>6.33</v>
      </c>
      <c r="L12" s="16" t="n">
        <v>9.4</v>
      </c>
      <c r="M12" s="16" t="inlineStr">
        <is>
          <t>混合渠道</t>
        </is>
      </c>
      <c r="N12" s="16" t="inlineStr">
        <is>
          <t>已结批</t>
        </is>
      </c>
    </row>
    <row r="13">
      <c r="A13" s="16" t="inlineStr">
        <is>
          <t>NY-KW-2508-009</t>
        </is>
      </c>
      <c r="B13" s="16" t="inlineStr">
        <is>
          <t>翠香</t>
        </is>
      </c>
      <c r="C13" s="16" t="inlineStr">
        <is>
          <t>湖北建始基地</t>
        </is>
      </c>
      <c r="D13" s="34" t="n">
        <v>45921</v>
      </c>
      <c r="E13" s="34" t="n">
        <v>45925</v>
      </c>
      <c r="F13" s="16" t="inlineStr">
        <is>
          <t>深圳龙岗前置仓</t>
        </is>
      </c>
      <c r="G13" s="35" t="n">
        <v>22700</v>
      </c>
      <c r="H13" s="35" t="n">
        <v>8.08</v>
      </c>
      <c r="I13" s="36" t="n">
        <v>183416</v>
      </c>
      <c r="J13" s="16" t="inlineStr">
        <is>
          <t>产地经纪采购</t>
        </is>
      </c>
      <c r="K13" s="35" t="n">
        <v>7.96</v>
      </c>
      <c r="L13" s="16" t="n">
        <v>9.6</v>
      </c>
      <c r="M13" s="16" t="inlineStr">
        <is>
          <t>连锁门店</t>
        </is>
      </c>
      <c r="N13" s="16" t="inlineStr">
        <is>
          <t>已结批</t>
        </is>
      </c>
    </row>
    <row r="14">
      <c r="A14" s="16" t="inlineStr">
        <is>
          <t>NY-KW-2508-010</t>
        </is>
      </c>
      <c r="B14" s="16" t="inlineStr">
        <is>
          <t>海沃德</t>
        </is>
      </c>
      <c r="C14" s="16" t="inlineStr">
        <is>
          <t>贵州修文基地</t>
        </is>
      </c>
      <c r="D14" s="34" t="n">
        <v>45946</v>
      </c>
      <c r="E14" s="34" t="n">
        <v>45949</v>
      </c>
      <c r="F14" s="16" t="inlineStr">
        <is>
          <t>深圳龙岗前置仓</t>
        </is>
      </c>
      <c r="G14" s="35" t="n">
        <v>22700</v>
      </c>
      <c r="H14" s="35" t="n">
        <v>8.91</v>
      </c>
      <c r="I14" s="36" t="n">
        <v>202257</v>
      </c>
      <c r="J14" s="16" t="inlineStr">
        <is>
          <t>基地直采</t>
        </is>
      </c>
      <c r="K14" s="35" t="n">
        <v>6.59</v>
      </c>
      <c r="L14" s="16" t="n">
        <v>10</v>
      </c>
      <c r="M14" s="16" t="inlineStr">
        <is>
          <t>连锁门店</t>
        </is>
      </c>
      <c r="N14" s="16" t="inlineStr">
        <is>
          <t>已结批</t>
        </is>
      </c>
    </row>
    <row r="15">
      <c r="A15" s="16" t="inlineStr">
        <is>
          <t>NY-KW-2508-011</t>
        </is>
      </c>
      <c r="B15" s="16" t="inlineStr">
        <is>
          <t>海沃德</t>
        </is>
      </c>
      <c r="C15" s="16" t="inlineStr">
        <is>
          <t>广西桂林合作基地</t>
        </is>
      </c>
      <c r="D15" s="34" t="n">
        <v>45920</v>
      </c>
      <c r="E15" s="34" t="n">
        <v>45924</v>
      </c>
      <c r="F15" s="16" t="inlineStr">
        <is>
          <t>南宁江南分仓</t>
        </is>
      </c>
      <c r="G15" s="35" t="n">
        <v>21300</v>
      </c>
      <c r="H15" s="35" t="n">
        <v>7.38</v>
      </c>
      <c r="I15" s="36" t="n">
        <v>157194</v>
      </c>
      <c r="J15" s="16" t="inlineStr">
        <is>
          <t>基地直采</t>
        </is>
      </c>
      <c r="K15" s="35" t="n">
        <v>8.550000000000001</v>
      </c>
      <c r="L15" s="16" t="n">
        <v>7.8</v>
      </c>
      <c r="M15" s="16" t="inlineStr">
        <is>
          <t>连锁门店</t>
        </is>
      </c>
      <c r="N15" s="16" t="inlineStr">
        <is>
          <t>已结批</t>
        </is>
      </c>
    </row>
    <row r="16">
      <c r="A16" s="16" t="inlineStr">
        <is>
          <t>NY-KW-2508-012</t>
        </is>
      </c>
      <c r="B16" s="16" t="inlineStr">
        <is>
          <t>海沃德</t>
        </is>
      </c>
      <c r="C16" s="16" t="inlineStr">
        <is>
          <t>贵州修文基地</t>
        </is>
      </c>
      <c r="D16" s="34" t="n">
        <v>45914</v>
      </c>
      <c r="E16" s="34" t="n">
        <v>45918</v>
      </c>
      <c r="F16" s="16" t="inlineStr">
        <is>
          <t>广州黄埔仓</t>
        </is>
      </c>
      <c r="G16" s="35" t="n">
        <v>21300</v>
      </c>
      <c r="H16" s="35" t="n">
        <v>8.07</v>
      </c>
      <c r="I16" s="36" t="n">
        <v>171891</v>
      </c>
      <c r="J16" s="16" t="inlineStr">
        <is>
          <t>合作社采购</t>
        </is>
      </c>
      <c r="K16" s="35" t="n">
        <v>7.61</v>
      </c>
      <c r="L16" s="16" t="n">
        <v>8.9</v>
      </c>
      <c r="M16" s="16" t="inlineStr">
        <is>
          <t>企业团购</t>
        </is>
      </c>
      <c r="N16" s="16" t="inlineStr">
        <is>
          <t>已结批</t>
        </is>
      </c>
    </row>
    <row r="17">
      <c r="A17" s="16" t="inlineStr">
        <is>
          <t>NY-KW-2508-013</t>
        </is>
      </c>
      <c r="B17" s="16" t="inlineStr">
        <is>
          <t>海沃德</t>
        </is>
      </c>
      <c r="C17" s="16" t="inlineStr">
        <is>
          <t>陕西周至合作社</t>
        </is>
      </c>
      <c r="D17" s="34" t="n">
        <v>45934</v>
      </c>
      <c r="E17" s="34" t="n">
        <v>45938</v>
      </c>
      <c r="F17" s="16" t="inlineStr">
        <is>
          <t>南宁江南分仓</t>
        </is>
      </c>
      <c r="G17" s="35" t="n">
        <v>11400</v>
      </c>
      <c r="H17" s="35" t="n">
        <v>7.63</v>
      </c>
      <c r="I17" s="36" t="n">
        <v>86982</v>
      </c>
      <c r="J17" s="16" t="inlineStr">
        <is>
          <t>产地经纪采购</t>
        </is>
      </c>
      <c r="K17" s="35" t="n">
        <v>8.44</v>
      </c>
      <c r="L17" s="16" t="n">
        <v>8.300000000000001</v>
      </c>
      <c r="M17" s="16" t="inlineStr">
        <is>
          <t>批发客户</t>
        </is>
      </c>
      <c r="N17" s="16" t="inlineStr">
        <is>
          <t>已结批</t>
        </is>
      </c>
    </row>
    <row r="18">
      <c r="A18" s="16" t="inlineStr">
        <is>
          <t>NY-KW-2508-014</t>
        </is>
      </c>
      <c r="B18" s="16" t="inlineStr">
        <is>
          <t>翠香</t>
        </is>
      </c>
      <c r="C18" s="16" t="inlineStr">
        <is>
          <t>湖北建始基地</t>
        </is>
      </c>
      <c r="D18" s="34" t="n">
        <v>45930</v>
      </c>
      <c r="E18" s="34" t="n">
        <v>45933</v>
      </c>
      <c r="F18" s="16" t="inlineStr">
        <is>
          <t>广州黄埔仓</t>
        </is>
      </c>
      <c r="G18" s="35" t="n">
        <v>17100</v>
      </c>
      <c r="H18" s="35" t="n">
        <v>6.09</v>
      </c>
      <c r="I18" s="36" t="n">
        <v>104139</v>
      </c>
      <c r="J18" s="16" t="inlineStr">
        <is>
          <t>基地直采</t>
        </is>
      </c>
      <c r="K18" s="35" t="n">
        <v>8.630000000000001</v>
      </c>
      <c r="L18" s="16" t="n">
        <v>8.6</v>
      </c>
      <c r="M18" s="16" t="inlineStr">
        <is>
          <t>混合渠道</t>
        </is>
      </c>
      <c r="N18" s="16" t="inlineStr">
        <is>
          <t>已结批</t>
        </is>
      </c>
    </row>
    <row r="19">
      <c r="A19" s="16" t="inlineStr">
        <is>
          <t>NY-KW-2508-015</t>
        </is>
      </c>
      <c r="B19" s="16" t="inlineStr">
        <is>
          <t>徐香</t>
        </is>
      </c>
      <c r="C19" s="16" t="inlineStr">
        <is>
          <t>四川蒲江基地</t>
        </is>
      </c>
      <c r="D19" s="34" t="n">
        <v>45947</v>
      </c>
      <c r="E19" s="34" t="n">
        <v>45948</v>
      </c>
      <c r="F19" s="16" t="inlineStr">
        <is>
          <t>南宁江南分仓</t>
        </is>
      </c>
      <c r="G19" s="35" t="n">
        <v>18000</v>
      </c>
      <c r="H19" s="35" t="n">
        <v>6.07</v>
      </c>
      <c r="I19" s="36" t="n">
        <v>109260</v>
      </c>
      <c r="J19" s="16" t="inlineStr">
        <is>
          <t>合作社采购</t>
        </is>
      </c>
      <c r="K19" s="35" t="n">
        <v>7.7</v>
      </c>
      <c r="L19" s="16" t="n">
        <v>8</v>
      </c>
      <c r="M19" s="16" t="inlineStr">
        <is>
          <t>批发客户</t>
        </is>
      </c>
      <c r="N19" s="16" t="inlineStr">
        <is>
          <t>已结批</t>
        </is>
      </c>
    </row>
    <row r="20">
      <c r="A20" s="16" t="inlineStr">
        <is>
          <t>NY-KW-2508-016</t>
        </is>
      </c>
      <c r="B20" s="16" t="inlineStr">
        <is>
          <t>徐香</t>
        </is>
      </c>
      <c r="C20" s="16" t="inlineStr">
        <is>
          <t>陕西眉县基地</t>
        </is>
      </c>
      <c r="D20" s="34" t="n">
        <v>45941</v>
      </c>
      <c r="E20" s="34" t="n">
        <v>45942</v>
      </c>
      <c r="F20" s="16" t="inlineStr">
        <is>
          <t>广州黄埔仓</t>
        </is>
      </c>
      <c r="G20" s="35" t="n">
        <v>18300</v>
      </c>
      <c r="H20" s="35" t="n">
        <v>7.69</v>
      </c>
      <c r="I20" s="36" t="n">
        <v>140727</v>
      </c>
      <c r="J20" s="16" t="inlineStr">
        <is>
          <t>产地经纪采购</t>
        </is>
      </c>
      <c r="K20" s="35" t="n">
        <v>8.51</v>
      </c>
      <c r="L20" s="16" t="n">
        <v>9.5</v>
      </c>
      <c r="M20" s="16" t="inlineStr">
        <is>
          <t>混合渠道</t>
        </is>
      </c>
      <c r="N20" s="16" t="inlineStr">
        <is>
          <t>已结批</t>
        </is>
      </c>
    </row>
    <row r="21">
      <c r="A21" s="16" t="inlineStr">
        <is>
          <t>NY-KW-2508-017</t>
        </is>
      </c>
      <c r="B21" s="16" t="inlineStr">
        <is>
          <t>徐香</t>
        </is>
      </c>
      <c r="C21" s="16" t="inlineStr">
        <is>
          <t>广西桂林合作基地</t>
        </is>
      </c>
      <c r="D21" s="34" t="n">
        <v>45928</v>
      </c>
      <c r="E21" s="34" t="n">
        <v>45930</v>
      </c>
      <c r="F21" s="16" t="inlineStr">
        <is>
          <t>深圳龙岗前置仓</t>
        </is>
      </c>
      <c r="G21" s="35" t="n">
        <v>21400</v>
      </c>
      <c r="H21" s="35" t="n">
        <v>7</v>
      </c>
      <c r="I21" s="36" t="n">
        <v>149800</v>
      </c>
      <c r="J21" s="16" t="inlineStr">
        <is>
          <t>基地直采</t>
        </is>
      </c>
      <c r="K21" s="35" t="n">
        <v>7.19</v>
      </c>
      <c r="L21" s="16" t="n">
        <v>9.4</v>
      </c>
      <c r="M21" s="16" t="inlineStr">
        <is>
          <t>批发客户</t>
        </is>
      </c>
      <c r="N21" s="16" t="inlineStr">
        <is>
          <t>已结批</t>
        </is>
      </c>
    </row>
    <row r="22">
      <c r="A22" s="16" t="inlineStr">
        <is>
          <t>NY-KW-2508-018</t>
        </is>
      </c>
      <c r="B22" s="16" t="inlineStr">
        <is>
          <t>金艳</t>
        </is>
      </c>
      <c r="C22" s="16" t="inlineStr">
        <is>
          <t>陕西周至合作社</t>
        </is>
      </c>
      <c r="D22" s="34" t="n">
        <v>45936</v>
      </c>
      <c r="E22" s="34" t="n">
        <v>45939</v>
      </c>
      <c r="F22" s="16" t="inlineStr">
        <is>
          <t>南宁江南分仓</t>
        </is>
      </c>
      <c r="G22" s="35" t="n">
        <v>13800</v>
      </c>
      <c r="H22" s="35" t="n">
        <v>6.34</v>
      </c>
      <c r="I22" s="36" t="n">
        <v>87492</v>
      </c>
      <c r="J22" s="16" t="inlineStr">
        <is>
          <t>基地直采</t>
        </is>
      </c>
      <c r="K22" s="35" t="n">
        <v>8.609999999999999</v>
      </c>
      <c r="L22" s="16" t="n">
        <v>9.6</v>
      </c>
      <c r="M22" s="16" t="inlineStr">
        <is>
          <t>混合渠道</t>
        </is>
      </c>
      <c r="N22" s="16" t="inlineStr">
        <is>
          <t>已结批</t>
        </is>
      </c>
    </row>
    <row r="23">
      <c r="A23" s="16" t="inlineStr">
        <is>
          <t>NY-KW-2508-019</t>
        </is>
      </c>
      <c r="B23" s="16" t="inlineStr">
        <is>
          <t>海沃德</t>
        </is>
      </c>
      <c r="C23" s="16" t="inlineStr">
        <is>
          <t>四川蒲江基地</t>
        </is>
      </c>
      <c r="D23" s="34" t="n">
        <v>45917</v>
      </c>
      <c r="E23" s="34" t="n">
        <v>45920</v>
      </c>
      <c r="F23" s="16" t="inlineStr">
        <is>
          <t>广州黄埔仓</t>
        </is>
      </c>
      <c r="G23" s="35" t="n">
        <v>16100</v>
      </c>
      <c r="H23" s="35" t="n">
        <v>8.800000000000001</v>
      </c>
      <c r="I23" s="36" t="n">
        <v>141680</v>
      </c>
      <c r="J23" s="16" t="inlineStr">
        <is>
          <t>合作社采购</t>
        </is>
      </c>
      <c r="K23" s="35" t="n">
        <v>6.56</v>
      </c>
      <c r="L23" s="16" t="n">
        <v>8.800000000000001</v>
      </c>
      <c r="M23" s="16" t="inlineStr">
        <is>
          <t>连锁门店</t>
        </is>
      </c>
      <c r="N23" s="16" t="inlineStr">
        <is>
          <t>已结批</t>
        </is>
      </c>
    </row>
    <row r="24">
      <c r="A24" s="16" t="inlineStr">
        <is>
          <t>NY-KW-2508-020</t>
        </is>
      </c>
      <c r="B24" s="16" t="inlineStr">
        <is>
          <t>徐香</t>
        </is>
      </c>
      <c r="C24" s="16" t="inlineStr">
        <is>
          <t>广西桂林合作基地</t>
        </is>
      </c>
      <c r="D24" s="34" t="n">
        <v>45916</v>
      </c>
      <c r="E24" s="34" t="n">
        <v>45918</v>
      </c>
      <c r="F24" s="16" t="inlineStr">
        <is>
          <t>深圳龙岗前置仓</t>
        </is>
      </c>
      <c r="G24" s="35" t="n">
        <v>19500</v>
      </c>
      <c r="H24" s="35" t="n">
        <v>6.77</v>
      </c>
      <c r="I24" s="36" t="n">
        <v>132015</v>
      </c>
      <c r="J24" s="16" t="inlineStr">
        <is>
          <t>产地经纪采购</t>
        </is>
      </c>
      <c r="K24" s="35" t="n">
        <v>6.94</v>
      </c>
      <c r="L24" s="16" t="n">
        <v>9.6</v>
      </c>
      <c r="M24" s="16" t="inlineStr">
        <is>
          <t>社区电商</t>
        </is>
      </c>
      <c r="N24" s="16" t="inlineStr">
        <is>
          <t>已结批</t>
        </is>
      </c>
    </row>
    <row r="25">
      <c r="A25" s="16" t="inlineStr">
        <is>
          <t>NY-KW-2508-021</t>
        </is>
      </c>
      <c r="B25" s="16" t="inlineStr">
        <is>
          <t>徐香</t>
        </is>
      </c>
      <c r="C25" s="16" t="inlineStr">
        <is>
          <t>广西桂林合作基地</t>
        </is>
      </c>
      <c r="D25" s="34" t="n">
        <v>45895</v>
      </c>
      <c r="E25" s="34" t="n">
        <v>45897</v>
      </c>
      <c r="F25" s="16" t="inlineStr">
        <is>
          <t>南宁江南分仓</t>
        </is>
      </c>
      <c r="G25" s="35" t="n">
        <v>14800</v>
      </c>
      <c r="H25" s="35" t="n">
        <v>8.69</v>
      </c>
      <c r="I25" s="36" t="n">
        <v>128612</v>
      </c>
      <c r="J25" s="16" t="inlineStr">
        <is>
          <t>基地直采</t>
        </is>
      </c>
      <c r="K25" s="35" t="n">
        <v>8.66</v>
      </c>
      <c r="L25" s="16" t="n">
        <v>7.8</v>
      </c>
      <c r="M25" s="16" t="inlineStr">
        <is>
          <t>混合渠道</t>
        </is>
      </c>
      <c r="N25" s="16" t="inlineStr">
        <is>
          <t>已结批</t>
        </is>
      </c>
    </row>
    <row r="26">
      <c r="A26" s="16" t="inlineStr">
        <is>
          <t>NY-KW-2508-022</t>
        </is>
      </c>
      <c r="B26" s="16" t="inlineStr">
        <is>
          <t>翠香</t>
        </is>
      </c>
      <c r="C26" s="16" t="inlineStr">
        <is>
          <t>贵州修文基地</t>
        </is>
      </c>
      <c r="D26" s="34" t="n">
        <v>45905</v>
      </c>
      <c r="E26" s="34" t="n">
        <v>45908</v>
      </c>
      <c r="F26" s="16" t="inlineStr">
        <is>
          <t>南宁江南分仓</t>
        </is>
      </c>
      <c r="G26" s="35" t="n">
        <v>14000</v>
      </c>
      <c r="H26" s="35" t="n">
        <v>8.550000000000001</v>
      </c>
      <c r="I26" s="36" t="n">
        <v>119700</v>
      </c>
      <c r="J26" s="16" t="inlineStr">
        <is>
          <t>基地直采</t>
        </is>
      </c>
      <c r="K26" s="35" t="n">
        <v>7.46</v>
      </c>
      <c r="L26" s="16" t="n">
        <v>7.2</v>
      </c>
      <c r="M26" s="16" t="inlineStr">
        <is>
          <t>混合渠道</t>
        </is>
      </c>
      <c r="N26" s="16" t="inlineStr">
        <is>
          <t>已结批</t>
        </is>
      </c>
    </row>
    <row r="27">
      <c r="A27" s="16" t="inlineStr">
        <is>
          <t>NY-KW-2508-023</t>
        </is>
      </c>
      <c r="B27" s="16" t="inlineStr">
        <is>
          <t>徐香</t>
        </is>
      </c>
      <c r="C27" s="16" t="inlineStr">
        <is>
          <t>湖北建始基地</t>
        </is>
      </c>
      <c r="D27" s="34" t="n">
        <v>45907</v>
      </c>
      <c r="E27" s="34" t="n">
        <v>45911</v>
      </c>
      <c r="F27" s="16" t="inlineStr">
        <is>
          <t>深圳龙岗前置仓</t>
        </is>
      </c>
      <c r="G27" s="35" t="n">
        <v>17700</v>
      </c>
      <c r="H27" s="35" t="n">
        <v>8.119999999999999</v>
      </c>
      <c r="I27" s="36" t="n">
        <v>143724</v>
      </c>
      <c r="J27" s="16" t="inlineStr">
        <is>
          <t>基地直采</t>
        </is>
      </c>
      <c r="K27" s="35" t="n">
        <v>6.9</v>
      </c>
      <c r="L27" s="16" t="n">
        <v>10.1</v>
      </c>
      <c r="M27" s="16" t="inlineStr">
        <is>
          <t>混合渠道</t>
        </is>
      </c>
      <c r="N27" s="16" t="inlineStr">
        <is>
          <t>已结批</t>
        </is>
      </c>
    </row>
    <row r="28">
      <c r="A28" s="16" t="inlineStr">
        <is>
          <t>NY-KW-2508-024</t>
        </is>
      </c>
      <c r="B28" s="16" t="inlineStr">
        <is>
          <t>翠香</t>
        </is>
      </c>
      <c r="C28" s="16" t="inlineStr">
        <is>
          <t>陕西眉县基地</t>
        </is>
      </c>
      <c r="D28" s="34" t="n">
        <v>45917</v>
      </c>
      <c r="E28" s="34" t="n">
        <v>45921</v>
      </c>
      <c r="F28" s="16" t="inlineStr">
        <is>
          <t>广州黄埔仓</t>
        </is>
      </c>
      <c r="G28" s="35" t="n">
        <v>9000</v>
      </c>
      <c r="H28" s="35" t="n">
        <v>6.4</v>
      </c>
      <c r="I28" s="36" t="n">
        <v>57600</v>
      </c>
      <c r="J28" s="16" t="inlineStr">
        <is>
          <t>基地直采</t>
        </is>
      </c>
      <c r="K28" s="35" t="n">
        <v>8.369999999999999</v>
      </c>
      <c r="L28" s="16" t="n">
        <v>8.800000000000001</v>
      </c>
      <c r="M28" s="16" t="inlineStr">
        <is>
          <t>连锁门店</t>
        </is>
      </c>
      <c r="N28" s="16" t="inlineStr">
        <is>
          <t>已结批</t>
        </is>
      </c>
    </row>
    <row r="29">
      <c r="A29" s="16" t="inlineStr">
        <is>
          <t>NY-KW-2508-025</t>
        </is>
      </c>
      <c r="B29" s="16" t="inlineStr">
        <is>
          <t>海沃德</t>
        </is>
      </c>
      <c r="C29" s="16" t="inlineStr">
        <is>
          <t>陕西眉县基地</t>
        </is>
      </c>
      <c r="D29" s="34" t="n">
        <v>45942</v>
      </c>
      <c r="E29" s="34" t="n">
        <v>45946</v>
      </c>
      <c r="F29" s="16" t="inlineStr">
        <is>
          <t>深圳龙岗前置仓</t>
        </is>
      </c>
      <c r="G29" s="35" t="n">
        <v>16300</v>
      </c>
      <c r="H29" s="35" t="n">
        <v>6.25</v>
      </c>
      <c r="I29" s="36" t="n">
        <v>101875</v>
      </c>
      <c r="J29" s="16" t="inlineStr">
        <is>
          <t>合作社采购</t>
        </is>
      </c>
      <c r="K29" s="35" t="n">
        <v>8.25</v>
      </c>
      <c r="L29" s="16" t="n">
        <v>9.5</v>
      </c>
      <c r="M29" s="16" t="inlineStr">
        <is>
          <t>批发客户</t>
        </is>
      </c>
      <c r="N29" s="16" t="inlineStr">
        <is>
          <t>已结批</t>
        </is>
      </c>
    </row>
    <row r="30">
      <c r="A30" s="16" t="inlineStr">
        <is>
          <t>NY-KW-2508-026</t>
        </is>
      </c>
      <c r="B30" s="16" t="inlineStr">
        <is>
          <t>海沃德</t>
        </is>
      </c>
      <c r="C30" s="16" t="inlineStr">
        <is>
          <t>贵州修文基地</t>
        </is>
      </c>
      <c r="D30" s="34" t="n">
        <v>45900</v>
      </c>
      <c r="E30" s="34" t="n">
        <v>45904</v>
      </c>
      <c r="F30" s="16" t="inlineStr">
        <is>
          <t>深圳龙岗前置仓</t>
        </is>
      </c>
      <c r="G30" s="35" t="n">
        <v>16900</v>
      </c>
      <c r="H30" s="35" t="n">
        <v>9.26</v>
      </c>
      <c r="I30" s="36" t="n">
        <v>156494</v>
      </c>
      <c r="J30" s="16" t="inlineStr">
        <is>
          <t>产地经纪采购</t>
        </is>
      </c>
      <c r="K30" s="35" t="n">
        <v>8.640000000000001</v>
      </c>
      <c r="L30" s="16" t="n">
        <v>9.1</v>
      </c>
      <c r="M30" s="16" t="inlineStr">
        <is>
          <t>混合渠道</t>
        </is>
      </c>
      <c r="N30" s="16" t="inlineStr">
        <is>
          <t>已结批</t>
        </is>
      </c>
    </row>
    <row r="31">
      <c r="A31" s="16" t="inlineStr">
        <is>
          <t>NY-KW-2508-027</t>
        </is>
      </c>
      <c r="B31" s="16" t="inlineStr">
        <is>
          <t>海沃德</t>
        </is>
      </c>
      <c r="C31" s="16" t="inlineStr">
        <is>
          <t>湖北建始基地</t>
        </is>
      </c>
      <c r="D31" s="34" t="n">
        <v>45905</v>
      </c>
      <c r="E31" s="34" t="n">
        <v>45906</v>
      </c>
      <c r="F31" s="16" t="inlineStr">
        <is>
          <t>深圳龙岗前置仓</t>
        </is>
      </c>
      <c r="G31" s="35" t="n">
        <v>20200</v>
      </c>
      <c r="H31" s="35" t="n">
        <v>9.74</v>
      </c>
      <c r="I31" s="36" t="n">
        <v>196748</v>
      </c>
      <c r="J31" s="16" t="inlineStr">
        <is>
          <t>合作社采购</t>
        </is>
      </c>
      <c r="K31" s="35" t="n">
        <v>6.48</v>
      </c>
      <c r="L31" s="16" t="n">
        <v>9.9</v>
      </c>
      <c r="M31" s="16" t="inlineStr">
        <is>
          <t>批发客户</t>
        </is>
      </c>
      <c r="N31" s="16" t="inlineStr">
        <is>
          <t>已结批</t>
        </is>
      </c>
    </row>
    <row r="32">
      <c r="A32" s="16" t="inlineStr">
        <is>
          <t>NY-KW-2508-028</t>
        </is>
      </c>
      <c r="B32" s="16" t="inlineStr">
        <is>
          <t>徐香</t>
        </is>
      </c>
      <c r="C32" s="16" t="inlineStr">
        <is>
          <t>四川蒲江基地</t>
        </is>
      </c>
      <c r="D32" s="34" t="n">
        <v>45922</v>
      </c>
      <c r="E32" s="34" t="n">
        <v>45926</v>
      </c>
      <c r="F32" s="16" t="inlineStr">
        <is>
          <t>深圳龙岗前置仓</t>
        </is>
      </c>
      <c r="G32" s="35" t="n">
        <v>16600</v>
      </c>
      <c r="H32" s="35" t="n">
        <v>7.81</v>
      </c>
      <c r="I32" s="36" t="n">
        <v>129646</v>
      </c>
      <c r="J32" s="16" t="inlineStr">
        <is>
          <t>产地经纪采购</t>
        </is>
      </c>
      <c r="K32" s="35" t="n">
        <v>7.69</v>
      </c>
      <c r="L32" s="16" t="n">
        <v>7.6</v>
      </c>
      <c r="M32" s="16" t="inlineStr">
        <is>
          <t>连锁门店</t>
        </is>
      </c>
      <c r="N32" s="16" t="inlineStr">
        <is>
          <t>已结批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12" customWidth="1" min="12" max="12"/>
  </cols>
  <sheetData>
    <row r="1" ht="28" customHeight="1">
      <c r="A1" s="3" t="inlineStr">
        <is>
          <t>库存流水</t>
        </is>
      </c>
    </row>
    <row r="2" ht="32" customHeight="1">
      <c r="A2" s="7" t="inlineStr">
        <is>
          <t>来源：企业经营数据样例/02_库存出入库流水.xlsx。保留原始逐笔记录；日期、数量、金额和比例按字段类型呈现。</t>
        </is>
      </c>
    </row>
    <row r="4" ht="30" customHeight="1">
      <c r="A4" s="13" t="inlineStr">
        <is>
          <t>日期</t>
        </is>
      </c>
      <c r="B4" s="13" t="inlineStr">
        <is>
          <t>批次号</t>
        </is>
      </c>
      <c r="C4" s="13" t="inlineStr">
        <is>
          <t>仓库</t>
        </is>
      </c>
      <c r="D4" s="13" t="inlineStr">
        <is>
          <t>期初库存kg</t>
        </is>
      </c>
      <c r="E4" s="13" t="inlineStr">
        <is>
          <t>入库kg</t>
        </is>
      </c>
      <c r="F4" s="13" t="inlineStr">
        <is>
          <t>出库kg</t>
        </is>
      </c>
      <c r="G4" s="13" t="inlineStr">
        <is>
          <t>报损kg</t>
        </is>
      </c>
      <c r="H4" s="13" t="inlineStr">
        <is>
          <t>期末库存kg</t>
        </is>
      </c>
      <c r="I4" s="13" t="inlineStr">
        <is>
          <t>入库后天数</t>
        </is>
      </c>
      <c r="J4" s="13" t="inlineStr">
        <is>
          <t>库位类型</t>
        </is>
      </c>
      <c r="K4" s="13" t="inlineStr">
        <is>
          <t>出库去向</t>
        </is>
      </c>
      <c r="L4" s="13" t="inlineStr">
        <is>
          <t>是否末笔</t>
        </is>
      </c>
    </row>
    <row r="5">
      <c r="A5" s="34" t="n">
        <v>45894</v>
      </c>
      <c r="B5" s="16" t="inlineStr">
        <is>
          <t>NY-KW-2508-001</t>
        </is>
      </c>
      <c r="C5" s="16" t="inlineStr">
        <is>
          <t>深圳龙岗前置仓</t>
        </is>
      </c>
      <c r="D5" s="35" t="n">
        <v>0</v>
      </c>
      <c r="E5" s="35" t="n">
        <v>9000</v>
      </c>
      <c r="F5" s="35" t="n">
        <v>2109</v>
      </c>
      <c r="G5" s="35" t="n">
        <v>103.5</v>
      </c>
      <c r="H5" s="35" t="n">
        <v>6787.5</v>
      </c>
      <c r="I5" s="16" t="n">
        <v>0</v>
      </c>
      <c r="J5" s="16" t="inlineStr">
        <is>
          <t>冷藏库</t>
        </is>
      </c>
      <c r="K5" s="16" t="inlineStr">
        <is>
          <t>电商发货</t>
        </is>
      </c>
      <c r="L5" s="16" t="n">
        <v>0</v>
      </c>
    </row>
    <row r="6">
      <c r="A6" s="34" t="n">
        <v>45895</v>
      </c>
      <c r="B6" s="16" t="inlineStr">
        <is>
          <t>NY-KW-2508-001</t>
        </is>
      </c>
      <c r="C6" s="16" t="inlineStr">
        <is>
          <t>深圳龙岗前置仓</t>
        </is>
      </c>
      <c r="D6" s="35" t="n">
        <v>6787.5</v>
      </c>
      <c r="E6" s="35" t="n">
        <v>0</v>
      </c>
      <c r="F6" s="35" t="n">
        <v>1654</v>
      </c>
      <c r="G6" s="35" t="n">
        <v>89.2</v>
      </c>
      <c r="H6" s="35" t="n">
        <v>5044.3</v>
      </c>
      <c r="I6" s="16" t="n">
        <v>1</v>
      </c>
      <c r="J6" s="16" t="inlineStr">
        <is>
          <t>前置仓</t>
        </is>
      </c>
      <c r="K6" s="16" t="inlineStr">
        <is>
          <t>未分配</t>
        </is>
      </c>
      <c r="L6" s="16" t="n">
        <v>0</v>
      </c>
    </row>
    <row r="7">
      <c r="A7" s="34" t="n">
        <v>45896</v>
      </c>
      <c r="B7" s="16" t="inlineStr">
        <is>
          <t>NY-KW-2508-001</t>
        </is>
      </c>
      <c r="C7" s="16" t="inlineStr">
        <is>
          <t>深圳龙岗前置仓</t>
        </is>
      </c>
      <c r="D7" s="35" t="n">
        <v>5044.3</v>
      </c>
      <c r="E7" s="35" t="n">
        <v>0</v>
      </c>
      <c r="F7" s="35" t="n">
        <v>1368.9</v>
      </c>
      <c r="G7" s="35" t="n">
        <v>35.4</v>
      </c>
      <c r="H7" s="35" t="n">
        <v>3640</v>
      </c>
      <c r="I7" s="16" t="n">
        <v>2</v>
      </c>
      <c r="J7" s="16" t="inlineStr">
        <is>
          <t>前置仓</t>
        </is>
      </c>
      <c r="K7" s="16" t="inlineStr">
        <is>
          <t>未分配</t>
        </is>
      </c>
      <c r="L7" s="16" t="n">
        <v>0</v>
      </c>
    </row>
    <row r="8">
      <c r="A8" s="34" t="n">
        <v>45897</v>
      </c>
      <c r="B8" s="16" t="inlineStr">
        <is>
          <t>NY-KW-2508-001</t>
        </is>
      </c>
      <c r="C8" s="16" t="inlineStr">
        <is>
          <t>深圳龙岗前置仓</t>
        </is>
      </c>
      <c r="D8" s="35" t="n">
        <v>3640</v>
      </c>
      <c r="E8" s="35" t="n">
        <v>0</v>
      </c>
      <c r="F8" s="35" t="n">
        <v>1005.1</v>
      </c>
      <c r="G8" s="35" t="n">
        <v>44.9</v>
      </c>
      <c r="H8" s="35" t="n">
        <v>2590</v>
      </c>
      <c r="I8" s="16" t="n">
        <v>3</v>
      </c>
      <c r="J8" s="16" t="inlineStr">
        <is>
          <t>暂存区</t>
        </is>
      </c>
      <c r="K8" s="16" t="inlineStr">
        <is>
          <t>批发出库</t>
        </is>
      </c>
      <c r="L8" s="16" t="n">
        <v>0</v>
      </c>
    </row>
    <row r="9">
      <c r="A9" s="34" t="n">
        <v>45898</v>
      </c>
      <c r="B9" s="16" t="inlineStr">
        <is>
          <t>NY-KW-2508-001</t>
        </is>
      </c>
      <c r="C9" s="16" t="inlineStr">
        <is>
          <t>广州黄埔仓</t>
        </is>
      </c>
      <c r="D9" s="35" t="n">
        <v>2590</v>
      </c>
      <c r="E9" s="35" t="n">
        <v>0</v>
      </c>
      <c r="F9" s="35" t="n">
        <v>1001.6</v>
      </c>
      <c r="G9" s="35" t="n">
        <v>25.8</v>
      </c>
      <c r="H9" s="35" t="n">
        <v>1562.6</v>
      </c>
      <c r="I9" s="16" t="n">
        <v>4</v>
      </c>
      <c r="J9" s="16" t="inlineStr">
        <is>
          <t>冷藏库</t>
        </is>
      </c>
      <c r="K9" s="16" t="inlineStr">
        <is>
          <t>批发出库</t>
        </is>
      </c>
      <c r="L9" s="16" t="n">
        <v>0</v>
      </c>
    </row>
    <row r="10">
      <c r="A10" s="34" t="n">
        <v>45899</v>
      </c>
      <c r="B10" s="16" t="inlineStr">
        <is>
          <t>NY-KW-2508-001</t>
        </is>
      </c>
      <c r="C10" s="16" t="inlineStr">
        <is>
          <t>深圳龙岗前置仓</t>
        </is>
      </c>
      <c r="D10" s="35" t="n">
        <v>1562.6</v>
      </c>
      <c r="E10" s="35" t="n">
        <v>0</v>
      </c>
      <c r="F10" s="35" t="n">
        <v>1555.9</v>
      </c>
      <c r="G10" s="35" t="n">
        <v>6.7</v>
      </c>
      <c r="H10" s="35" t="n">
        <v>0</v>
      </c>
      <c r="I10" s="16" t="n">
        <v>5</v>
      </c>
      <c r="J10" s="16" t="inlineStr">
        <is>
          <t>冷藏库</t>
        </is>
      </c>
      <c r="K10" s="16" t="inlineStr">
        <is>
          <t>批发出库</t>
        </is>
      </c>
      <c r="L10" s="16" t="n">
        <v>0</v>
      </c>
    </row>
    <row r="11">
      <c r="A11" s="34" t="n">
        <v>45900</v>
      </c>
      <c r="B11" s="16" t="inlineStr">
        <is>
          <t>NY-KW-2508-001</t>
        </is>
      </c>
      <c r="C11" s="16" t="inlineStr">
        <is>
          <t>南宁江南分仓</t>
        </is>
      </c>
      <c r="D11" s="35" t="n">
        <v>0</v>
      </c>
      <c r="E11" s="35" t="n">
        <v>0</v>
      </c>
      <c r="F11" s="35" t="n">
        <v>0</v>
      </c>
      <c r="G11" s="35" t="n">
        <v>0</v>
      </c>
      <c r="H11" s="35" t="n">
        <v>0</v>
      </c>
      <c r="I11" s="16" t="n">
        <v>6</v>
      </c>
      <c r="J11" s="16" t="inlineStr">
        <is>
          <t>冷藏库</t>
        </is>
      </c>
      <c r="K11" s="16" t="inlineStr">
        <is>
          <t>门店补货</t>
        </is>
      </c>
      <c r="L11" s="16" t="n">
        <v>1</v>
      </c>
    </row>
    <row r="12">
      <c r="A12" s="34" t="n">
        <v>45938</v>
      </c>
      <c r="B12" s="16" t="inlineStr">
        <is>
          <t>NY-KW-2508-002</t>
        </is>
      </c>
      <c r="C12" s="16" t="inlineStr">
        <is>
          <t>广州黄埔仓</t>
        </is>
      </c>
      <c r="D12" s="35" t="n">
        <v>0</v>
      </c>
      <c r="E12" s="35" t="n">
        <v>11600</v>
      </c>
      <c r="F12" s="35" t="n">
        <v>1464.6</v>
      </c>
      <c r="G12" s="35" t="n">
        <v>30</v>
      </c>
      <c r="H12" s="35" t="n">
        <v>10105.4</v>
      </c>
      <c r="I12" s="16" t="n">
        <v>0</v>
      </c>
      <c r="J12" s="16" t="inlineStr">
        <is>
          <t>暂存区</t>
        </is>
      </c>
      <c r="K12" s="16" t="inlineStr">
        <is>
          <t>批发出库</t>
        </is>
      </c>
      <c r="L12" s="16" t="n">
        <v>0</v>
      </c>
    </row>
    <row r="13">
      <c r="A13" s="34" t="n">
        <v>45939</v>
      </c>
      <c r="B13" s="16" t="inlineStr">
        <is>
          <t>NY-KW-2508-002</t>
        </is>
      </c>
      <c r="C13" s="16" t="inlineStr">
        <is>
          <t>南宁江南分仓</t>
        </is>
      </c>
      <c r="D13" s="35" t="n">
        <v>10105.4</v>
      </c>
      <c r="E13" s="35" t="n">
        <v>0</v>
      </c>
      <c r="F13" s="35" t="n">
        <v>2861.2</v>
      </c>
      <c r="G13" s="35" t="n">
        <v>93.59999999999999</v>
      </c>
      <c r="H13" s="35" t="n">
        <v>7150.599999999999</v>
      </c>
      <c r="I13" s="16" t="n">
        <v>1</v>
      </c>
      <c r="J13" s="16" t="inlineStr">
        <is>
          <t>前置仓</t>
        </is>
      </c>
      <c r="K13" s="16" t="inlineStr">
        <is>
          <t>门店补货</t>
        </is>
      </c>
      <c r="L13" s="16" t="n">
        <v>0</v>
      </c>
    </row>
    <row r="14">
      <c r="A14" s="34" t="n">
        <v>45940</v>
      </c>
      <c r="B14" s="16" t="inlineStr">
        <is>
          <t>NY-KW-2508-002</t>
        </is>
      </c>
      <c r="C14" s="16" t="inlineStr">
        <is>
          <t>南宁江南分仓</t>
        </is>
      </c>
      <c r="D14" s="35" t="n">
        <v>7150.599999999999</v>
      </c>
      <c r="E14" s="35" t="n">
        <v>0</v>
      </c>
      <c r="F14" s="35" t="n">
        <v>1828.5</v>
      </c>
      <c r="G14" s="35" t="n">
        <v>20.8</v>
      </c>
      <c r="H14" s="35" t="n">
        <v>5301.299999999999</v>
      </c>
      <c r="I14" s="16" t="n">
        <v>2</v>
      </c>
      <c r="J14" s="16" t="inlineStr">
        <is>
          <t>前置仓</t>
        </is>
      </c>
      <c r="K14" s="16" t="inlineStr">
        <is>
          <t>门店补货</t>
        </is>
      </c>
      <c r="L14" s="16" t="n">
        <v>0</v>
      </c>
    </row>
    <row r="15">
      <c r="A15" s="34" t="n">
        <v>45941</v>
      </c>
      <c r="B15" s="16" t="inlineStr">
        <is>
          <t>NY-KW-2508-002</t>
        </is>
      </c>
      <c r="C15" s="16" t="inlineStr">
        <is>
          <t>南宁江南分仓</t>
        </is>
      </c>
      <c r="D15" s="35" t="n">
        <v>5301.299999999999</v>
      </c>
      <c r="E15" s="35" t="n">
        <v>0</v>
      </c>
      <c r="F15" s="35" t="n">
        <v>1574.6</v>
      </c>
      <c r="G15" s="35" t="n">
        <v>35.1</v>
      </c>
      <c r="H15" s="35" t="n">
        <v>3691.599999999999</v>
      </c>
      <c r="I15" s="16" t="n">
        <v>3</v>
      </c>
      <c r="J15" s="16" t="inlineStr">
        <is>
          <t>暂存区</t>
        </is>
      </c>
      <c r="K15" s="16" t="inlineStr">
        <is>
          <t>未分配</t>
        </is>
      </c>
      <c r="L15" s="16" t="n">
        <v>0</v>
      </c>
    </row>
    <row r="16">
      <c r="A16" s="34" t="n">
        <v>45942</v>
      </c>
      <c r="B16" s="16" t="inlineStr">
        <is>
          <t>NY-KW-2508-002</t>
        </is>
      </c>
      <c r="C16" s="16" t="inlineStr">
        <is>
          <t>深圳龙岗前置仓</t>
        </is>
      </c>
      <c r="D16" s="35" t="n">
        <v>3691.599999999999</v>
      </c>
      <c r="E16" s="35" t="n">
        <v>0</v>
      </c>
      <c r="F16" s="35" t="n">
        <v>2942.3</v>
      </c>
      <c r="G16" s="35" t="n">
        <v>4.5</v>
      </c>
      <c r="H16" s="35" t="n">
        <v>744.7999999999993</v>
      </c>
      <c r="I16" s="16" t="n">
        <v>4</v>
      </c>
      <c r="J16" s="16" t="inlineStr">
        <is>
          <t>前置仓</t>
        </is>
      </c>
      <c r="K16" s="16" t="inlineStr">
        <is>
          <t>未分配</t>
        </is>
      </c>
      <c r="L16" s="16" t="n">
        <v>1</v>
      </c>
    </row>
    <row r="17">
      <c r="A17" s="34" t="n">
        <v>45921</v>
      </c>
      <c r="B17" s="16" t="inlineStr">
        <is>
          <t>NY-KW-2508-003</t>
        </is>
      </c>
      <c r="C17" s="16" t="inlineStr">
        <is>
          <t>南宁江南分仓</t>
        </is>
      </c>
      <c r="D17" s="35" t="n">
        <v>0</v>
      </c>
      <c r="E17" s="35" t="n">
        <v>10000</v>
      </c>
      <c r="F17" s="35" t="n">
        <v>1002.5</v>
      </c>
      <c r="G17" s="35" t="n">
        <v>134.7</v>
      </c>
      <c r="H17" s="35" t="n">
        <v>8862.799999999999</v>
      </c>
      <c r="I17" s="16" t="n">
        <v>0</v>
      </c>
      <c r="J17" s="16" t="inlineStr">
        <is>
          <t>冷藏库</t>
        </is>
      </c>
      <c r="K17" s="16" t="inlineStr">
        <is>
          <t>仓间调拨</t>
        </is>
      </c>
      <c r="L17" s="16" t="n">
        <v>0</v>
      </c>
    </row>
    <row r="18">
      <c r="A18" s="34" t="n">
        <v>45922</v>
      </c>
      <c r="B18" s="16" t="inlineStr">
        <is>
          <t>NY-KW-2508-003</t>
        </is>
      </c>
      <c r="C18" s="16" t="inlineStr">
        <is>
          <t>南宁江南分仓</t>
        </is>
      </c>
      <c r="D18" s="35" t="n">
        <v>8862.799999999999</v>
      </c>
      <c r="E18" s="35" t="n">
        <v>0</v>
      </c>
      <c r="F18" s="35" t="n">
        <v>1204.5</v>
      </c>
      <c r="G18" s="35" t="n">
        <v>17.9</v>
      </c>
      <c r="H18" s="35" t="n">
        <v>7640.4</v>
      </c>
      <c r="I18" s="16" t="n">
        <v>1</v>
      </c>
      <c r="J18" s="16" t="inlineStr">
        <is>
          <t>前置仓</t>
        </is>
      </c>
      <c r="K18" s="16" t="inlineStr">
        <is>
          <t>电商发货</t>
        </is>
      </c>
      <c r="L18" s="16" t="n">
        <v>0</v>
      </c>
    </row>
    <row r="19">
      <c r="A19" s="34" t="n">
        <v>45923</v>
      </c>
      <c r="B19" s="16" t="inlineStr">
        <is>
          <t>NY-KW-2508-003</t>
        </is>
      </c>
      <c r="C19" s="16" t="inlineStr">
        <is>
          <t>深圳龙岗前置仓</t>
        </is>
      </c>
      <c r="D19" s="35" t="n">
        <v>7640.4</v>
      </c>
      <c r="E19" s="35" t="n">
        <v>0</v>
      </c>
      <c r="F19" s="35" t="n">
        <v>1945</v>
      </c>
      <c r="G19" s="35" t="n">
        <v>104.1</v>
      </c>
      <c r="H19" s="35" t="n">
        <v>5591.299999999999</v>
      </c>
      <c r="I19" s="16" t="n">
        <v>2</v>
      </c>
      <c r="J19" s="16" t="inlineStr">
        <is>
          <t>前置仓</t>
        </is>
      </c>
      <c r="K19" s="16" t="inlineStr">
        <is>
          <t>未分配</t>
        </is>
      </c>
      <c r="L19" s="16" t="n">
        <v>0</v>
      </c>
    </row>
    <row r="20">
      <c r="A20" s="34" t="n">
        <v>45924</v>
      </c>
      <c r="B20" s="16" t="inlineStr">
        <is>
          <t>NY-KW-2508-003</t>
        </is>
      </c>
      <c r="C20" s="16" t="inlineStr">
        <is>
          <t>深圳龙岗前置仓</t>
        </is>
      </c>
      <c r="D20" s="35" t="n">
        <v>5591.299999999999</v>
      </c>
      <c r="E20" s="35" t="n">
        <v>0</v>
      </c>
      <c r="F20" s="35" t="n">
        <v>1796.7</v>
      </c>
      <c r="G20" s="35" t="n">
        <v>11.8</v>
      </c>
      <c r="H20" s="35" t="n">
        <v>3782.799999999999</v>
      </c>
      <c r="I20" s="16" t="n">
        <v>3</v>
      </c>
      <c r="J20" s="16" t="inlineStr">
        <is>
          <t>冷藏库</t>
        </is>
      </c>
      <c r="K20" s="16" t="inlineStr">
        <is>
          <t>电商发货</t>
        </is>
      </c>
      <c r="L20" s="16" t="n">
        <v>0</v>
      </c>
    </row>
    <row r="21">
      <c r="A21" s="34" t="n">
        <v>45925</v>
      </c>
      <c r="B21" s="16" t="inlineStr">
        <is>
          <t>NY-KW-2508-003</t>
        </is>
      </c>
      <c r="C21" s="16" t="inlineStr">
        <is>
          <t>广州黄埔仓</t>
        </is>
      </c>
      <c r="D21" s="35" t="n">
        <v>3782.799999999999</v>
      </c>
      <c r="E21" s="35" t="n">
        <v>0</v>
      </c>
      <c r="F21" s="35" t="n">
        <v>1265.4</v>
      </c>
      <c r="G21" s="35" t="n">
        <v>39.7</v>
      </c>
      <c r="H21" s="35" t="n">
        <v>2477.699999999999</v>
      </c>
      <c r="I21" s="16" t="n">
        <v>4</v>
      </c>
      <c r="J21" s="16" t="inlineStr">
        <is>
          <t>暂存区</t>
        </is>
      </c>
      <c r="K21" s="16" t="inlineStr">
        <is>
          <t>仓间调拨</t>
        </is>
      </c>
      <c r="L21" s="16" t="n">
        <v>0</v>
      </c>
    </row>
    <row r="22">
      <c r="A22" s="34" t="n">
        <v>45926</v>
      </c>
      <c r="B22" s="16" t="inlineStr">
        <is>
          <t>NY-KW-2508-003</t>
        </is>
      </c>
      <c r="C22" s="16" t="inlineStr">
        <is>
          <t>南宁江南分仓</t>
        </is>
      </c>
      <c r="D22" s="35" t="n">
        <v>2477.699999999999</v>
      </c>
      <c r="E22" s="35" t="n">
        <v>0</v>
      </c>
      <c r="F22" s="35" t="n">
        <v>2246.5</v>
      </c>
      <c r="G22" s="35" t="n">
        <v>10.7</v>
      </c>
      <c r="H22" s="35" t="n">
        <v>220.4999999999994</v>
      </c>
      <c r="I22" s="16" t="n">
        <v>5</v>
      </c>
      <c r="J22" s="16" t="inlineStr">
        <is>
          <t>暂存区</t>
        </is>
      </c>
      <c r="K22" s="16" t="inlineStr">
        <is>
          <t>仓间调拨</t>
        </is>
      </c>
      <c r="L22" s="16" t="n">
        <v>0</v>
      </c>
    </row>
    <row r="23">
      <c r="A23" s="34" t="n">
        <v>45927</v>
      </c>
      <c r="B23" s="16" t="inlineStr">
        <is>
          <t>NY-KW-2508-003</t>
        </is>
      </c>
      <c r="C23" s="16" t="inlineStr">
        <is>
          <t>南宁江南分仓</t>
        </is>
      </c>
      <c r="D23" s="35" t="n">
        <v>220.4999999999994</v>
      </c>
      <c r="E23" s="35" t="n">
        <v>0</v>
      </c>
      <c r="F23" s="35" t="n">
        <v>220.4999999999994</v>
      </c>
      <c r="G23" s="35" t="n">
        <v>0.5</v>
      </c>
      <c r="H23" s="35" t="n">
        <v>0</v>
      </c>
      <c r="I23" s="16" t="n">
        <v>6</v>
      </c>
      <c r="J23" s="16" t="inlineStr">
        <is>
          <t>暂存区</t>
        </is>
      </c>
      <c r="K23" s="16" t="inlineStr">
        <is>
          <t>批发出库</t>
        </is>
      </c>
      <c r="L23" s="16" t="n">
        <v>0</v>
      </c>
    </row>
    <row r="24">
      <c r="A24" s="34" t="n">
        <v>45928</v>
      </c>
      <c r="B24" s="16" t="inlineStr">
        <is>
          <t>NY-KW-2508-003</t>
        </is>
      </c>
      <c r="C24" s="16" t="inlineStr">
        <is>
          <t>南宁江南分仓</t>
        </is>
      </c>
      <c r="D24" s="35" t="n">
        <v>0</v>
      </c>
      <c r="E24" s="35" t="n">
        <v>0</v>
      </c>
      <c r="F24" s="35" t="n">
        <v>0</v>
      </c>
      <c r="G24" s="35" t="n">
        <v>0</v>
      </c>
      <c r="H24" s="35" t="n">
        <v>0</v>
      </c>
      <c r="I24" s="16" t="n">
        <v>7</v>
      </c>
      <c r="J24" s="16" t="inlineStr">
        <is>
          <t>冷藏库</t>
        </is>
      </c>
      <c r="K24" s="16" t="inlineStr">
        <is>
          <t>门店补货</t>
        </is>
      </c>
      <c r="L24" s="16" t="n">
        <v>0</v>
      </c>
    </row>
    <row r="25">
      <c r="A25" s="34" t="n">
        <v>45929</v>
      </c>
      <c r="B25" s="16" t="inlineStr">
        <is>
          <t>NY-KW-2508-003</t>
        </is>
      </c>
      <c r="C25" s="16" t="inlineStr">
        <is>
          <t>深圳龙岗前置仓</t>
        </is>
      </c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16" t="n">
        <v>8</v>
      </c>
      <c r="J25" s="16" t="inlineStr">
        <is>
          <t>冷藏库</t>
        </is>
      </c>
      <c r="K25" s="16" t="inlineStr">
        <is>
          <t>门店补货</t>
        </is>
      </c>
      <c r="L25" s="16" t="n">
        <v>1</v>
      </c>
    </row>
    <row r="26">
      <c r="A26" s="34" t="n">
        <v>45937</v>
      </c>
      <c r="B26" s="16" t="inlineStr">
        <is>
          <t>NY-KW-2508-004</t>
        </is>
      </c>
      <c r="C26" s="16" t="inlineStr">
        <is>
          <t>广州黄埔仓</t>
        </is>
      </c>
      <c r="D26" s="35" t="n">
        <v>0</v>
      </c>
      <c r="E26" s="35" t="n">
        <v>14000</v>
      </c>
      <c r="F26" s="35" t="n">
        <v>3230.7</v>
      </c>
      <c r="G26" s="35" t="n">
        <v>141.8</v>
      </c>
      <c r="H26" s="35" t="n">
        <v>10627.5</v>
      </c>
      <c r="I26" s="16" t="n">
        <v>0</v>
      </c>
      <c r="J26" s="16" t="inlineStr">
        <is>
          <t>前置仓</t>
        </is>
      </c>
      <c r="K26" s="16" t="inlineStr">
        <is>
          <t>门店补货</t>
        </is>
      </c>
      <c r="L26" s="16" t="n">
        <v>0</v>
      </c>
    </row>
    <row r="27">
      <c r="A27" s="34" t="n">
        <v>45938</v>
      </c>
      <c r="B27" s="16" t="inlineStr">
        <is>
          <t>NY-KW-2508-004</t>
        </is>
      </c>
      <c r="C27" s="16" t="inlineStr">
        <is>
          <t>深圳龙岗前置仓</t>
        </is>
      </c>
      <c r="D27" s="35" t="n">
        <v>10627.5</v>
      </c>
      <c r="E27" s="35" t="n">
        <v>0</v>
      </c>
      <c r="F27" s="35" t="n">
        <v>2714</v>
      </c>
      <c r="G27" s="35" t="n">
        <v>115.2</v>
      </c>
      <c r="H27" s="35" t="n">
        <v>7798.3</v>
      </c>
      <c r="I27" s="16" t="n">
        <v>1</v>
      </c>
      <c r="J27" s="16" t="inlineStr">
        <is>
          <t>前置仓</t>
        </is>
      </c>
      <c r="K27" s="16" t="inlineStr">
        <is>
          <t>批发出库</t>
        </is>
      </c>
      <c r="L27" s="16" t="n">
        <v>0</v>
      </c>
    </row>
    <row r="28">
      <c r="A28" s="34" t="n">
        <v>45939</v>
      </c>
      <c r="B28" s="16" t="inlineStr">
        <is>
          <t>NY-KW-2508-004</t>
        </is>
      </c>
      <c r="C28" s="16" t="inlineStr">
        <is>
          <t>深圳龙岗前置仓</t>
        </is>
      </c>
      <c r="D28" s="35" t="n">
        <v>7798.3</v>
      </c>
      <c r="E28" s="35" t="n">
        <v>0</v>
      </c>
      <c r="F28" s="35" t="n">
        <v>3245.3</v>
      </c>
      <c r="G28" s="35" t="n">
        <v>103.4</v>
      </c>
      <c r="H28" s="35" t="n">
        <v>4449.6</v>
      </c>
      <c r="I28" s="16" t="n">
        <v>2</v>
      </c>
      <c r="J28" s="16" t="inlineStr">
        <is>
          <t>冷藏库</t>
        </is>
      </c>
      <c r="K28" s="16" t="inlineStr">
        <is>
          <t>批发出库</t>
        </is>
      </c>
      <c r="L28" s="16" t="n">
        <v>0</v>
      </c>
    </row>
    <row r="29">
      <c r="A29" s="34" t="n">
        <v>45940</v>
      </c>
      <c r="B29" s="16" t="inlineStr">
        <is>
          <t>NY-KW-2508-004</t>
        </is>
      </c>
      <c r="C29" s="16" t="inlineStr">
        <is>
          <t>南宁江南分仓</t>
        </is>
      </c>
      <c r="D29" s="35" t="n">
        <v>4449.6</v>
      </c>
      <c r="E29" s="35" t="n">
        <v>0</v>
      </c>
      <c r="F29" s="35" t="n">
        <v>3064.4</v>
      </c>
      <c r="G29" s="35" t="n">
        <v>5.4</v>
      </c>
      <c r="H29" s="35" t="n">
        <v>1379.8</v>
      </c>
      <c r="I29" s="16" t="n">
        <v>3</v>
      </c>
      <c r="J29" s="16" t="inlineStr">
        <is>
          <t>冷藏库</t>
        </is>
      </c>
      <c r="K29" s="16" t="inlineStr">
        <is>
          <t>门店补货</t>
        </is>
      </c>
      <c r="L29" s="16" t="n">
        <v>0</v>
      </c>
    </row>
    <row r="30">
      <c r="A30" s="34" t="n">
        <v>45941</v>
      </c>
      <c r="B30" s="16" t="inlineStr">
        <is>
          <t>NY-KW-2508-004</t>
        </is>
      </c>
      <c r="C30" s="16" t="inlineStr">
        <is>
          <t>深圳龙岗前置仓</t>
        </is>
      </c>
      <c r="D30" s="35" t="n">
        <v>1379.8</v>
      </c>
      <c r="E30" s="35" t="n">
        <v>0</v>
      </c>
      <c r="F30" s="35" t="n">
        <v>1362.8</v>
      </c>
      <c r="G30" s="35" t="n">
        <v>17</v>
      </c>
      <c r="H30" s="35" t="n">
        <v>0</v>
      </c>
      <c r="I30" s="16" t="n">
        <v>4</v>
      </c>
      <c r="J30" s="16" t="inlineStr">
        <is>
          <t>暂存区</t>
        </is>
      </c>
      <c r="K30" s="16" t="inlineStr">
        <is>
          <t>未分配</t>
        </is>
      </c>
      <c r="L30" s="16" t="n">
        <v>1</v>
      </c>
    </row>
    <row r="31">
      <c r="A31" s="34" t="n">
        <v>45930</v>
      </c>
      <c r="B31" s="16" t="inlineStr">
        <is>
          <t>NY-KW-2508-005</t>
        </is>
      </c>
      <c r="C31" s="16" t="inlineStr">
        <is>
          <t>南宁江南分仓</t>
        </is>
      </c>
      <c r="D31" s="35" t="n">
        <v>0</v>
      </c>
      <c r="E31" s="35" t="n">
        <v>19000</v>
      </c>
      <c r="F31" s="35" t="n">
        <v>2105.5</v>
      </c>
      <c r="G31" s="35" t="n">
        <v>237.2</v>
      </c>
      <c r="H31" s="35" t="n">
        <v>16657.3</v>
      </c>
      <c r="I31" s="16" t="n">
        <v>0</v>
      </c>
      <c r="J31" s="16" t="inlineStr">
        <is>
          <t>暂存区</t>
        </is>
      </c>
      <c r="K31" s="16" t="inlineStr">
        <is>
          <t>批发出库</t>
        </is>
      </c>
      <c r="L31" s="16" t="n">
        <v>0</v>
      </c>
    </row>
    <row r="32">
      <c r="A32" s="34" t="n">
        <v>45931</v>
      </c>
      <c r="B32" s="16" t="inlineStr">
        <is>
          <t>NY-KW-2508-005</t>
        </is>
      </c>
      <c r="C32" s="16" t="inlineStr">
        <is>
          <t>广州黄埔仓</t>
        </is>
      </c>
      <c r="D32" s="35" t="n">
        <v>16657.3</v>
      </c>
      <c r="E32" s="35" t="n">
        <v>0</v>
      </c>
      <c r="F32" s="35" t="n">
        <v>2860.6</v>
      </c>
      <c r="G32" s="35" t="n">
        <v>72.2</v>
      </c>
      <c r="H32" s="35" t="n">
        <v>13724.5</v>
      </c>
      <c r="I32" s="16" t="n">
        <v>1</v>
      </c>
      <c r="J32" s="16" t="inlineStr">
        <is>
          <t>前置仓</t>
        </is>
      </c>
      <c r="K32" s="16" t="inlineStr">
        <is>
          <t>电商发货</t>
        </is>
      </c>
      <c r="L32" s="16" t="n">
        <v>0</v>
      </c>
    </row>
    <row r="33">
      <c r="A33" s="34" t="n">
        <v>45932</v>
      </c>
      <c r="B33" s="16" t="inlineStr">
        <is>
          <t>NY-KW-2508-005</t>
        </is>
      </c>
      <c r="C33" s="16" t="inlineStr">
        <is>
          <t>深圳龙岗前置仓</t>
        </is>
      </c>
      <c r="D33" s="35" t="n">
        <v>13724.5</v>
      </c>
      <c r="E33" s="35" t="n">
        <v>0</v>
      </c>
      <c r="F33" s="35" t="n">
        <v>2950.8</v>
      </c>
      <c r="G33" s="35" t="n">
        <v>143.3</v>
      </c>
      <c r="H33" s="35" t="n">
        <v>10630.4</v>
      </c>
      <c r="I33" s="16" t="n">
        <v>2</v>
      </c>
      <c r="J33" s="16" t="inlineStr">
        <is>
          <t>前置仓</t>
        </is>
      </c>
      <c r="K33" s="16" t="inlineStr">
        <is>
          <t>电商发货</t>
        </is>
      </c>
      <c r="L33" s="16" t="n">
        <v>0</v>
      </c>
    </row>
    <row r="34">
      <c r="A34" s="34" t="n">
        <v>45933</v>
      </c>
      <c r="B34" s="16" t="inlineStr">
        <is>
          <t>NY-KW-2508-005</t>
        </is>
      </c>
      <c r="C34" s="16" t="inlineStr">
        <is>
          <t>南宁江南分仓</t>
        </is>
      </c>
      <c r="D34" s="35" t="n">
        <v>10630.4</v>
      </c>
      <c r="E34" s="35" t="n">
        <v>0</v>
      </c>
      <c r="F34" s="35" t="n">
        <v>2437.3</v>
      </c>
      <c r="G34" s="35" t="n">
        <v>97.90000000000001</v>
      </c>
      <c r="H34" s="35" t="n">
        <v>8095.199999999999</v>
      </c>
      <c r="I34" s="16" t="n">
        <v>3</v>
      </c>
      <c r="J34" s="16" t="inlineStr">
        <is>
          <t>冷藏库</t>
        </is>
      </c>
      <c r="K34" s="16" t="inlineStr">
        <is>
          <t>门店补货</t>
        </is>
      </c>
      <c r="L34" s="16" t="n">
        <v>0</v>
      </c>
    </row>
    <row r="35">
      <c r="A35" s="34" t="n">
        <v>45934</v>
      </c>
      <c r="B35" s="16" t="inlineStr">
        <is>
          <t>NY-KW-2508-005</t>
        </is>
      </c>
      <c r="C35" s="16" t="inlineStr">
        <is>
          <t>南宁江南分仓</t>
        </is>
      </c>
      <c r="D35" s="35" t="n">
        <v>8095.199999999999</v>
      </c>
      <c r="E35" s="35" t="n">
        <v>0</v>
      </c>
      <c r="F35" s="35" t="n">
        <v>2678</v>
      </c>
      <c r="G35" s="35" t="n">
        <v>67</v>
      </c>
      <c r="H35" s="35" t="n">
        <v>5350.199999999999</v>
      </c>
      <c r="I35" s="16" t="n">
        <v>4</v>
      </c>
      <c r="J35" s="16" t="inlineStr">
        <is>
          <t>前置仓</t>
        </is>
      </c>
      <c r="K35" s="16" t="inlineStr">
        <is>
          <t>未分配</t>
        </is>
      </c>
      <c r="L35" s="16" t="n">
        <v>0</v>
      </c>
    </row>
    <row r="36">
      <c r="A36" s="34" t="n">
        <v>45935</v>
      </c>
      <c r="B36" s="16" t="inlineStr">
        <is>
          <t>NY-KW-2508-005</t>
        </is>
      </c>
      <c r="C36" s="16" t="inlineStr">
        <is>
          <t>深圳龙岗前置仓</t>
        </is>
      </c>
      <c r="D36" s="35" t="n">
        <v>5350.199999999999</v>
      </c>
      <c r="E36" s="35" t="n">
        <v>0</v>
      </c>
      <c r="F36" s="35" t="n">
        <v>4471.4</v>
      </c>
      <c r="G36" s="35" t="n">
        <v>43.7</v>
      </c>
      <c r="H36" s="35" t="n">
        <v>835.0999999999992</v>
      </c>
      <c r="I36" s="16" t="n">
        <v>5</v>
      </c>
      <c r="J36" s="16" t="inlineStr">
        <is>
          <t>冷藏库</t>
        </is>
      </c>
      <c r="K36" s="16" t="inlineStr">
        <is>
          <t>未分配</t>
        </is>
      </c>
      <c r="L36" s="16" t="n">
        <v>0</v>
      </c>
    </row>
    <row r="37">
      <c r="A37" s="34" t="n">
        <v>45936</v>
      </c>
      <c r="B37" s="16" t="inlineStr">
        <is>
          <t>NY-KW-2508-005</t>
        </is>
      </c>
      <c r="C37" s="16" t="inlineStr">
        <is>
          <t>南宁江南分仓</t>
        </is>
      </c>
      <c r="D37" s="35" t="n">
        <v>835.0999999999992</v>
      </c>
      <c r="E37" s="35" t="n">
        <v>0</v>
      </c>
      <c r="F37" s="35" t="n">
        <v>833.6</v>
      </c>
      <c r="G37" s="35" t="n">
        <v>1.5</v>
      </c>
      <c r="H37" s="35" t="n">
        <v>0</v>
      </c>
      <c r="I37" s="16" t="n">
        <v>6</v>
      </c>
      <c r="J37" s="16" t="inlineStr">
        <is>
          <t>暂存区</t>
        </is>
      </c>
      <c r="K37" s="16" t="inlineStr">
        <is>
          <t>未分配</t>
        </is>
      </c>
      <c r="L37" s="16" t="n">
        <v>0</v>
      </c>
    </row>
    <row r="38">
      <c r="A38" s="34" t="n">
        <v>45937</v>
      </c>
      <c r="B38" s="16" t="inlineStr">
        <is>
          <t>NY-KW-2508-005</t>
        </is>
      </c>
      <c r="C38" s="16" t="inlineStr">
        <is>
          <t>南宁江南分仓</t>
        </is>
      </c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16" t="n">
        <v>7</v>
      </c>
      <c r="J38" s="16" t="inlineStr">
        <is>
          <t>冷藏库</t>
        </is>
      </c>
      <c r="K38" s="16" t="inlineStr">
        <is>
          <t>批发出库</t>
        </is>
      </c>
      <c r="L38" s="16" t="n">
        <v>0</v>
      </c>
    </row>
    <row r="39">
      <c r="A39" s="34" t="n">
        <v>45938</v>
      </c>
      <c r="B39" s="16" t="inlineStr">
        <is>
          <t>NY-KW-2508-005</t>
        </is>
      </c>
      <c r="C39" s="16" t="inlineStr">
        <is>
          <t>南宁江南分仓</t>
        </is>
      </c>
      <c r="D39" s="35" t="n">
        <v>0</v>
      </c>
      <c r="E39" s="35" t="n">
        <v>0</v>
      </c>
      <c r="F39" s="35" t="n">
        <v>0</v>
      </c>
      <c r="G39" s="35" t="n">
        <v>0</v>
      </c>
      <c r="H39" s="35" t="n">
        <v>0</v>
      </c>
      <c r="I39" s="16" t="n">
        <v>8</v>
      </c>
      <c r="J39" s="16" t="inlineStr">
        <is>
          <t>冷藏库</t>
        </is>
      </c>
      <c r="K39" s="16" t="inlineStr">
        <is>
          <t>仓间调拨</t>
        </is>
      </c>
      <c r="L39" s="16" t="n">
        <v>1</v>
      </c>
    </row>
    <row r="40">
      <c r="A40" s="34" t="n">
        <v>45903</v>
      </c>
      <c r="B40" s="16" t="inlineStr">
        <is>
          <t>NY-KW-2508-006</t>
        </is>
      </c>
      <c r="C40" s="16" t="inlineStr">
        <is>
          <t>深圳龙岗前置仓</t>
        </is>
      </c>
      <c r="D40" s="35" t="n">
        <v>0</v>
      </c>
      <c r="E40" s="35" t="n">
        <v>16400</v>
      </c>
      <c r="F40" s="35" t="n">
        <v>3858</v>
      </c>
      <c r="G40" s="35" t="n">
        <v>64.40000000000001</v>
      </c>
      <c r="H40" s="35" t="n">
        <v>12477.6</v>
      </c>
      <c r="I40" s="16" t="n">
        <v>0</v>
      </c>
      <c r="J40" s="16" t="inlineStr">
        <is>
          <t>冷藏库</t>
        </is>
      </c>
      <c r="K40" s="16" t="inlineStr">
        <is>
          <t>仓间调拨</t>
        </is>
      </c>
      <c r="L40" s="16" t="n">
        <v>0</v>
      </c>
    </row>
    <row r="41">
      <c r="A41" s="34" t="n">
        <v>45904</v>
      </c>
      <c r="B41" s="16" t="inlineStr">
        <is>
          <t>NY-KW-2508-006</t>
        </is>
      </c>
      <c r="C41" s="16" t="inlineStr">
        <is>
          <t>广州黄埔仓</t>
        </is>
      </c>
      <c r="D41" s="35" t="n">
        <v>12477.6</v>
      </c>
      <c r="E41" s="35" t="n">
        <v>0</v>
      </c>
      <c r="F41" s="35" t="n">
        <v>2121.6</v>
      </c>
      <c r="G41" s="35" t="n">
        <v>20.7</v>
      </c>
      <c r="H41" s="35" t="n">
        <v>10335.3</v>
      </c>
      <c r="I41" s="16" t="n">
        <v>1</v>
      </c>
      <c r="J41" s="16" t="inlineStr">
        <is>
          <t>冷藏库</t>
        </is>
      </c>
      <c r="K41" s="16" t="inlineStr">
        <is>
          <t>电商发货</t>
        </is>
      </c>
      <c r="L41" s="16" t="n">
        <v>0</v>
      </c>
    </row>
    <row r="42">
      <c r="A42" s="34" t="n">
        <v>45905</v>
      </c>
      <c r="B42" s="16" t="inlineStr">
        <is>
          <t>NY-KW-2508-006</t>
        </is>
      </c>
      <c r="C42" s="16" t="inlineStr">
        <is>
          <t>南宁江南分仓</t>
        </is>
      </c>
      <c r="D42" s="35" t="n">
        <v>10335.3</v>
      </c>
      <c r="E42" s="35" t="n">
        <v>0</v>
      </c>
      <c r="F42" s="35" t="n">
        <v>2041.3</v>
      </c>
      <c r="G42" s="35" t="n">
        <v>15.7</v>
      </c>
      <c r="H42" s="35" t="n">
        <v>8278.299999999999</v>
      </c>
      <c r="I42" s="16" t="n">
        <v>2</v>
      </c>
      <c r="J42" s="16" t="inlineStr">
        <is>
          <t>前置仓</t>
        </is>
      </c>
      <c r="K42" s="16" t="inlineStr">
        <is>
          <t>门店补货</t>
        </is>
      </c>
      <c r="L42" s="16" t="n">
        <v>0</v>
      </c>
    </row>
    <row r="43">
      <c r="A43" s="34" t="n">
        <v>45906</v>
      </c>
      <c r="B43" s="16" t="inlineStr">
        <is>
          <t>NY-KW-2508-006</t>
        </is>
      </c>
      <c r="C43" s="16" t="inlineStr">
        <is>
          <t>广州黄埔仓</t>
        </is>
      </c>
      <c r="D43" s="35" t="n">
        <v>8278.299999999999</v>
      </c>
      <c r="E43" s="35" t="n">
        <v>0</v>
      </c>
      <c r="F43" s="35" t="n">
        <v>2457.7</v>
      </c>
      <c r="G43" s="35" t="n">
        <v>96.90000000000001</v>
      </c>
      <c r="H43" s="35" t="n">
        <v>5723.7</v>
      </c>
      <c r="I43" s="16" t="n">
        <v>3</v>
      </c>
      <c r="J43" s="16" t="inlineStr">
        <is>
          <t>暂存区</t>
        </is>
      </c>
      <c r="K43" s="16" t="inlineStr">
        <is>
          <t>电商发货</t>
        </is>
      </c>
      <c r="L43" s="16" t="n">
        <v>0</v>
      </c>
    </row>
    <row r="44">
      <c r="A44" s="34" t="n">
        <v>45907</v>
      </c>
      <c r="B44" s="16" t="inlineStr">
        <is>
          <t>NY-KW-2508-006</t>
        </is>
      </c>
      <c r="C44" s="16" t="inlineStr">
        <is>
          <t>广州黄埔仓</t>
        </is>
      </c>
      <c r="D44" s="35" t="n">
        <v>5723.7</v>
      </c>
      <c r="E44" s="35" t="n">
        <v>0</v>
      </c>
      <c r="F44" s="35" t="n">
        <v>2218.8</v>
      </c>
      <c r="G44" s="35" t="n">
        <v>31.2</v>
      </c>
      <c r="H44" s="35" t="n">
        <v>3473.7</v>
      </c>
      <c r="I44" s="16" t="n">
        <v>4</v>
      </c>
      <c r="J44" s="16" t="inlineStr">
        <is>
          <t>前置仓</t>
        </is>
      </c>
      <c r="K44" s="16" t="inlineStr">
        <is>
          <t>批发出库</t>
        </is>
      </c>
      <c r="L44" s="16" t="n">
        <v>0</v>
      </c>
    </row>
    <row r="45">
      <c r="A45" s="34" t="n">
        <v>45908</v>
      </c>
      <c r="B45" s="16" t="inlineStr">
        <is>
          <t>NY-KW-2508-006</t>
        </is>
      </c>
      <c r="C45" s="16" t="inlineStr">
        <is>
          <t>深圳龙岗前置仓</t>
        </is>
      </c>
      <c r="D45" s="35" t="n">
        <v>3473.7</v>
      </c>
      <c r="E45" s="35" t="n">
        <v>0</v>
      </c>
      <c r="F45" s="35" t="n">
        <v>3356.1</v>
      </c>
      <c r="G45" s="35" t="n">
        <v>6.8</v>
      </c>
      <c r="H45" s="35" t="n">
        <v>110.7999999999999</v>
      </c>
      <c r="I45" s="16" t="n">
        <v>5</v>
      </c>
      <c r="J45" s="16" t="inlineStr">
        <is>
          <t>冷藏库</t>
        </is>
      </c>
      <c r="K45" s="16" t="inlineStr">
        <is>
          <t>批发出库</t>
        </is>
      </c>
      <c r="L45" s="16" t="n">
        <v>0</v>
      </c>
    </row>
    <row r="46">
      <c r="A46" s="34" t="n">
        <v>45909</v>
      </c>
      <c r="B46" s="16" t="inlineStr">
        <is>
          <t>NY-KW-2508-006</t>
        </is>
      </c>
      <c r="C46" s="16" t="inlineStr">
        <is>
          <t>广州黄埔仓</t>
        </is>
      </c>
      <c r="D46" s="35" t="n">
        <v>110.7999999999999</v>
      </c>
      <c r="E46" s="35" t="n">
        <v>0</v>
      </c>
      <c r="F46" s="35" t="n">
        <v>110.2</v>
      </c>
      <c r="G46" s="35" t="n">
        <v>0.6</v>
      </c>
      <c r="H46" s="35" t="n">
        <v>0</v>
      </c>
      <c r="I46" s="16" t="n">
        <v>6</v>
      </c>
      <c r="J46" s="16" t="inlineStr">
        <is>
          <t>暂存区</t>
        </is>
      </c>
      <c r="K46" s="16" t="inlineStr">
        <is>
          <t>电商发货</t>
        </is>
      </c>
      <c r="L46" s="16" t="n">
        <v>0</v>
      </c>
    </row>
    <row r="47">
      <c r="A47" s="34" t="n">
        <v>45910</v>
      </c>
      <c r="B47" s="16" t="inlineStr">
        <is>
          <t>NY-KW-2508-006</t>
        </is>
      </c>
      <c r="C47" s="16" t="inlineStr">
        <is>
          <t>广州黄埔仓</t>
        </is>
      </c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16" t="n">
        <v>7</v>
      </c>
      <c r="J47" s="16" t="inlineStr">
        <is>
          <t>暂存区</t>
        </is>
      </c>
      <c r="K47" s="16" t="inlineStr">
        <is>
          <t>未分配</t>
        </is>
      </c>
      <c r="L47" s="16" t="n">
        <v>1</v>
      </c>
    </row>
    <row r="48">
      <c r="A48" s="34" t="n">
        <v>45924</v>
      </c>
      <c r="B48" s="16" t="inlineStr">
        <is>
          <t>NY-KW-2508-007</t>
        </is>
      </c>
      <c r="C48" s="16" t="inlineStr">
        <is>
          <t>广州黄埔仓</t>
        </is>
      </c>
      <c r="D48" s="35" t="n">
        <v>0</v>
      </c>
      <c r="E48" s="35" t="n">
        <v>19400</v>
      </c>
      <c r="F48" s="35" t="n">
        <v>2824.4</v>
      </c>
      <c r="G48" s="35" t="n">
        <v>113</v>
      </c>
      <c r="H48" s="35" t="n">
        <v>16462.6</v>
      </c>
      <c r="I48" s="16" t="n">
        <v>0</v>
      </c>
      <c r="J48" s="16" t="inlineStr">
        <is>
          <t>暂存区</t>
        </is>
      </c>
      <c r="K48" s="16" t="inlineStr">
        <is>
          <t>电商发货</t>
        </is>
      </c>
      <c r="L48" s="16" t="n">
        <v>0</v>
      </c>
    </row>
    <row r="49">
      <c r="A49" s="34" t="n">
        <v>45925</v>
      </c>
      <c r="B49" s="16" t="inlineStr">
        <is>
          <t>NY-KW-2508-007</t>
        </is>
      </c>
      <c r="C49" s="16" t="inlineStr">
        <is>
          <t>深圳龙岗前置仓</t>
        </is>
      </c>
      <c r="D49" s="35" t="n">
        <v>16462.6</v>
      </c>
      <c r="E49" s="35" t="n">
        <v>0</v>
      </c>
      <c r="F49" s="35" t="n">
        <v>2164.3</v>
      </c>
      <c r="G49" s="35" t="n">
        <v>121</v>
      </c>
      <c r="H49" s="35" t="n">
        <v>14177.3</v>
      </c>
      <c r="I49" s="16" t="n">
        <v>1</v>
      </c>
      <c r="J49" s="16" t="inlineStr">
        <is>
          <t>冷藏库</t>
        </is>
      </c>
      <c r="K49" s="16" t="inlineStr">
        <is>
          <t>批发出库</t>
        </is>
      </c>
      <c r="L49" s="16" t="n">
        <v>0</v>
      </c>
    </row>
    <row r="50">
      <c r="A50" s="34" t="n">
        <v>45926</v>
      </c>
      <c r="B50" s="16" t="inlineStr">
        <is>
          <t>NY-KW-2508-007</t>
        </is>
      </c>
      <c r="C50" s="16" t="inlineStr">
        <is>
          <t>深圳龙岗前置仓</t>
        </is>
      </c>
      <c r="D50" s="35" t="n">
        <v>14177.3</v>
      </c>
      <c r="E50" s="35" t="n">
        <v>0</v>
      </c>
      <c r="F50" s="35" t="n">
        <v>2762.6</v>
      </c>
      <c r="G50" s="35" t="n">
        <v>23.5</v>
      </c>
      <c r="H50" s="35" t="n">
        <v>11391.2</v>
      </c>
      <c r="I50" s="16" t="n">
        <v>2</v>
      </c>
      <c r="J50" s="16" t="inlineStr">
        <is>
          <t>冷藏库</t>
        </is>
      </c>
      <c r="K50" s="16" t="inlineStr">
        <is>
          <t>电商发货</t>
        </is>
      </c>
      <c r="L50" s="16" t="n">
        <v>0</v>
      </c>
    </row>
    <row r="51">
      <c r="A51" s="34" t="n">
        <v>45927</v>
      </c>
      <c r="B51" s="16" t="inlineStr">
        <is>
          <t>NY-KW-2508-007</t>
        </is>
      </c>
      <c r="C51" s="16" t="inlineStr">
        <is>
          <t>深圳龙岗前置仓</t>
        </is>
      </c>
      <c r="D51" s="35" t="n">
        <v>11391.2</v>
      </c>
      <c r="E51" s="35" t="n">
        <v>0</v>
      </c>
      <c r="F51" s="35" t="n">
        <v>2665.7</v>
      </c>
      <c r="G51" s="35" t="n">
        <v>43.6</v>
      </c>
      <c r="H51" s="35" t="n">
        <v>8681.9</v>
      </c>
      <c r="I51" s="16" t="n">
        <v>3</v>
      </c>
      <c r="J51" s="16" t="inlineStr">
        <is>
          <t>冷藏库</t>
        </is>
      </c>
      <c r="K51" s="16" t="inlineStr">
        <is>
          <t>批发出库</t>
        </is>
      </c>
      <c r="L51" s="16" t="n">
        <v>0</v>
      </c>
    </row>
    <row r="52">
      <c r="A52" s="34" t="n">
        <v>45928</v>
      </c>
      <c r="B52" s="16" t="inlineStr">
        <is>
          <t>NY-KW-2508-007</t>
        </is>
      </c>
      <c r="C52" s="16" t="inlineStr">
        <is>
          <t>南宁江南分仓</t>
        </is>
      </c>
      <c r="D52" s="35" t="n">
        <v>8681.9</v>
      </c>
      <c r="E52" s="35" t="n">
        <v>0</v>
      </c>
      <c r="F52" s="35" t="n">
        <v>1959.7</v>
      </c>
      <c r="G52" s="35" t="n">
        <v>65.09999999999999</v>
      </c>
      <c r="H52" s="35" t="n">
        <v>6657.099999999999</v>
      </c>
      <c r="I52" s="16" t="n">
        <v>4</v>
      </c>
      <c r="J52" s="16" t="inlineStr">
        <is>
          <t>暂存区</t>
        </is>
      </c>
      <c r="K52" s="16" t="inlineStr">
        <is>
          <t>仓间调拨</t>
        </is>
      </c>
      <c r="L52" s="16" t="n">
        <v>0</v>
      </c>
    </row>
    <row r="53">
      <c r="A53" s="34" t="n">
        <v>45929</v>
      </c>
      <c r="B53" s="16" t="inlineStr">
        <is>
          <t>NY-KW-2508-007</t>
        </is>
      </c>
      <c r="C53" s="16" t="inlineStr">
        <is>
          <t>南宁江南分仓</t>
        </is>
      </c>
      <c r="D53" s="35" t="n">
        <v>6657.099999999999</v>
      </c>
      <c r="E53" s="35" t="n">
        <v>0</v>
      </c>
      <c r="F53" s="35" t="n">
        <v>4780.6</v>
      </c>
      <c r="G53" s="35" t="n">
        <v>33.7</v>
      </c>
      <c r="H53" s="35" t="n">
        <v>1842.799999999999</v>
      </c>
      <c r="I53" s="16" t="n">
        <v>5</v>
      </c>
      <c r="J53" s="16" t="inlineStr">
        <is>
          <t>前置仓</t>
        </is>
      </c>
      <c r="K53" s="16" t="inlineStr">
        <is>
          <t>门店补货</t>
        </is>
      </c>
      <c r="L53" s="16" t="n">
        <v>1</v>
      </c>
    </row>
    <row r="54">
      <c r="A54" s="34" t="n">
        <v>45936</v>
      </c>
      <c r="B54" s="16" t="inlineStr">
        <is>
          <t>NY-KW-2508-008</t>
        </is>
      </c>
      <c r="C54" s="16" t="inlineStr">
        <is>
          <t>深圳龙岗前置仓</t>
        </is>
      </c>
      <c r="D54" s="35" t="n">
        <v>0</v>
      </c>
      <c r="E54" s="35" t="n">
        <v>22300</v>
      </c>
      <c r="F54" s="35" t="n">
        <v>3703.8</v>
      </c>
      <c r="G54" s="35" t="n">
        <v>101.2</v>
      </c>
      <c r="H54" s="35" t="n">
        <v>18495</v>
      </c>
      <c r="I54" s="16" t="n">
        <v>0</v>
      </c>
      <c r="J54" s="16" t="inlineStr">
        <is>
          <t>前置仓</t>
        </is>
      </c>
      <c r="K54" s="16" t="inlineStr">
        <is>
          <t>门店补货</t>
        </is>
      </c>
      <c r="L54" s="16" t="n">
        <v>0</v>
      </c>
    </row>
    <row r="55">
      <c r="A55" s="34" t="n">
        <v>45937</v>
      </c>
      <c r="B55" s="16" t="inlineStr">
        <is>
          <t>NY-KW-2508-008</t>
        </is>
      </c>
      <c r="C55" s="16" t="inlineStr">
        <is>
          <t>广州黄埔仓</t>
        </is>
      </c>
      <c r="D55" s="35" t="n">
        <v>18495</v>
      </c>
      <c r="E55" s="35" t="n">
        <v>0</v>
      </c>
      <c r="F55" s="35" t="n">
        <v>3686.4</v>
      </c>
      <c r="G55" s="35" t="n">
        <v>86.59999999999999</v>
      </c>
      <c r="H55" s="35" t="n">
        <v>14722</v>
      </c>
      <c r="I55" s="16" t="n">
        <v>1</v>
      </c>
      <c r="J55" s="16" t="inlineStr">
        <is>
          <t>冷藏库</t>
        </is>
      </c>
      <c r="K55" s="16" t="inlineStr">
        <is>
          <t>门店补货</t>
        </is>
      </c>
      <c r="L55" s="16" t="n">
        <v>0</v>
      </c>
    </row>
    <row r="56">
      <c r="A56" s="34" t="n">
        <v>45938</v>
      </c>
      <c r="B56" s="16" t="inlineStr">
        <is>
          <t>NY-KW-2508-008</t>
        </is>
      </c>
      <c r="C56" s="16" t="inlineStr">
        <is>
          <t>广州黄埔仓</t>
        </is>
      </c>
      <c r="D56" s="35" t="n">
        <v>14722</v>
      </c>
      <c r="E56" s="35" t="n">
        <v>0</v>
      </c>
      <c r="F56" s="35" t="n">
        <v>5623.8</v>
      </c>
      <c r="G56" s="35" t="n">
        <v>74.3</v>
      </c>
      <c r="H56" s="35" t="n">
        <v>9023.900000000001</v>
      </c>
      <c r="I56" s="16" t="n">
        <v>2</v>
      </c>
      <c r="J56" s="16" t="inlineStr">
        <is>
          <t>暂存区</t>
        </is>
      </c>
      <c r="K56" s="16" t="inlineStr">
        <is>
          <t>批发出库</t>
        </is>
      </c>
      <c r="L56" s="16" t="n">
        <v>0</v>
      </c>
    </row>
    <row r="57">
      <c r="A57" s="34" t="n">
        <v>45939</v>
      </c>
      <c r="B57" s="16" t="inlineStr">
        <is>
          <t>NY-KW-2508-008</t>
        </is>
      </c>
      <c r="C57" s="16" t="inlineStr">
        <is>
          <t>深圳龙岗前置仓</t>
        </is>
      </c>
      <c r="D57" s="35" t="n">
        <v>9023.900000000001</v>
      </c>
      <c r="E57" s="35" t="n">
        <v>0</v>
      </c>
      <c r="F57" s="35" t="n">
        <v>5498.1</v>
      </c>
      <c r="G57" s="35" t="n">
        <v>85.2</v>
      </c>
      <c r="H57" s="35" t="n">
        <v>3440.600000000001</v>
      </c>
      <c r="I57" s="16" t="n">
        <v>3</v>
      </c>
      <c r="J57" s="16" t="inlineStr">
        <is>
          <t>冷藏库</t>
        </is>
      </c>
      <c r="K57" s="16" t="inlineStr">
        <is>
          <t>仓间调拨</t>
        </is>
      </c>
      <c r="L57" s="16" t="n">
        <v>0</v>
      </c>
    </row>
    <row r="58">
      <c r="A58" s="34" t="n">
        <v>45940</v>
      </c>
      <c r="B58" s="16" t="inlineStr">
        <is>
          <t>NY-KW-2508-008</t>
        </is>
      </c>
      <c r="C58" s="16" t="inlineStr">
        <is>
          <t>深圳龙岗前置仓</t>
        </is>
      </c>
      <c r="D58" s="35" t="n">
        <v>3440.600000000001</v>
      </c>
      <c r="E58" s="35" t="n">
        <v>0</v>
      </c>
      <c r="F58" s="35" t="n">
        <v>3411.1</v>
      </c>
      <c r="G58" s="35" t="n">
        <v>29.5</v>
      </c>
      <c r="H58" s="35" t="n">
        <v>0</v>
      </c>
      <c r="I58" s="16" t="n">
        <v>4</v>
      </c>
      <c r="J58" s="16" t="inlineStr">
        <is>
          <t>冷藏库</t>
        </is>
      </c>
      <c r="K58" s="16" t="inlineStr">
        <is>
          <t>仓间调拨</t>
        </is>
      </c>
      <c r="L58" s="16" t="n">
        <v>0</v>
      </c>
    </row>
    <row r="59">
      <c r="A59" s="34" t="n">
        <v>45941</v>
      </c>
      <c r="B59" s="16" t="inlineStr">
        <is>
          <t>NY-KW-2508-008</t>
        </is>
      </c>
      <c r="C59" s="16" t="inlineStr">
        <is>
          <t>南宁江南分仓</t>
        </is>
      </c>
      <c r="D59" s="35" t="n">
        <v>0</v>
      </c>
      <c r="E59" s="35" t="n">
        <v>0</v>
      </c>
      <c r="F59" s="35" t="n">
        <v>0</v>
      </c>
      <c r="G59" s="35" t="n">
        <v>0</v>
      </c>
      <c r="H59" s="35" t="n">
        <v>0</v>
      </c>
      <c r="I59" s="16" t="n">
        <v>5</v>
      </c>
      <c r="J59" s="16" t="inlineStr">
        <is>
          <t>冷藏库</t>
        </is>
      </c>
      <c r="K59" s="16" t="inlineStr">
        <is>
          <t>电商发货</t>
        </is>
      </c>
      <c r="L59" s="16" t="n">
        <v>0</v>
      </c>
    </row>
    <row r="60">
      <c r="A60" s="34" t="n">
        <v>45942</v>
      </c>
      <c r="B60" s="16" t="inlineStr">
        <is>
          <t>NY-KW-2508-008</t>
        </is>
      </c>
      <c r="C60" s="16" t="inlineStr">
        <is>
          <t>南宁江南分仓</t>
        </is>
      </c>
      <c r="D60" s="35" t="n">
        <v>0</v>
      </c>
      <c r="E60" s="35" t="n">
        <v>0</v>
      </c>
      <c r="F60" s="35" t="n">
        <v>0</v>
      </c>
      <c r="G60" s="35" t="n">
        <v>0</v>
      </c>
      <c r="H60" s="35" t="n">
        <v>0</v>
      </c>
      <c r="I60" s="16" t="n">
        <v>6</v>
      </c>
      <c r="J60" s="16" t="inlineStr">
        <is>
          <t>冷藏库</t>
        </is>
      </c>
      <c r="K60" s="16" t="inlineStr">
        <is>
          <t>仓间调拨</t>
        </is>
      </c>
      <c r="L60" s="16" t="n">
        <v>0</v>
      </c>
    </row>
    <row r="61">
      <c r="A61" s="34" t="n">
        <v>45943</v>
      </c>
      <c r="B61" s="16" t="inlineStr">
        <is>
          <t>NY-KW-2508-008</t>
        </is>
      </c>
      <c r="C61" s="16" t="inlineStr">
        <is>
          <t>深圳龙岗前置仓</t>
        </is>
      </c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16" t="n">
        <v>7</v>
      </c>
      <c r="J61" s="16" t="inlineStr">
        <is>
          <t>暂存区</t>
        </is>
      </c>
      <c r="K61" s="16" t="inlineStr">
        <is>
          <t>未分配</t>
        </is>
      </c>
      <c r="L61" s="16" t="n">
        <v>1</v>
      </c>
    </row>
    <row r="62">
      <c r="A62" s="34" t="n">
        <v>45925</v>
      </c>
      <c r="B62" s="16" t="inlineStr">
        <is>
          <t>NY-KW-2508-009</t>
        </is>
      </c>
      <c r="C62" s="16" t="inlineStr">
        <is>
          <t>深圳龙岗前置仓</t>
        </is>
      </c>
      <c r="D62" s="35" t="n">
        <v>0</v>
      </c>
      <c r="E62" s="35" t="n">
        <v>22700</v>
      </c>
      <c r="F62" s="35" t="n">
        <v>3532.4</v>
      </c>
      <c r="G62" s="35" t="n">
        <v>36.4</v>
      </c>
      <c r="H62" s="35" t="n">
        <v>19131.2</v>
      </c>
      <c r="I62" s="16" t="n">
        <v>0</v>
      </c>
      <c r="J62" s="16" t="inlineStr">
        <is>
          <t>前置仓</t>
        </is>
      </c>
      <c r="K62" s="16" t="inlineStr">
        <is>
          <t>未分配</t>
        </is>
      </c>
      <c r="L62" s="16" t="n">
        <v>0</v>
      </c>
    </row>
    <row r="63">
      <c r="A63" s="34" t="n">
        <v>45926</v>
      </c>
      <c r="B63" s="16" t="inlineStr">
        <is>
          <t>NY-KW-2508-009</t>
        </is>
      </c>
      <c r="C63" s="16" t="inlineStr">
        <is>
          <t>南宁江南分仓</t>
        </is>
      </c>
      <c r="D63" s="35" t="n">
        <v>19131.2</v>
      </c>
      <c r="E63" s="35" t="n">
        <v>0</v>
      </c>
      <c r="F63" s="35" t="n">
        <v>3869.5</v>
      </c>
      <c r="G63" s="35" t="n">
        <v>260.9</v>
      </c>
      <c r="H63" s="35" t="n">
        <v>15000.8</v>
      </c>
      <c r="I63" s="16" t="n">
        <v>1</v>
      </c>
      <c r="J63" s="16" t="inlineStr">
        <is>
          <t>冷藏库</t>
        </is>
      </c>
      <c r="K63" s="16" t="inlineStr">
        <is>
          <t>电商发货</t>
        </is>
      </c>
      <c r="L63" s="16" t="n">
        <v>0</v>
      </c>
    </row>
    <row r="64">
      <c r="A64" s="34" t="n">
        <v>45927</v>
      </c>
      <c r="B64" s="16" t="inlineStr">
        <is>
          <t>NY-KW-2508-009</t>
        </is>
      </c>
      <c r="C64" s="16" t="inlineStr">
        <is>
          <t>南宁江南分仓</t>
        </is>
      </c>
      <c r="D64" s="35" t="n">
        <v>15000.8</v>
      </c>
      <c r="E64" s="35" t="n">
        <v>0</v>
      </c>
      <c r="F64" s="35" t="n">
        <v>3677.1</v>
      </c>
      <c r="G64" s="35" t="n">
        <v>133</v>
      </c>
      <c r="H64" s="35" t="n">
        <v>11190.7</v>
      </c>
      <c r="I64" s="16" t="n">
        <v>2</v>
      </c>
      <c r="J64" s="16" t="inlineStr">
        <is>
          <t>前置仓</t>
        </is>
      </c>
      <c r="K64" s="16" t="inlineStr">
        <is>
          <t>门店补货</t>
        </is>
      </c>
      <c r="L64" s="16" t="n">
        <v>0</v>
      </c>
    </row>
    <row r="65">
      <c r="A65" s="34" t="n">
        <v>45928</v>
      </c>
      <c r="B65" s="16" t="inlineStr">
        <is>
          <t>NY-KW-2508-009</t>
        </is>
      </c>
      <c r="C65" s="16" t="inlineStr">
        <is>
          <t>深圳龙岗前置仓</t>
        </is>
      </c>
      <c r="D65" s="35" t="n">
        <v>11190.7</v>
      </c>
      <c r="E65" s="35" t="n">
        <v>0</v>
      </c>
      <c r="F65" s="35" t="n">
        <v>5800.3</v>
      </c>
      <c r="G65" s="35" t="n">
        <v>64.8</v>
      </c>
      <c r="H65" s="35" t="n">
        <v>5325.599999999997</v>
      </c>
      <c r="I65" s="16" t="n">
        <v>3</v>
      </c>
      <c r="J65" s="16" t="inlineStr">
        <is>
          <t>暂存区</t>
        </is>
      </c>
      <c r="K65" s="16" t="inlineStr">
        <is>
          <t>电商发货</t>
        </is>
      </c>
      <c r="L65" s="16" t="n">
        <v>0</v>
      </c>
    </row>
    <row r="66">
      <c r="A66" s="34" t="n">
        <v>45929</v>
      </c>
      <c r="B66" s="16" t="inlineStr">
        <is>
          <t>NY-KW-2508-009</t>
        </is>
      </c>
      <c r="C66" s="16" t="inlineStr">
        <is>
          <t>深圳龙岗前置仓</t>
        </is>
      </c>
      <c r="D66" s="35" t="n">
        <v>5325.599999999997</v>
      </c>
      <c r="E66" s="35" t="n">
        <v>0</v>
      </c>
      <c r="F66" s="35" t="n">
        <v>3826.6</v>
      </c>
      <c r="G66" s="35" t="n">
        <v>33.2</v>
      </c>
      <c r="H66" s="35" t="n">
        <v>1465.799999999997</v>
      </c>
      <c r="I66" s="16" t="n">
        <v>4</v>
      </c>
      <c r="J66" s="16" t="inlineStr">
        <is>
          <t>冷藏库</t>
        </is>
      </c>
      <c r="K66" s="16" t="inlineStr">
        <is>
          <t>批发出库</t>
        </is>
      </c>
      <c r="L66" s="16" t="n">
        <v>0</v>
      </c>
    </row>
    <row r="67">
      <c r="A67" s="34" t="n">
        <v>45930</v>
      </c>
      <c r="B67" s="16" t="inlineStr">
        <is>
          <t>NY-KW-2508-009</t>
        </is>
      </c>
      <c r="C67" s="16" t="inlineStr">
        <is>
          <t>广州黄埔仓</t>
        </is>
      </c>
      <c r="D67" s="35" t="n">
        <v>1465.799999999997</v>
      </c>
      <c r="E67" s="35" t="n">
        <v>0</v>
      </c>
      <c r="F67" s="35" t="n">
        <v>1453.8</v>
      </c>
      <c r="G67" s="35" t="n">
        <v>12</v>
      </c>
      <c r="H67" s="35" t="n">
        <v>0</v>
      </c>
      <c r="I67" s="16" t="n">
        <v>5</v>
      </c>
      <c r="J67" s="16" t="inlineStr">
        <is>
          <t>暂存区</t>
        </is>
      </c>
      <c r="K67" s="16" t="inlineStr">
        <is>
          <t>电商发货</t>
        </is>
      </c>
      <c r="L67" s="16" t="n">
        <v>1</v>
      </c>
    </row>
    <row r="68">
      <c r="A68" s="34" t="n">
        <v>45949</v>
      </c>
      <c r="B68" s="16" t="inlineStr">
        <is>
          <t>NY-KW-2508-010</t>
        </is>
      </c>
      <c r="C68" s="16" t="inlineStr">
        <is>
          <t>深圳龙岗前置仓</t>
        </is>
      </c>
      <c r="D68" s="35" t="n">
        <v>0</v>
      </c>
      <c r="E68" s="35" t="n">
        <v>22700</v>
      </c>
      <c r="F68" s="35" t="n">
        <v>2368.3</v>
      </c>
      <c r="G68" s="35" t="n">
        <v>220.7</v>
      </c>
      <c r="H68" s="35" t="n">
        <v>20111</v>
      </c>
      <c r="I68" s="16" t="n">
        <v>0</v>
      </c>
      <c r="J68" s="16" t="inlineStr">
        <is>
          <t>前置仓</t>
        </is>
      </c>
      <c r="K68" s="16" t="inlineStr">
        <is>
          <t>未分配</t>
        </is>
      </c>
      <c r="L68" s="16" t="n">
        <v>0</v>
      </c>
    </row>
    <row r="69">
      <c r="A69" s="34" t="n">
        <v>45950</v>
      </c>
      <c r="B69" s="16" t="inlineStr">
        <is>
          <t>NY-KW-2508-010</t>
        </is>
      </c>
      <c r="C69" s="16" t="inlineStr">
        <is>
          <t>广州黄埔仓</t>
        </is>
      </c>
      <c r="D69" s="35" t="n">
        <v>20111</v>
      </c>
      <c r="E69" s="35" t="n">
        <v>0</v>
      </c>
      <c r="F69" s="35" t="n">
        <v>2723.8</v>
      </c>
      <c r="G69" s="35" t="n">
        <v>207.4</v>
      </c>
      <c r="H69" s="35" t="n">
        <v>17179.8</v>
      </c>
      <c r="I69" s="16" t="n">
        <v>1</v>
      </c>
      <c r="J69" s="16" t="inlineStr">
        <is>
          <t>暂存区</t>
        </is>
      </c>
      <c r="K69" s="16" t="inlineStr">
        <is>
          <t>电商发货</t>
        </is>
      </c>
      <c r="L69" s="16" t="n">
        <v>0</v>
      </c>
    </row>
    <row r="70">
      <c r="A70" s="34" t="n">
        <v>45951</v>
      </c>
      <c r="B70" s="16" t="inlineStr">
        <is>
          <t>NY-KW-2508-010</t>
        </is>
      </c>
      <c r="C70" s="16" t="inlineStr">
        <is>
          <t>深圳龙岗前置仓</t>
        </is>
      </c>
      <c r="D70" s="35" t="n">
        <v>17179.8</v>
      </c>
      <c r="E70" s="35" t="n">
        <v>0</v>
      </c>
      <c r="F70" s="35" t="n">
        <v>3174.8</v>
      </c>
      <c r="G70" s="35" t="n">
        <v>99.2</v>
      </c>
      <c r="H70" s="35" t="n">
        <v>13905.8</v>
      </c>
      <c r="I70" s="16" t="n">
        <v>2</v>
      </c>
      <c r="J70" s="16" t="inlineStr">
        <is>
          <t>暂存区</t>
        </is>
      </c>
      <c r="K70" s="16" t="inlineStr">
        <is>
          <t>未分配</t>
        </is>
      </c>
      <c r="L70" s="16" t="n">
        <v>0</v>
      </c>
    </row>
    <row r="71">
      <c r="A71" s="34" t="n">
        <v>45952</v>
      </c>
      <c r="B71" s="16" t="inlineStr">
        <is>
          <t>NY-KW-2508-010</t>
        </is>
      </c>
      <c r="C71" s="16" t="inlineStr">
        <is>
          <t>深圳龙岗前置仓</t>
        </is>
      </c>
      <c r="D71" s="35" t="n">
        <v>13905.8</v>
      </c>
      <c r="E71" s="35" t="n">
        <v>0</v>
      </c>
      <c r="F71" s="35" t="n">
        <v>5239.6</v>
      </c>
      <c r="G71" s="35" t="n">
        <v>119</v>
      </c>
      <c r="H71" s="35" t="n">
        <v>8547.199999999999</v>
      </c>
      <c r="I71" s="16" t="n">
        <v>3</v>
      </c>
      <c r="J71" s="16" t="inlineStr">
        <is>
          <t>冷藏库</t>
        </is>
      </c>
      <c r="K71" s="16" t="inlineStr">
        <is>
          <t>批发出库</t>
        </is>
      </c>
      <c r="L71" s="16" t="n">
        <v>0</v>
      </c>
    </row>
    <row r="72">
      <c r="A72" s="34" t="n">
        <v>45953</v>
      </c>
      <c r="B72" s="16" t="inlineStr">
        <is>
          <t>NY-KW-2508-010</t>
        </is>
      </c>
      <c r="C72" s="16" t="inlineStr">
        <is>
          <t>南宁江南分仓</t>
        </is>
      </c>
      <c r="D72" s="35" t="n">
        <v>8547.199999999999</v>
      </c>
      <c r="E72" s="35" t="n">
        <v>0</v>
      </c>
      <c r="F72" s="35" t="n">
        <v>5827.1</v>
      </c>
      <c r="G72" s="35" t="n">
        <v>44</v>
      </c>
      <c r="H72" s="35" t="n">
        <v>2676.099999999999</v>
      </c>
      <c r="I72" s="16" t="n">
        <v>4</v>
      </c>
      <c r="J72" s="16" t="inlineStr">
        <is>
          <t>冷藏库</t>
        </is>
      </c>
      <c r="K72" s="16" t="inlineStr">
        <is>
          <t>未分配</t>
        </is>
      </c>
      <c r="L72" s="16" t="n">
        <v>0</v>
      </c>
    </row>
    <row r="73">
      <c r="A73" s="34" t="n">
        <v>45954</v>
      </c>
      <c r="B73" s="16" t="inlineStr">
        <is>
          <t>NY-KW-2508-010</t>
        </is>
      </c>
      <c r="C73" s="16" t="inlineStr">
        <is>
          <t>深圳龙岗前置仓</t>
        </is>
      </c>
      <c r="D73" s="35" t="n">
        <v>2676.099999999999</v>
      </c>
      <c r="E73" s="35" t="n">
        <v>0</v>
      </c>
      <c r="F73" s="35" t="n">
        <v>2648.5</v>
      </c>
      <c r="G73" s="35" t="n">
        <v>27.6</v>
      </c>
      <c r="H73" s="35" t="n">
        <v>0</v>
      </c>
      <c r="I73" s="16" t="n">
        <v>5</v>
      </c>
      <c r="J73" s="16" t="inlineStr">
        <is>
          <t>暂存区</t>
        </is>
      </c>
      <c r="K73" s="16" t="inlineStr">
        <is>
          <t>仓间调拨</t>
        </is>
      </c>
      <c r="L73" s="16" t="n">
        <v>0</v>
      </c>
    </row>
    <row r="74">
      <c r="A74" s="34" t="n">
        <v>45955</v>
      </c>
      <c r="B74" s="16" t="inlineStr">
        <is>
          <t>NY-KW-2508-010</t>
        </is>
      </c>
      <c r="C74" s="16" t="inlineStr">
        <is>
          <t>广州黄埔仓</t>
        </is>
      </c>
      <c r="D74" s="35" t="n">
        <v>0</v>
      </c>
      <c r="E74" s="35" t="n">
        <v>0</v>
      </c>
      <c r="F74" s="35" t="n">
        <v>0</v>
      </c>
      <c r="G74" s="35" t="n">
        <v>0</v>
      </c>
      <c r="H74" s="35" t="n">
        <v>0</v>
      </c>
      <c r="I74" s="16" t="n">
        <v>6</v>
      </c>
      <c r="J74" s="16" t="inlineStr">
        <is>
          <t>暂存区</t>
        </is>
      </c>
      <c r="K74" s="16" t="inlineStr">
        <is>
          <t>电商发货</t>
        </is>
      </c>
      <c r="L74" s="16" t="n">
        <v>0</v>
      </c>
    </row>
    <row r="75">
      <c r="A75" s="34" t="n">
        <v>45956</v>
      </c>
      <c r="B75" s="16" t="inlineStr">
        <is>
          <t>NY-KW-2508-010</t>
        </is>
      </c>
      <c r="C75" s="16" t="inlineStr">
        <is>
          <t>深圳龙岗前置仓</t>
        </is>
      </c>
      <c r="D75" s="35" t="n">
        <v>0</v>
      </c>
      <c r="E75" s="35" t="n">
        <v>0</v>
      </c>
      <c r="F75" s="35" t="n">
        <v>0</v>
      </c>
      <c r="G75" s="35" t="n">
        <v>0</v>
      </c>
      <c r="H75" s="35" t="n">
        <v>0</v>
      </c>
      <c r="I75" s="16" t="n">
        <v>7</v>
      </c>
      <c r="J75" s="16" t="inlineStr">
        <is>
          <t>冷藏库</t>
        </is>
      </c>
      <c r="K75" s="16" t="inlineStr">
        <is>
          <t>门店补货</t>
        </is>
      </c>
      <c r="L75" s="16" t="n">
        <v>0</v>
      </c>
    </row>
    <row r="76">
      <c r="A76" s="34" t="n">
        <v>45957</v>
      </c>
      <c r="B76" s="16" t="inlineStr">
        <is>
          <t>NY-KW-2508-010</t>
        </is>
      </c>
      <c r="C76" s="16" t="inlineStr">
        <is>
          <t>广州黄埔仓</t>
        </is>
      </c>
      <c r="D76" s="35" t="n">
        <v>0</v>
      </c>
      <c r="E76" s="35" t="n">
        <v>0</v>
      </c>
      <c r="F76" s="35" t="n">
        <v>0</v>
      </c>
      <c r="G76" s="35" t="n">
        <v>0</v>
      </c>
      <c r="H76" s="35" t="n">
        <v>0</v>
      </c>
      <c r="I76" s="16" t="n">
        <v>8</v>
      </c>
      <c r="J76" s="16" t="inlineStr">
        <is>
          <t>暂存区</t>
        </is>
      </c>
      <c r="K76" s="16" t="inlineStr">
        <is>
          <t>门店补货</t>
        </is>
      </c>
      <c r="L76" s="16" t="n">
        <v>1</v>
      </c>
    </row>
    <row r="77">
      <c r="A77" s="34" t="n">
        <v>45924</v>
      </c>
      <c r="B77" s="16" t="inlineStr">
        <is>
          <t>NY-KW-2508-011</t>
        </is>
      </c>
      <c r="C77" s="16" t="inlineStr">
        <is>
          <t>南宁江南分仓</t>
        </is>
      </c>
      <c r="D77" s="35" t="n">
        <v>0</v>
      </c>
      <c r="E77" s="35" t="n">
        <v>21300</v>
      </c>
      <c r="F77" s="35" t="n">
        <v>5388.9</v>
      </c>
      <c r="G77" s="35" t="n">
        <v>26.9</v>
      </c>
      <c r="H77" s="35" t="n">
        <v>15884.2</v>
      </c>
      <c r="I77" s="16" t="n">
        <v>0</v>
      </c>
      <c r="J77" s="16" t="inlineStr">
        <is>
          <t>前置仓</t>
        </is>
      </c>
      <c r="K77" s="16" t="inlineStr">
        <is>
          <t>未分配</t>
        </is>
      </c>
      <c r="L77" s="16" t="n">
        <v>0</v>
      </c>
    </row>
    <row r="78">
      <c r="A78" s="34" t="n">
        <v>45925</v>
      </c>
      <c r="B78" s="16" t="inlineStr">
        <is>
          <t>NY-KW-2508-011</t>
        </is>
      </c>
      <c r="C78" s="16" t="inlineStr">
        <is>
          <t>广州黄埔仓</t>
        </is>
      </c>
      <c r="D78" s="35" t="n">
        <v>15884.2</v>
      </c>
      <c r="E78" s="35" t="n">
        <v>0</v>
      </c>
      <c r="F78" s="35" t="n">
        <v>2313.6</v>
      </c>
      <c r="G78" s="35" t="n">
        <v>101.3</v>
      </c>
      <c r="H78" s="35" t="n">
        <v>13469.3</v>
      </c>
      <c r="I78" s="16" t="n">
        <v>1</v>
      </c>
      <c r="J78" s="16" t="inlineStr">
        <is>
          <t>冷藏库</t>
        </is>
      </c>
      <c r="K78" s="16" t="inlineStr">
        <is>
          <t>仓间调拨</t>
        </is>
      </c>
      <c r="L78" s="16" t="n">
        <v>0</v>
      </c>
    </row>
    <row r="79">
      <c r="A79" s="34" t="n">
        <v>45926</v>
      </c>
      <c r="B79" s="16" t="inlineStr">
        <is>
          <t>NY-KW-2508-011</t>
        </is>
      </c>
      <c r="C79" s="16" t="inlineStr">
        <is>
          <t>南宁江南分仓</t>
        </is>
      </c>
      <c r="D79" s="35" t="n">
        <v>13469.3</v>
      </c>
      <c r="E79" s="35" t="n">
        <v>0</v>
      </c>
      <c r="F79" s="35" t="n">
        <v>3643.9</v>
      </c>
      <c r="G79" s="35" t="n">
        <v>17.7</v>
      </c>
      <c r="H79" s="35" t="n">
        <v>9807.700000000001</v>
      </c>
      <c r="I79" s="16" t="n">
        <v>2</v>
      </c>
      <c r="J79" s="16" t="inlineStr">
        <is>
          <t>冷藏库</t>
        </is>
      </c>
      <c r="K79" s="16" t="inlineStr">
        <is>
          <t>未分配</t>
        </is>
      </c>
      <c r="L79" s="16" t="n">
        <v>0</v>
      </c>
    </row>
    <row r="80">
      <c r="A80" s="34" t="n">
        <v>45927</v>
      </c>
      <c r="B80" s="16" t="inlineStr">
        <is>
          <t>NY-KW-2508-011</t>
        </is>
      </c>
      <c r="C80" s="16" t="inlineStr">
        <is>
          <t>南宁江南分仓</t>
        </is>
      </c>
      <c r="D80" s="35" t="n">
        <v>9807.700000000001</v>
      </c>
      <c r="E80" s="35" t="n">
        <v>0</v>
      </c>
      <c r="F80" s="35" t="n">
        <v>5073.3</v>
      </c>
      <c r="G80" s="35" t="n">
        <v>131.9</v>
      </c>
      <c r="H80" s="35" t="n">
        <v>4602.500000000001</v>
      </c>
      <c r="I80" s="16" t="n">
        <v>3</v>
      </c>
      <c r="J80" s="16" t="inlineStr">
        <is>
          <t>冷藏库</t>
        </is>
      </c>
      <c r="K80" s="16" t="inlineStr">
        <is>
          <t>未分配</t>
        </is>
      </c>
      <c r="L80" s="16" t="n">
        <v>0</v>
      </c>
    </row>
    <row r="81">
      <c r="A81" s="34" t="n">
        <v>45928</v>
      </c>
      <c r="B81" s="16" t="inlineStr">
        <is>
          <t>NY-KW-2508-011</t>
        </is>
      </c>
      <c r="C81" s="16" t="inlineStr">
        <is>
          <t>南宁江南分仓</t>
        </is>
      </c>
      <c r="D81" s="35" t="n">
        <v>4602.500000000001</v>
      </c>
      <c r="E81" s="35" t="n">
        <v>0</v>
      </c>
      <c r="F81" s="35" t="n">
        <v>4588.7</v>
      </c>
      <c r="G81" s="35" t="n">
        <v>13.8</v>
      </c>
      <c r="H81" s="35" t="n">
        <v>0</v>
      </c>
      <c r="I81" s="16" t="n">
        <v>4</v>
      </c>
      <c r="J81" s="16" t="inlineStr">
        <is>
          <t>前置仓</t>
        </is>
      </c>
      <c r="K81" s="16" t="inlineStr">
        <is>
          <t>未分配</t>
        </is>
      </c>
      <c r="L81" s="16" t="n">
        <v>0</v>
      </c>
    </row>
    <row r="82">
      <c r="A82" s="34" t="n">
        <v>45929</v>
      </c>
      <c r="B82" s="16" t="inlineStr">
        <is>
          <t>NY-KW-2508-011</t>
        </is>
      </c>
      <c r="C82" s="16" t="inlineStr">
        <is>
          <t>深圳龙岗前置仓</t>
        </is>
      </c>
      <c r="D82" s="35" t="n">
        <v>0</v>
      </c>
      <c r="E82" s="35" t="n">
        <v>0</v>
      </c>
      <c r="F82" s="35" t="n">
        <v>0</v>
      </c>
      <c r="G82" s="35" t="n">
        <v>0</v>
      </c>
      <c r="H82" s="35" t="n">
        <v>0</v>
      </c>
      <c r="I82" s="16" t="n">
        <v>5</v>
      </c>
      <c r="J82" s="16" t="inlineStr">
        <is>
          <t>前置仓</t>
        </is>
      </c>
      <c r="K82" s="16" t="inlineStr">
        <is>
          <t>批发出库</t>
        </is>
      </c>
      <c r="L82" s="16" t="n">
        <v>0</v>
      </c>
    </row>
    <row r="83">
      <c r="A83" s="34" t="n">
        <v>45930</v>
      </c>
      <c r="B83" s="16" t="inlineStr">
        <is>
          <t>NY-KW-2508-011</t>
        </is>
      </c>
      <c r="C83" s="16" t="inlineStr">
        <is>
          <t>南宁江南分仓</t>
        </is>
      </c>
      <c r="D83" s="35" t="n">
        <v>0</v>
      </c>
      <c r="E83" s="35" t="n">
        <v>0</v>
      </c>
      <c r="F83" s="35" t="n">
        <v>0</v>
      </c>
      <c r="G83" s="35" t="n">
        <v>0</v>
      </c>
      <c r="H83" s="35" t="n">
        <v>0</v>
      </c>
      <c r="I83" s="16" t="n">
        <v>6</v>
      </c>
      <c r="J83" s="16" t="inlineStr">
        <is>
          <t>暂存区</t>
        </is>
      </c>
      <c r="K83" s="16" t="inlineStr">
        <is>
          <t>仓间调拨</t>
        </is>
      </c>
      <c r="L83" s="16" t="n">
        <v>1</v>
      </c>
    </row>
    <row r="84">
      <c r="A84" s="34" t="n">
        <v>45918</v>
      </c>
      <c r="B84" s="16" t="inlineStr">
        <is>
          <t>NY-KW-2508-012</t>
        </is>
      </c>
      <c r="C84" s="16" t="inlineStr">
        <is>
          <t>广州黄埔仓</t>
        </is>
      </c>
      <c r="D84" s="35" t="n">
        <v>0</v>
      </c>
      <c r="E84" s="35" t="n">
        <v>21300</v>
      </c>
      <c r="F84" s="35" t="n">
        <v>4189.4</v>
      </c>
      <c r="G84" s="35" t="n">
        <v>177.2</v>
      </c>
      <c r="H84" s="35" t="n">
        <v>16933.4</v>
      </c>
      <c r="I84" s="16" t="n">
        <v>0</v>
      </c>
      <c r="J84" s="16" t="inlineStr">
        <is>
          <t>冷藏库</t>
        </is>
      </c>
      <c r="K84" s="16" t="inlineStr">
        <is>
          <t>未分配</t>
        </is>
      </c>
      <c r="L84" s="16" t="n">
        <v>0</v>
      </c>
    </row>
    <row r="85">
      <c r="A85" s="34" t="n">
        <v>45919</v>
      </c>
      <c r="B85" s="16" t="inlineStr">
        <is>
          <t>NY-KW-2508-012</t>
        </is>
      </c>
      <c r="C85" s="16" t="inlineStr">
        <is>
          <t>广州黄埔仓</t>
        </is>
      </c>
      <c r="D85" s="35" t="n">
        <v>16933.4</v>
      </c>
      <c r="E85" s="35" t="n">
        <v>0</v>
      </c>
      <c r="F85" s="35" t="n">
        <v>3408.9</v>
      </c>
      <c r="G85" s="35" t="n">
        <v>195.5</v>
      </c>
      <c r="H85" s="35" t="n">
        <v>13329</v>
      </c>
      <c r="I85" s="16" t="n">
        <v>1</v>
      </c>
      <c r="J85" s="16" t="inlineStr">
        <is>
          <t>前置仓</t>
        </is>
      </c>
      <c r="K85" s="16" t="inlineStr">
        <is>
          <t>门店补货</t>
        </is>
      </c>
      <c r="L85" s="16" t="n">
        <v>0</v>
      </c>
    </row>
    <row r="86">
      <c r="A86" s="34" t="n">
        <v>45920</v>
      </c>
      <c r="B86" s="16" t="inlineStr">
        <is>
          <t>NY-KW-2508-012</t>
        </is>
      </c>
      <c r="C86" s="16" t="inlineStr">
        <is>
          <t>南宁江南分仓</t>
        </is>
      </c>
      <c r="D86" s="35" t="n">
        <v>13329</v>
      </c>
      <c r="E86" s="35" t="n">
        <v>0</v>
      </c>
      <c r="F86" s="35" t="n">
        <v>3605.4</v>
      </c>
      <c r="G86" s="35" t="n">
        <v>112.9</v>
      </c>
      <c r="H86" s="35" t="n">
        <v>9610.699999999999</v>
      </c>
      <c r="I86" s="16" t="n">
        <v>2</v>
      </c>
      <c r="J86" s="16" t="inlineStr">
        <is>
          <t>前置仓</t>
        </is>
      </c>
      <c r="K86" s="16" t="inlineStr">
        <is>
          <t>未分配</t>
        </is>
      </c>
      <c r="L86" s="16" t="n">
        <v>0</v>
      </c>
    </row>
    <row r="87">
      <c r="A87" s="34" t="n">
        <v>45921</v>
      </c>
      <c r="B87" s="16" t="inlineStr">
        <is>
          <t>NY-KW-2508-012</t>
        </is>
      </c>
      <c r="C87" s="16" t="inlineStr">
        <is>
          <t>南宁江南分仓</t>
        </is>
      </c>
      <c r="D87" s="35" t="n">
        <v>9610.699999999999</v>
      </c>
      <c r="E87" s="35" t="n">
        <v>0</v>
      </c>
      <c r="F87" s="35" t="n">
        <v>3636.6</v>
      </c>
      <c r="G87" s="35" t="n">
        <v>17.9</v>
      </c>
      <c r="H87" s="35" t="n">
        <v>5956.199999999999</v>
      </c>
      <c r="I87" s="16" t="n">
        <v>3</v>
      </c>
      <c r="J87" s="16" t="inlineStr">
        <is>
          <t>暂存区</t>
        </is>
      </c>
      <c r="K87" s="16" t="inlineStr">
        <is>
          <t>电商发货</t>
        </is>
      </c>
      <c r="L87" s="16" t="n">
        <v>0</v>
      </c>
    </row>
    <row r="88">
      <c r="A88" s="34" t="n">
        <v>45922</v>
      </c>
      <c r="B88" s="16" t="inlineStr">
        <is>
          <t>NY-KW-2508-012</t>
        </is>
      </c>
      <c r="C88" s="16" t="inlineStr">
        <is>
          <t>广州黄埔仓</t>
        </is>
      </c>
      <c r="D88" s="35" t="n">
        <v>5956.199999999999</v>
      </c>
      <c r="E88" s="35" t="n">
        <v>0</v>
      </c>
      <c r="F88" s="35" t="n">
        <v>3694.2</v>
      </c>
      <c r="G88" s="35" t="n">
        <v>9.6</v>
      </c>
      <c r="H88" s="35" t="n">
        <v>2252.399999999999</v>
      </c>
      <c r="I88" s="16" t="n">
        <v>4</v>
      </c>
      <c r="J88" s="16" t="inlineStr">
        <is>
          <t>暂存区</t>
        </is>
      </c>
      <c r="K88" s="16" t="inlineStr">
        <is>
          <t>电商发货</t>
        </is>
      </c>
      <c r="L88" s="16" t="n">
        <v>0</v>
      </c>
    </row>
    <row r="89">
      <c r="A89" s="34" t="n">
        <v>45923</v>
      </c>
      <c r="B89" s="16" t="inlineStr">
        <is>
          <t>NY-KW-2508-012</t>
        </is>
      </c>
      <c r="C89" s="16" t="inlineStr">
        <is>
          <t>南宁江南分仓</t>
        </is>
      </c>
      <c r="D89" s="35" t="n">
        <v>2252.399999999999</v>
      </c>
      <c r="E89" s="35" t="n">
        <v>0</v>
      </c>
      <c r="F89" s="35" t="n">
        <v>2239.2</v>
      </c>
      <c r="G89" s="35" t="n">
        <v>13.2</v>
      </c>
      <c r="H89" s="35" t="n">
        <v>0</v>
      </c>
      <c r="I89" s="16" t="n">
        <v>5</v>
      </c>
      <c r="J89" s="16" t="inlineStr">
        <is>
          <t>冷藏库</t>
        </is>
      </c>
      <c r="K89" s="16" t="inlineStr">
        <is>
          <t>未分配</t>
        </is>
      </c>
      <c r="L89" s="16" t="n">
        <v>0</v>
      </c>
    </row>
    <row r="90">
      <c r="A90" s="34" t="n">
        <v>45924</v>
      </c>
      <c r="B90" s="16" t="inlineStr">
        <is>
          <t>NY-KW-2508-012</t>
        </is>
      </c>
      <c r="C90" s="16" t="inlineStr">
        <is>
          <t>南宁江南分仓</t>
        </is>
      </c>
      <c r="D90" s="35" t="n">
        <v>0</v>
      </c>
      <c r="E90" s="35" t="n">
        <v>0</v>
      </c>
      <c r="F90" s="35" t="n">
        <v>0</v>
      </c>
      <c r="G90" s="35" t="n">
        <v>0</v>
      </c>
      <c r="H90" s="35" t="n">
        <v>0</v>
      </c>
      <c r="I90" s="16" t="n">
        <v>6</v>
      </c>
      <c r="J90" s="16" t="inlineStr">
        <is>
          <t>冷藏库</t>
        </is>
      </c>
      <c r="K90" s="16" t="inlineStr">
        <is>
          <t>仓间调拨</t>
        </is>
      </c>
      <c r="L90" s="16" t="n">
        <v>0</v>
      </c>
    </row>
    <row r="91">
      <c r="A91" s="34" t="n">
        <v>45925</v>
      </c>
      <c r="B91" s="16" t="inlineStr">
        <is>
          <t>NY-KW-2508-012</t>
        </is>
      </c>
      <c r="C91" s="16" t="inlineStr">
        <is>
          <t>广州黄埔仓</t>
        </is>
      </c>
      <c r="D91" s="35" t="n">
        <v>0</v>
      </c>
      <c r="E91" s="35" t="n">
        <v>0</v>
      </c>
      <c r="F91" s="35" t="n">
        <v>0</v>
      </c>
      <c r="G91" s="35" t="n">
        <v>0</v>
      </c>
      <c r="H91" s="35" t="n">
        <v>0</v>
      </c>
      <c r="I91" s="16" t="n">
        <v>7</v>
      </c>
      <c r="J91" s="16" t="inlineStr">
        <is>
          <t>暂存区</t>
        </is>
      </c>
      <c r="K91" s="16" t="inlineStr">
        <is>
          <t>门店补货</t>
        </is>
      </c>
      <c r="L91" s="16" t="n">
        <v>0</v>
      </c>
    </row>
    <row r="92">
      <c r="A92" s="34" t="n">
        <v>45926</v>
      </c>
      <c r="B92" s="16" t="inlineStr">
        <is>
          <t>NY-KW-2508-012</t>
        </is>
      </c>
      <c r="C92" s="16" t="inlineStr">
        <is>
          <t>广州黄埔仓</t>
        </is>
      </c>
      <c r="D92" s="35" t="n">
        <v>0</v>
      </c>
      <c r="E92" s="35" t="n">
        <v>0</v>
      </c>
      <c r="F92" s="35" t="n">
        <v>0</v>
      </c>
      <c r="G92" s="35" t="n">
        <v>0</v>
      </c>
      <c r="H92" s="35" t="n">
        <v>0</v>
      </c>
      <c r="I92" s="16" t="n">
        <v>8</v>
      </c>
      <c r="J92" s="16" t="inlineStr">
        <is>
          <t>前置仓</t>
        </is>
      </c>
      <c r="K92" s="16" t="inlineStr">
        <is>
          <t>批发出库</t>
        </is>
      </c>
      <c r="L92" s="16" t="n">
        <v>1</v>
      </c>
    </row>
    <row r="93">
      <c r="A93" s="34" t="n">
        <v>45938</v>
      </c>
      <c r="B93" s="16" t="inlineStr">
        <is>
          <t>NY-KW-2508-013</t>
        </is>
      </c>
      <c r="C93" s="16" t="inlineStr">
        <is>
          <t>南宁江南分仓</t>
        </is>
      </c>
      <c r="D93" s="35" t="n">
        <v>0</v>
      </c>
      <c r="E93" s="35" t="n">
        <v>11400</v>
      </c>
      <c r="F93" s="35" t="n">
        <v>1329.1</v>
      </c>
      <c r="G93" s="35" t="n">
        <v>47</v>
      </c>
      <c r="H93" s="35" t="n">
        <v>10023.9</v>
      </c>
      <c r="I93" s="16" t="n">
        <v>0</v>
      </c>
      <c r="J93" s="16" t="inlineStr">
        <is>
          <t>暂存区</t>
        </is>
      </c>
      <c r="K93" s="16" t="inlineStr">
        <is>
          <t>电商发货</t>
        </is>
      </c>
      <c r="L93" s="16" t="n">
        <v>0</v>
      </c>
    </row>
    <row r="94">
      <c r="A94" s="34" t="n">
        <v>45939</v>
      </c>
      <c r="B94" s="16" t="inlineStr">
        <is>
          <t>NY-KW-2508-013</t>
        </is>
      </c>
      <c r="C94" s="16" t="inlineStr">
        <is>
          <t>深圳龙岗前置仓</t>
        </is>
      </c>
      <c r="D94" s="35" t="n">
        <v>10023.9</v>
      </c>
      <c r="E94" s="35" t="n">
        <v>0</v>
      </c>
      <c r="F94" s="35" t="n">
        <v>2911.8</v>
      </c>
      <c r="G94" s="35" t="n">
        <v>131.1</v>
      </c>
      <c r="H94" s="35" t="n">
        <v>6980.999999999999</v>
      </c>
      <c r="I94" s="16" t="n">
        <v>1</v>
      </c>
      <c r="J94" s="16" t="inlineStr">
        <is>
          <t>前置仓</t>
        </is>
      </c>
      <c r="K94" s="16" t="inlineStr">
        <is>
          <t>电商发货</t>
        </is>
      </c>
      <c r="L94" s="16" t="n">
        <v>0</v>
      </c>
    </row>
    <row r="95">
      <c r="A95" s="34" t="n">
        <v>45940</v>
      </c>
      <c r="B95" s="16" t="inlineStr">
        <is>
          <t>NY-KW-2508-013</t>
        </is>
      </c>
      <c r="C95" s="16" t="inlineStr">
        <is>
          <t>深圳龙岗前置仓</t>
        </is>
      </c>
      <c r="D95" s="35" t="n">
        <v>6980.999999999999</v>
      </c>
      <c r="E95" s="35" t="n">
        <v>0</v>
      </c>
      <c r="F95" s="35" t="n">
        <v>1570.3</v>
      </c>
      <c r="G95" s="35" t="n">
        <v>50.3</v>
      </c>
      <c r="H95" s="35" t="n">
        <v>5360.399999999999</v>
      </c>
      <c r="I95" s="16" t="n">
        <v>2</v>
      </c>
      <c r="J95" s="16" t="inlineStr">
        <is>
          <t>前置仓</t>
        </is>
      </c>
      <c r="K95" s="16" t="inlineStr">
        <is>
          <t>批发出库</t>
        </is>
      </c>
      <c r="L95" s="16" t="n">
        <v>0</v>
      </c>
    </row>
    <row r="96">
      <c r="A96" s="34" t="n">
        <v>45941</v>
      </c>
      <c r="B96" s="16" t="inlineStr">
        <is>
          <t>NY-KW-2508-013</t>
        </is>
      </c>
      <c r="C96" s="16" t="inlineStr">
        <is>
          <t>广州黄埔仓</t>
        </is>
      </c>
      <c r="D96" s="35" t="n">
        <v>5360.399999999999</v>
      </c>
      <c r="E96" s="35" t="n">
        <v>0</v>
      </c>
      <c r="F96" s="35" t="n">
        <v>2343</v>
      </c>
      <c r="G96" s="35" t="n">
        <v>72.8</v>
      </c>
      <c r="H96" s="35" t="n">
        <v>2944.599999999999</v>
      </c>
      <c r="I96" s="16" t="n">
        <v>3</v>
      </c>
      <c r="J96" s="16" t="inlineStr">
        <is>
          <t>冷藏库</t>
        </is>
      </c>
      <c r="K96" s="16" t="inlineStr">
        <is>
          <t>电商发货</t>
        </is>
      </c>
      <c r="L96" s="16" t="n">
        <v>0</v>
      </c>
    </row>
    <row r="97">
      <c r="A97" s="34" t="n">
        <v>45942</v>
      </c>
      <c r="B97" s="16" t="inlineStr">
        <is>
          <t>NY-KW-2508-013</t>
        </is>
      </c>
      <c r="C97" s="16" t="inlineStr">
        <is>
          <t>深圳龙岗前置仓</t>
        </is>
      </c>
      <c r="D97" s="35" t="n">
        <v>2944.599999999999</v>
      </c>
      <c r="E97" s="35" t="n">
        <v>0</v>
      </c>
      <c r="F97" s="35" t="n">
        <v>2085.3</v>
      </c>
      <c r="G97" s="35" t="n">
        <v>13.4</v>
      </c>
      <c r="H97" s="35" t="n">
        <v>845.8999999999984</v>
      </c>
      <c r="I97" s="16" t="n">
        <v>4</v>
      </c>
      <c r="J97" s="16" t="inlineStr">
        <is>
          <t>暂存区</t>
        </is>
      </c>
      <c r="K97" s="16" t="inlineStr">
        <is>
          <t>未分配</t>
        </is>
      </c>
      <c r="L97" s="16" t="n">
        <v>0</v>
      </c>
    </row>
    <row r="98">
      <c r="A98" s="34" t="n">
        <v>45943</v>
      </c>
      <c r="B98" s="16" t="inlineStr">
        <is>
          <t>NY-KW-2508-013</t>
        </is>
      </c>
      <c r="C98" s="16" t="inlineStr">
        <is>
          <t>深圳龙岗前置仓</t>
        </is>
      </c>
      <c r="D98" s="35" t="n">
        <v>845.8999999999984</v>
      </c>
      <c r="E98" s="35" t="n">
        <v>0</v>
      </c>
      <c r="F98" s="35" t="n">
        <v>834.9</v>
      </c>
      <c r="G98" s="35" t="n">
        <v>11</v>
      </c>
      <c r="H98" s="35" t="n">
        <v>0</v>
      </c>
      <c r="I98" s="16" t="n">
        <v>5</v>
      </c>
      <c r="J98" s="16" t="inlineStr">
        <is>
          <t>冷藏库</t>
        </is>
      </c>
      <c r="K98" s="16" t="inlineStr">
        <is>
          <t>仓间调拨</t>
        </is>
      </c>
      <c r="L98" s="16" t="n">
        <v>0</v>
      </c>
    </row>
    <row r="99">
      <c r="A99" s="34" t="n">
        <v>45944</v>
      </c>
      <c r="B99" s="16" t="inlineStr">
        <is>
          <t>NY-KW-2508-013</t>
        </is>
      </c>
      <c r="C99" s="16" t="inlineStr">
        <is>
          <t>南宁江南分仓</t>
        </is>
      </c>
      <c r="D99" s="35" t="n">
        <v>0</v>
      </c>
      <c r="E99" s="35" t="n">
        <v>0</v>
      </c>
      <c r="F99" s="35" t="n">
        <v>0</v>
      </c>
      <c r="G99" s="35" t="n">
        <v>0</v>
      </c>
      <c r="H99" s="35" t="n">
        <v>0</v>
      </c>
      <c r="I99" s="16" t="n">
        <v>6</v>
      </c>
      <c r="J99" s="16" t="inlineStr">
        <is>
          <t>前置仓</t>
        </is>
      </c>
      <c r="K99" s="16" t="inlineStr">
        <is>
          <t>未分配</t>
        </is>
      </c>
      <c r="L99" s="16" t="n">
        <v>1</v>
      </c>
    </row>
    <row r="100">
      <c r="A100" s="34" t="n">
        <v>45933</v>
      </c>
      <c r="B100" s="16" t="inlineStr">
        <is>
          <t>NY-KW-2508-014</t>
        </is>
      </c>
      <c r="C100" s="16" t="inlineStr">
        <is>
          <t>广州黄埔仓</t>
        </is>
      </c>
      <c r="D100" s="35" t="n">
        <v>0</v>
      </c>
      <c r="E100" s="35" t="n">
        <v>17100</v>
      </c>
      <c r="F100" s="35" t="n">
        <v>1863.6</v>
      </c>
      <c r="G100" s="35" t="n">
        <v>41.6</v>
      </c>
      <c r="H100" s="35" t="n">
        <v>15194.8</v>
      </c>
      <c r="I100" s="16" t="n">
        <v>0</v>
      </c>
      <c r="J100" s="16" t="inlineStr">
        <is>
          <t>冷藏库</t>
        </is>
      </c>
      <c r="K100" s="16" t="inlineStr">
        <is>
          <t>仓间调拨</t>
        </is>
      </c>
      <c r="L100" s="16" t="n">
        <v>0</v>
      </c>
    </row>
    <row r="101">
      <c r="A101" s="34" t="n">
        <v>45934</v>
      </c>
      <c r="B101" s="16" t="inlineStr">
        <is>
          <t>NY-KW-2508-014</t>
        </is>
      </c>
      <c r="C101" s="16" t="inlineStr">
        <is>
          <t>南宁江南分仓</t>
        </is>
      </c>
      <c r="D101" s="35" t="n">
        <v>15194.8</v>
      </c>
      <c r="E101" s="35" t="n">
        <v>0</v>
      </c>
      <c r="F101" s="35" t="n">
        <v>3071.1</v>
      </c>
      <c r="G101" s="35" t="n">
        <v>136.4</v>
      </c>
      <c r="H101" s="35" t="n">
        <v>11987.3</v>
      </c>
      <c r="I101" s="16" t="n">
        <v>1</v>
      </c>
      <c r="J101" s="16" t="inlineStr">
        <is>
          <t>暂存区</t>
        </is>
      </c>
      <c r="K101" s="16" t="inlineStr">
        <is>
          <t>批发出库</t>
        </is>
      </c>
      <c r="L101" s="16" t="n">
        <v>0</v>
      </c>
    </row>
    <row r="102">
      <c r="A102" s="34" t="n">
        <v>45935</v>
      </c>
      <c r="B102" s="16" t="inlineStr">
        <is>
          <t>NY-KW-2508-014</t>
        </is>
      </c>
      <c r="C102" s="16" t="inlineStr">
        <is>
          <t>南宁江南分仓</t>
        </is>
      </c>
      <c r="D102" s="35" t="n">
        <v>11987.3</v>
      </c>
      <c r="E102" s="35" t="n">
        <v>0</v>
      </c>
      <c r="F102" s="35" t="n">
        <v>2955.2</v>
      </c>
      <c r="G102" s="35" t="n">
        <v>160.1</v>
      </c>
      <c r="H102" s="35" t="n">
        <v>8871.999999999998</v>
      </c>
      <c r="I102" s="16" t="n">
        <v>2</v>
      </c>
      <c r="J102" s="16" t="inlineStr">
        <is>
          <t>前置仓</t>
        </is>
      </c>
      <c r="K102" s="16" t="inlineStr">
        <is>
          <t>批发出库</t>
        </is>
      </c>
      <c r="L102" s="16" t="n">
        <v>0</v>
      </c>
    </row>
    <row r="103">
      <c r="A103" s="34" t="n">
        <v>45936</v>
      </c>
      <c r="B103" s="16" t="inlineStr">
        <is>
          <t>NY-KW-2508-014</t>
        </is>
      </c>
      <c r="C103" s="16" t="inlineStr">
        <is>
          <t>南宁江南分仓</t>
        </is>
      </c>
      <c r="D103" s="35" t="n">
        <v>8871.999999999998</v>
      </c>
      <c r="E103" s="35" t="n">
        <v>0</v>
      </c>
      <c r="F103" s="35" t="n">
        <v>3928.9</v>
      </c>
      <c r="G103" s="35" t="n">
        <v>79.5</v>
      </c>
      <c r="H103" s="35" t="n">
        <v>4863.599999999999</v>
      </c>
      <c r="I103" s="16" t="n">
        <v>3</v>
      </c>
      <c r="J103" s="16" t="inlineStr">
        <is>
          <t>冷藏库</t>
        </is>
      </c>
      <c r="K103" s="16" t="inlineStr">
        <is>
          <t>仓间调拨</t>
        </is>
      </c>
      <c r="L103" s="16" t="n">
        <v>0</v>
      </c>
    </row>
    <row r="104">
      <c r="A104" s="34" t="n">
        <v>45937</v>
      </c>
      <c r="B104" s="16" t="inlineStr">
        <is>
          <t>NY-KW-2508-014</t>
        </is>
      </c>
      <c r="C104" s="16" t="inlineStr">
        <is>
          <t>广州黄埔仓</t>
        </is>
      </c>
      <c r="D104" s="35" t="n">
        <v>4863.599999999999</v>
      </c>
      <c r="E104" s="35" t="n">
        <v>0</v>
      </c>
      <c r="F104" s="35" t="n">
        <v>3245.3</v>
      </c>
      <c r="G104" s="35" t="n">
        <v>40</v>
      </c>
      <c r="H104" s="35" t="n">
        <v>1578.299999999998</v>
      </c>
      <c r="I104" s="16" t="n">
        <v>4</v>
      </c>
      <c r="J104" s="16" t="inlineStr">
        <is>
          <t>冷藏库</t>
        </is>
      </c>
      <c r="K104" s="16" t="inlineStr">
        <is>
          <t>门店补货</t>
        </is>
      </c>
      <c r="L104" s="16" t="n">
        <v>0</v>
      </c>
    </row>
    <row r="105">
      <c r="A105" s="34" t="n">
        <v>45938</v>
      </c>
      <c r="B105" s="16" t="inlineStr">
        <is>
          <t>NY-KW-2508-014</t>
        </is>
      </c>
      <c r="C105" s="16" t="inlineStr">
        <is>
          <t>广州黄埔仓</t>
        </is>
      </c>
      <c r="D105" s="35" t="n">
        <v>1578.299999999998</v>
      </c>
      <c r="E105" s="35" t="n">
        <v>0</v>
      </c>
      <c r="F105" s="35" t="n">
        <v>1569.1</v>
      </c>
      <c r="G105" s="35" t="n">
        <v>9.199999999999999</v>
      </c>
      <c r="H105" s="35" t="n">
        <v>0</v>
      </c>
      <c r="I105" s="16" t="n">
        <v>5</v>
      </c>
      <c r="J105" s="16" t="inlineStr">
        <is>
          <t>前置仓</t>
        </is>
      </c>
      <c r="K105" s="16" t="inlineStr">
        <is>
          <t>门店补货</t>
        </is>
      </c>
      <c r="L105" s="16" t="n">
        <v>0</v>
      </c>
    </row>
    <row r="106">
      <c r="A106" s="34" t="n">
        <v>45939</v>
      </c>
      <c r="B106" s="16" t="inlineStr">
        <is>
          <t>NY-KW-2508-014</t>
        </is>
      </c>
      <c r="C106" s="16" t="inlineStr">
        <is>
          <t>南宁江南分仓</t>
        </is>
      </c>
      <c r="D106" s="35" t="n">
        <v>0</v>
      </c>
      <c r="E106" s="35" t="n">
        <v>0</v>
      </c>
      <c r="F106" s="35" t="n">
        <v>0</v>
      </c>
      <c r="G106" s="35" t="n">
        <v>0</v>
      </c>
      <c r="H106" s="35" t="n">
        <v>0</v>
      </c>
      <c r="I106" s="16" t="n">
        <v>6</v>
      </c>
      <c r="J106" s="16" t="inlineStr">
        <is>
          <t>暂存区</t>
        </is>
      </c>
      <c r="K106" s="16" t="inlineStr">
        <is>
          <t>仓间调拨</t>
        </is>
      </c>
      <c r="L106" s="16" t="n">
        <v>0</v>
      </c>
    </row>
    <row r="107">
      <c r="A107" s="34" t="n">
        <v>45940</v>
      </c>
      <c r="B107" s="16" t="inlineStr">
        <is>
          <t>NY-KW-2508-014</t>
        </is>
      </c>
      <c r="C107" s="16" t="inlineStr">
        <is>
          <t>南宁江南分仓</t>
        </is>
      </c>
      <c r="D107" s="35" t="n">
        <v>0</v>
      </c>
      <c r="E107" s="35" t="n">
        <v>0</v>
      </c>
      <c r="F107" s="35" t="n">
        <v>0</v>
      </c>
      <c r="G107" s="35" t="n">
        <v>0</v>
      </c>
      <c r="H107" s="35" t="n">
        <v>0</v>
      </c>
      <c r="I107" s="16" t="n">
        <v>7</v>
      </c>
      <c r="J107" s="16" t="inlineStr">
        <is>
          <t>前置仓</t>
        </is>
      </c>
      <c r="K107" s="16" t="inlineStr">
        <is>
          <t>批发出库</t>
        </is>
      </c>
      <c r="L107" s="16" t="n">
        <v>1</v>
      </c>
    </row>
    <row r="108">
      <c r="A108" s="34" t="n">
        <v>45948</v>
      </c>
      <c r="B108" s="16" t="inlineStr">
        <is>
          <t>NY-KW-2508-015</t>
        </is>
      </c>
      <c r="C108" s="16" t="inlineStr">
        <is>
          <t>南宁江南分仓</t>
        </is>
      </c>
      <c r="D108" s="35" t="n">
        <v>0</v>
      </c>
      <c r="E108" s="35" t="n">
        <v>18000</v>
      </c>
      <c r="F108" s="35" t="n">
        <v>1975.8</v>
      </c>
      <c r="G108" s="35" t="n">
        <v>114.3</v>
      </c>
      <c r="H108" s="35" t="n">
        <v>15909.9</v>
      </c>
      <c r="I108" s="16" t="n">
        <v>0</v>
      </c>
      <c r="J108" s="16" t="inlineStr">
        <is>
          <t>暂存区</t>
        </is>
      </c>
      <c r="K108" s="16" t="inlineStr">
        <is>
          <t>电商发货</t>
        </is>
      </c>
      <c r="L108" s="16" t="n">
        <v>0</v>
      </c>
    </row>
    <row r="109">
      <c r="A109" s="34" t="n">
        <v>45949</v>
      </c>
      <c r="B109" s="16" t="inlineStr">
        <is>
          <t>NY-KW-2508-015</t>
        </is>
      </c>
      <c r="C109" s="16" t="inlineStr">
        <is>
          <t>广州黄埔仓</t>
        </is>
      </c>
      <c r="D109" s="35" t="n">
        <v>15909.9</v>
      </c>
      <c r="E109" s="35" t="n">
        <v>0</v>
      </c>
      <c r="F109" s="35" t="n">
        <v>4475</v>
      </c>
      <c r="G109" s="35" t="n">
        <v>158.2</v>
      </c>
      <c r="H109" s="35" t="n">
        <v>11276.7</v>
      </c>
      <c r="I109" s="16" t="n">
        <v>1</v>
      </c>
      <c r="J109" s="16" t="inlineStr">
        <is>
          <t>冷藏库</t>
        </is>
      </c>
      <c r="K109" s="16" t="inlineStr">
        <is>
          <t>仓间调拨</t>
        </is>
      </c>
      <c r="L109" s="16" t="n">
        <v>0</v>
      </c>
    </row>
    <row r="110">
      <c r="A110" s="34" t="n">
        <v>45950</v>
      </c>
      <c r="B110" s="16" t="inlineStr">
        <is>
          <t>NY-KW-2508-015</t>
        </is>
      </c>
      <c r="C110" s="16" t="inlineStr">
        <is>
          <t>南宁江南分仓</t>
        </is>
      </c>
      <c r="D110" s="35" t="n">
        <v>11276.7</v>
      </c>
      <c r="E110" s="35" t="n">
        <v>0</v>
      </c>
      <c r="F110" s="35" t="n">
        <v>4131.9</v>
      </c>
      <c r="G110" s="35" t="n">
        <v>31.8</v>
      </c>
      <c r="H110" s="35" t="n">
        <v>7113.000000000001</v>
      </c>
      <c r="I110" s="16" t="n">
        <v>2</v>
      </c>
      <c r="J110" s="16" t="inlineStr">
        <is>
          <t>冷藏库</t>
        </is>
      </c>
      <c r="K110" s="16" t="inlineStr">
        <is>
          <t>电商发货</t>
        </is>
      </c>
      <c r="L110" s="16" t="n">
        <v>0</v>
      </c>
    </row>
    <row r="111">
      <c r="A111" s="34" t="n">
        <v>45951</v>
      </c>
      <c r="B111" s="16" t="inlineStr">
        <is>
          <t>NY-KW-2508-015</t>
        </is>
      </c>
      <c r="C111" s="16" t="inlineStr">
        <is>
          <t>南宁江南分仓</t>
        </is>
      </c>
      <c r="D111" s="35" t="n">
        <v>7113.000000000001</v>
      </c>
      <c r="E111" s="35" t="n">
        <v>0</v>
      </c>
      <c r="F111" s="35" t="n">
        <v>3787.4</v>
      </c>
      <c r="G111" s="35" t="n">
        <v>94.40000000000001</v>
      </c>
      <c r="H111" s="35" t="n">
        <v>3231.200000000001</v>
      </c>
      <c r="I111" s="16" t="n">
        <v>3</v>
      </c>
      <c r="J111" s="16" t="inlineStr">
        <is>
          <t>前置仓</t>
        </is>
      </c>
      <c r="K111" s="16" t="inlineStr">
        <is>
          <t>批发出库</t>
        </is>
      </c>
      <c r="L111" s="16" t="n">
        <v>0</v>
      </c>
    </row>
    <row r="112">
      <c r="A112" s="34" t="n">
        <v>45952</v>
      </c>
      <c r="B112" s="16" t="inlineStr">
        <is>
          <t>NY-KW-2508-015</t>
        </is>
      </c>
      <c r="C112" s="16" t="inlineStr">
        <is>
          <t>深圳龙岗前置仓</t>
        </is>
      </c>
      <c r="D112" s="35" t="n">
        <v>3231.200000000001</v>
      </c>
      <c r="E112" s="35" t="n">
        <v>0</v>
      </c>
      <c r="F112" s="35" t="n">
        <v>2077.8</v>
      </c>
      <c r="G112" s="35" t="n">
        <v>39.9</v>
      </c>
      <c r="H112" s="35" t="n">
        <v>1113.5</v>
      </c>
      <c r="I112" s="16" t="n">
        <v>4</v>
      </c>
      <c r="J112" s="16" t="inlineStr">
        <is>
          <t>暂存区</t>
        </is>
      </c>
      <c r="K112" s="16" t="inlineStr">
        <is>
          <t>门店补货</t>
        </is>
      </c>
      <c r="L112" s="16" t="n">
        <v>0</v>
      </c>
    </row>
    <row r="113">
      <c r="A113" s="34" t="n">
        <v>45953</v>
      </c>
      <c r="B113" s="16" t="inlineStr">
        <is>
          <t>NY-KW-2508-015</t>
        </is>
      </c>
      <c r="C113" s="16" t="inlineStr">
        <is>
          <t>深圳龙岗前置仓</t>
        </is>
      </c>
      <c r="D113" s="35" t="n">
        <v>1113.5</v>
      </c>
      <c r="E113" s="35" t="n">
        <v>0</v>
      </c>
      <c r="F113" s="35" t="n">
        <v>1098.6</v>
      </c>
      <c r="G113" s="35" t="n">
        <v>14.9</v>
      </c>
      <c r="H113" s="35" t="n">
        <v>0</v>
      </c>
      <c r="I113" s="16" t="n">
        <v>5</v>
      </c>
      <c r="J113" s="16" t="inlineStr">
        <is>
          <t>前置仓</t>
        </is>
      </c>
      <c r="K113" s="16" t="inlineStr">
        <is>
          <t>仓间调拨</t>
        </is>
      </c>
      <c r="L113" s="16" t="n">
        <v>0</v>
      </c>
    </row>
    <row r="114">
      <c r="A114" s="34" t="n">
        <v>45954</v>
      </c>
      <c r="B114" s="16" t="inlineStr">
        <is>
          <t>NY-KW-2508-015</t>
        </is>
      </c>
      <c r="C114" s="16" t="inlineStr">
        <is>
          <t>南宁江南分仓</t>
        </is>
      </c>
      <c r="D114" s="35" t="n">
        <v>0</v>
      </c>
      <c r="E114" s="35" t="n">
        <v>0</v>
      </c>
      <c r="F114" s="35" t="n">
        <v>0</v>
      </c>
      <c r="G114" s="35" t="n">
        <v>0</v>
      </c>
      <c r="H114" s="35" t="n">
        <v>0</v>
      </c>
      <c r="I114" s="16" t="n">
        <v>6</v>
      </c>
      <c r="J114" s="16" t="inlineStr">
        <is>
          <t>前置仓</t>
        </is>
      </c>
      <c r="K114" s="16" t="inlineStr">
        <is>
          <t>门店补货</t>
        </is>
      </c>
      <c r="L114" s="16" t="n">
        <v>1</v>
      </c>
    </row>
    <row r="115">
      <c r="A115" s="34" t="n">
        <v>45942</v>
      </c>
      <c r="B115" s="16" t="inlineStr">
        <is>
          <t>NY-KW-2508-016</t>
        </is>
      </c>
      <c r="C115" s="16" t="inlineStr">
        <is>
          <t>广州黄埔仓</t>
        </is>
      </c>
      <c r="D115" s="35" t="n">
        <v>0</v>
      </c>
      <c r="E115" s="35" t="n">
        <v>18300</v>
      </c>
      <c r="F115" s="35" t="n">
        <v>2633.7</v>
      </c>
      <c r="G115" s="35" t="n">
        <v>232</v>
      </c>
      <c r="H115" s="35" t="n">
        <v>15434.3</v>
      </c>
      <c r="I115" s="16" t="n">
        <v>0</v>
      </c>
      <c r="J115" s="16" t="inlineStr">
        <is>
          <t>前置仓</t>
        </is>
      </c>
      <c r="K115" s="16" t="inlineStr">
        <is>
          <t>仓间调拨</t>
        </is>
      </c>
      <c r="L115" s="16" t="n">
        <v>0</v>
      </c>
    </row>
    <row r="116">
      <c r="A116" s="34" t="n">
        <v>45943</v>
      </c>
      <c r="B116" s="16" t="inlineStr">
        <is>
          <t>NY-KW-2508-016</t>
        </is>
      </c>
      <c r="C116" s="16" t="inlineStr">
        <is>
          <t>深圳龙岗前置仓</t>
        </is>
      </c>
      <c r="D116" s="35" t="n">
        <v>15434.3</v>
      </c>
      <c r="E116" s="35" t="n">
        <v>0</v>
      </c>
      <c r="F116" s="35" t="n">
        <v>2464.9</v>
      </c>
      <c r="G116" s="35" t="n">
        <v>213.9</v>
      </c>
      <c r="H116" s="35" t="n">
        <v>12755.5</v>
      </c>
      <c r="I116" s="16" t="n">
        <v>1</v>
      </c>
      <c r="J116" s="16" t="inlineStr">
        <is>
          <t>冷藏库</t>
        </is>
      </c>
      <c r="K116" s="16" t="inlineStr">
        <is>
          <t>批发出库</t>
        </is>
      </c>
      <c r="L116" s="16" t="n">
        <v>0</v>
      </c>
    </row>
    <row r="117">
      <c r="A117" s="34" t="n">
        <v>45944</v>
      </c>
      <c r="B117" s="16" t="inlineStr">
        <is>
          <t>NY-KW-2508-016</t>
        </is>
      </c>
      <c r="C117" s="16" t="inlineStr">
        <is>
          <t>南宁江南分仓</t>
        </is>
      </c>
      <c r="D117" s="35" t="n">
        <v>12755.5</v>
      </c>
      <c r="E117" s="35" t="n">
        <v>0</v>
      </c>
      <c r="F117" s="35" t="n">
        <v>3145.9</v>
      </c>
      <c r="G117" s="35" t="n">
        <v>169.5</v>
      </c>
      <c r="H117" s="35" t="n">
        <v>9440.1</v>
      </c>
      <c r="I117" s="16" t="n">
        <v>2</v>
      </c>
      <c r="J117" s="16" t="inlineStr">
        <is>
          <t>冷藏库</t>
        </is>
      </c>
      <c r="K117" s="16" t="inlineStr">
        <is>
          <t>仓间调拨</t>
        </is>
      </c>
      <c r="L117" s="16" t="n">
        <v>0</v>
      </c>
    </row>
    <row r="118">
      <c r="A118" s="34" t="n">
        <v>45945</v>
      </c>
      <c r="B118" s="16" t="inlineStr">
        <is>
          <t>NY-KW-2508-016</t>
        </is>
      </c>
      <c r="C118" s="16" t="inlineStr">
        <is>
          <t>深圳龙岗前置仓</t>
        </is>
      </c>
      <c r="D118" s="35" t="n">
        <v>9440.1</v>
      </c>
      <c r="E118" s="35" t="n">
        <v>0</v>
      </c>
      <c r="F118" s="35" t="n">
        <v>4539.4</v>
      </c>
      <c r="G118" s="35" t="n">
        <v>68.8</v>
      </c>
      <c r="H118" s="35" t="n">
        <v>4831.900000000001</v>
      </c>
      <c r="I118" s="16" t="n">
        <v>3</v>
      </c>
      <c r="J118" s="16" t="inlineStr">
        <is>
          <t>前置仓</t>
        </is>
      </c>
      <c r="K118" s="16" t="inlineStr">
        <is>
          <t>仓间调拨</t>
        </is>
      </c>
      <c r="L118" s="16" t="n">
        <v>0</v>
      </c>
    </row>
    <row r="119">
      <c r="A119" s="34" t="n">
        <v>45946</v>
      </c>
      <c r="B119" s="16" t="inlineStr">
        <is>
          <t>NY-KW-2508-016</t>
        </is>
      </c>
      <c r="C119" s="16" t="inlineStr">
        <is>
          <t>广州黄埔仓</t>
        </is>
      </c>
      <c r="D119" s="35" t="n">
        <v>4831.900000000001</v>
      </c>
      <c r="E119" s="35" t="n">
        <v>0</v>
      </c>
      <c r="F119" s="35" t="n">
        <v>2564.7</v>
      </c>
      <c r="G119" s="35" t="n">
        <v>35.7</v>
      </c>
      <c r="H119" s="35" t="n">
        <v>2231.500000000001</v>
      </c>
      <c r="I119" s="16" t="n">
        <v>4</v>
      </c>
      <c r="J119" s="16" t="inlineStr">
        <is>
          <t>前置仓</t>
        </is>
      </c>
      <c r="K119" s="16" t="inlineStr">
        <is>
          <t>未分配</t>
        </is>
      </c>
      <c r="L119" s="16" t="n">
        <v>0</v>
      </c>
    </row>
    <row r="120">
      <c r="A120" s="34" t="n">
        <v>45947</v>
      </c>
      <c r="B120" s="16" t="inlineStr">
        <is>
          <t>NY-KW-2508-016</t>
        </is>
      </c>
      <c r="C120" s="16" t="inlineStr">
        <is>
          <t>深圳龙岗前置仓</t>
        </is>
      </c>
      <c r="D120" s="35" t="n">
        <v>2231.500000000001</v>
      </c>
      <c r="E120" s="35" t="n">
        <v>0</v>
      </c>
      <c r="F120" s="35" t="n">
        <v>2211.5</v>
      </c>
      <c r="G120" s="35" t="n">
        <v>20</v>
      </c>
      <c r="H120" s="35" t="n">
        <v>0</v>
      </c>
      <c r="I120" s="16" t="n">
        <v>5</v>
      </c>
      <c r="J120" s="16" t="inlineStr">
        <is>
          <t>前置仓</t>
        </is>
      </c>
      <c r="K120" s="16" t="inlineStr">
        <is>
          <t>未分配</t>
        </is>
      </c>
      <c r="L120" s="16" t="n">
        <v>0</v>
      </c>
    </row>
    <row r="121">
      <c r="A121" s="34" t="n">
        <v>45948</v>
      </c>
      <c r="B121" s="16" t="inlineStr">
        <is>
          <t>NY-KW-2508-016</t>
        </is>
      </c>
      <c r="C121" s="16" t="inlineStr">
        <is>
          <t>南宁江南分仓</t>
        </is>
      </c>
      <c r="D121" s="35" t="n">
        <v>0</v>
      </c>
      <c r="E121" s="35" t="n">
        <v>0</v>
      </c>
      <c r="F121" s="35" t="n">
        <v>0</v>
      </c>
      <c r="G121" s="35" t="n">
        <v>0</v>
      </c>
      <c r="H121" s="35" t="n">
        <v>0</v>
      </c>
      <c r="I121" s="16" t="n">
        <v>6</v>
      </c>
      <c r="J121" s="16" t="inlineStr">
        <is>
          <t>前置仓</t>
        </is>
      </c>
      <c r="K121" s="16" t="inlineStr">
        <is>
          <t>未分配</t>
        </is>
      </c>
      <c r="L121" s="16" t="n">
        <v>0</v>
      </c>
    </row>
    <row r="122">
      <c r="A122" s="34" t="n">
        <v>45949</v>
      </c>
      <c r="B122" s="16" t="inlineStr">
        <is>
          <t>NY-KW-2508-016</t>
        </is>
      </c>
      <c r="C122" s="16" t="inlineStr">
        <is>
          <t>深圳龙岗前置仓</t>
        </is>
      </c>
      <c r="D122" s="35" t="n">
        <v>0</v>
      </c>
      <c r="E122" s="35" t="n">
        <v>0</v>
      </c>
      <c r="F122" s="35" t="n">
        <v>0</v>
      </c>
      <c r="G122" s="35" t="n">
        <v>0</v>
      </c>
      <c r="H122" s="35" t="n">
        <v>0</v>
      </c>
      <c r="I122" s="16" t="n">
        <v>7</v>
      </c>
      <c r="J122" s="16" t="inlineStr">
        <is>
          <t>前置仓</t>
        </is>
      </c>
      <c r="K122" s="16" t="inlineStr">
        <is>
          <t>未分配</t>
        </is>
      </c>
      <c r="L122" s="16" t="n">
        <v>1</v>
      </c>
    </row>
    <row r="123">
      <c r="A123" s="34" t="n">
        <v>45930</v>
      </c>
      <c r="B123" s="16" t="inlineStr">
        <is>
          <t>NY-KW-2508-017</t>
        </is>
      </c>
      <c r="C123" s="16" t="inlineStr">
        <is>
          <t>深圳龙岗前置仓</t>
        </is>
      </c>
      <c r="D123" s="35" t="n">
        <v>0</v>
      </c>
      <c r="E123" s="35" t="n">
        <v>21400</v>
      </c>
      <c r="F123" s="35" t="n">
        <v>3227.3</v>
      </c>
      <c r="G123" s="35" t="n">
        <v>216.1</v>
      </c>
      <c r="H123" s="35" t="n">
        <v>17956.6</v>
      </c>
      <c r="I123" s="16" t="n">
        <v>0</v>
      </c>
      <c r="J123" s="16" t="inlineStr">
        <is>
          <t>冷藏库</t>
        </is>
      </c>
      <c r="K123" s="16" t="inlineStr">
        <is>
          <t>仓间调拨</t>
        </is>
      </c>
      <c r="L123" s="16" t="n">
        <v>0</v>
      </c>
    </row>
    <row r="124">
      <c r="A124" s="34" t="n">
        <v>45931</v>
      </c>
      <c r="B124" s="16" t="inlineStr">
        <is>
          <t>NY-KW-2508-017</t>
        </is>
      </c>
      <c r="C124" s="16" t="inlineStr">
        <is>
          <t>南宁江南分仓</t>
        </is>
      </c>
      <c r="D124" s="35" t="n">
        <v>17956.6</v>
      </c>
      <c r="E124" s="35" t="n">
        <v>0</v>
      </c>
      <c r="F124" s="35" t="n">
        <v>5228.7</v>
      </c>
      <c r="G124" s="35" t="n">
        <v>19.4</v>
      </c>
      <c r="H124" s="35" t="n">
        <v>12708.5</v>
      </c>
      <c r="I124" s="16" t="n">
        <v>1</v>
      </c>
      <c r="J124" s="16" t="inlineStr">
        <is>
          <t>冷藏库</t>
        </is>
      </c>
      <c r="K124" s="16" t="inlineStr">
        <is>
          <t>电商发货</t>
        </is>
      </c>
      <c r="L124" s="16" t="n">
        <v>0</v>
      </c>
    </row>
    <row r="125">
      <c r="A125" s="34" t="n">
        <v>45932</v>
      </c>
      <c r="B125" s="16" t="inlineStr">
        <is>
          <t>NY-KW-2508-017</t>
        </is>
      </c>
      <c r="C125" s="16" t="inlineStr">
        <is>
          <t>南宁江南分仓</t>
        </is>
      </c>
      <c r="D125" s="35" t="n">
        <v>12708.5</v>
      </c>
      <c r="E125" s="35" t="n">
        <v>0</v>
      </c>
      <c r="F125" s="35" t="n">
        <v>2145.6</v>
      </c>
      <c r="G125" s="35" t="n">
        <v>166.1</v>
      </c>
      <c r="H125" s="35" t="n">
        <v>10396.8</v>
      </c>
      <c r="I125" s="16" t="n">
        <v>2</v>
      </c>
      <c r="J125" s="16" t="inlineStr">
        <is>
          <t>前置仓</t>
        </is>
      </c>
      <c r="K125" s="16" t="inlineStr">
        <is>
          <t>门店补货</t>
        </is>
      </c>
      <c r="L125" s="16" t="n">
        <v>0</v>
      </c>
    </row>
    <row r="126">
      <c r="A126" s="34" t="n">
        <v>45933</v>
      </c>
      <c r="B126" s="16" t="inlineStr">
        <is>
          <t>NY-KW-2508-017</t>
        </is>
      </c>
      <c r="C126" s="16" t="inlineStr">
        <is>
          <t>广州黄埔仓</t>
        </is>
      </c>
      <c r="D126" s="35" t="n">
        <v>10396.8</v>
      </c>
      <c r="E126" s="35" t="n">
        <v>0</v>
      </c>
      <c r="F126" s="35" t="n">
        <v>4619</v>
      </c>
      <c r="G126" s="35" t="n">
        <v>135.6</v>
      </c>
      <c r="H126" s="35" t="n">
        <v>5642.200000000001</v>
      </c>
      <c r="I126" s="16" t="n">
        <v>3</v>
      </c>
      <c r="J126" s="16" t="inlineStr">
        <is>
          <t>前置仓</t>
        </is>
      </c>
      <c r="K126" s="16" t="inlineStr">
        <is>
          <t>仓间调拨</t>
        </is>
      </c>
      <c r="L126" s="16" t="n">
        <v>0</v>
      </c>
    </row>
    <row r="127">
      <c r="A127" s="34" t="n">
        <v>45934</v>
      </c>
      <c r="B127" s="16" t="inlineStr">
        <is>
          <t>NY-KW-2508-017</t>
        </is>
      </c>
      <c r="C127" s="16" t="inlineStr">
        <is>
          <t>深圳龙岗前置仓</t>
        </is>
      </c>
      <c r="D127" s="35" t="n">
        <v>5642.200000000001</v>
      </c>
      <c r="E127" s="35" t="n">
        <v>0</v>
      </c>
      <c r="F127" s="35" t="n">
        <v>5554.6</v>
      </c>
      <c r="G127" s="35" t="n">
        <v>22.2</v>
      </c>
      <c r="H127" s="35" t="n">
        <v>65.40000000000036</v>
      </c>
      <c r="I127" s="16" t="n">
        <v>4</v>
      </c>
      <c r="J127" s="16" t="inlineStr">
        <is>
          <t>冷藏库</t>
        </is>
      </c>
      <c r="K127" s="16" t="inlineStr">
        <is>
          <t>门店补货</t>
        </is>
      </c>
      <c r="L127" s="16" t="n">
        <v>1</v>
      </c>
    </row>
    <row r="128">
      <c r="A128" s="34" t="n">
        <v>45939</v>
      </c>
      <c r="B128" s="16" t="inlineStr">
        <is>
          <t>NY-KW-2508-018</t>
        </is>
      </c>
      <c r="C128" s="16" t="inlineStr">
        <is>
          <t>南宁江南分仓</t>
        </is>
      </c>
      <c r="D128" s="35" t="n">
        <v>0</v>
      </c>
      <c r="E128" s="35" t="n">
        <v>13800</v>
      </c>
      <c r="F128" s="35" t="n">
        <v>1993.3</v>
      </c>
      <c r="G128" s="35" t="n">
        <v>148.4</v>
      </c>
      <c r="H128" s="35" t="n">
        <v>11658.3</v>
      </c>
      <c r="I128" s="16" t="n">
        <v>0</v>
      </c>
      <c r="J128" s="16" t="inlineStr">
        <is>
          <t>暂存区</t>
        </is>
      </c>
      <c r="K128" s="16" t="inlineStr">
        <is>
          <t>批发出库</t>
        </is>
      </c>
      <c r="L128" s="16" t="n">
        <v>0</v>
      </c>
    </row>
    <row r="129">
      <c r="A129" s="34" t="n">
        <v>45940</v>
      </c>
      <c r="B129" s="16" t="inlineStr">
        <is>
          <t>NY-KW-2508-018</t>
        </is>
      </c>
      <c r="C129" s="16" t="inlineStr">
        <is>
          <t>深圳龙岗前置仓</t>
        </is>
      </c>
      <c r="D129" s="35" t="n">
        <v>11658.3</v>
      </c>
      <c r="E129" s="35" t="n">
        <v>0</v>
      </c>
      <c r="F129" s="35" t="n">
        <v>3099.6</v>
      </c>
      <c r="G129" s="35" t="n">
        <v>66.59999999999999</v>
      </c>
      <c r="H129" s="35" t="n">
        <v>8492.1</v>
      </c>
      <c r="I129" s="16" t="n">
        <v>1</v>
      </c>
      <c r="J129" s="16" t="inlineStr">
        <is>
          <t>冷藏库</t>
        </is>
      </c>
      <c r="K129" s="16" t="inlineStr">
        <is>
          <t>批发出库</t>
        </is>
      </c>
      <c r="L129" s="16" t="n">
        <v>0</v>
      </c>
    </row>
    <row r="130">
      <c r="A130" s="34" t="n">
        <v>45941</v>
      </c>
      <c r="B130" s="16" t="inlineStr">
        <is>
          <t>NY-KW-2508-018</t>
        </is>
      </c>
      <c r="C130" s="16" t="inlineStr">
        <is>
          <t>南宁江南分仓</t>
        </is>
      </c>
      <c r="D130" s="35" t="n">
        <v>8492.1</v>
      </c>
      <c r="E130" s="35" t="n">
        <v>0</v>
      </c>
      <c r="F130" s="35" t="n">
        <v>1842.3</v>
      </c>
      <c r="G130" s="35" t="n">
        <v>112.3</v>
      </c>
      <c r="H130" s="35" t="n">
        <v>6537.5</v>
      </c>
      <c r="I130" s="16" t="n">
        <v>2</v>
      </c>
      <c r="J130" s="16" t="inlineStr">
        <is>
          <t>暂存区</t>
        </is>
      </c>
      <c r="K130" s="16" t="inlineStr">
        <is>
          <t>门店补货</t>
        </is>
      </c>
      <c r="L130" s="16" t="n">
        <v>0</v>
      </c>
    </row>
    <row r="131">
      <c r="A131" s="34" t="n">
        <v>45942</v>
      </c>
      <c r="B131" s="16" t="inlineStr">
        <is>
          <t>NY-KW-2508-018</t>
        </is>
      </c>
      <c r="C131" s="16" t="inlineStr">
        <is>
          <t>南宁江南分仓</t>
        </is>
      </c>
      <c r="D131" s="35" t="n">
        <v>6537.5</v>
      </c>
      <c r="E131" s="35" t="n">
        <v>0</v>
      </c>
      <c r="F131" s="35" t="n">
        <v>2127.1</v>
      </c>
      <c r="G131" s="35" t="n">
        <v>10.1</v>
      </c>
      <c r="H131" s="35" t="n">
        <v>4400.299999999999</v>
      </c>
      <c r="I131" s="16" t="n">
        <v>3</v>
      </c>
      <c r="J131" s="16" t="inlineStr">
        <is>
          <t>冷藏库</t>
        </is>
      </c>
      <c r="K131" s="16" t="inlineStr">
        <is>
          <t>批发出库</t>
        </is>
      </c>
      <c r="L131" s="16" t="n">
        <v>0</v>
      </c>
    </row>
    <row r="132">
      <c r="A132" s="34" t="n">
        <v>45943</v>
      </c>
      <c r="B132" s="16" t="inlineStr">
        <is>
          <t>NY-KW-2508-018</t>
        </is>
      </c>
      <c r="C132" s="16" t="inlineStr">
        <is>
          <t>广州黄埔仓</t>
        </is>
      </c>
      <c r="D132" s="35" t="n">
        <v>4400.299999999999</v>
      </c>
      <c r="E132" s="35" t="n">
        <v>0</v>
      </c>
      <c r="F132" s="35" t="n">
        <v>1797.4</v>
      </c>
      <c r="G132" s="35" t="n">
        <v>44.8</v>
      </c>
      <c r="H132" s="35" t="n">
        <v>2558.099999999999</v>
      </c>
      <c r="I132" s="16" t="n">
        <v>4</v>
      </c>
      <c r="J132" s="16" t="inlineStr">
        <is>
          <t>冷藏库</t>
        </is>
      </c>
      <c r="K132" s="16" t="inlineStr">
        <is>
          <t>门店补货</t>
        </is>
      </c>
      <c r="L132" s="16" t="n">
        <v>1</v>
      </c>
    </row>
    <row r="133">
      <c r="A133" s="34" t="n">
        <v>45920</v>
      </c>
      <c r="B133" s="16" t="inlineStr">
        <is>
          <t>NY-KW-2508-019</t>
        </is>
      </c>
      <c r="C133" s="16" t="inlineStr">
        <is>
          <t>广州黄埔仓</t>
        </is>
      </c>
      <c r="D133" s="35" t="n">
        <v>0</v>
      </c>
      <c r="E133" s="35" t="n">
        <v>16100</v>
      </c>
      <c r="F133" s="35" t="n">
        <v>2110.8</v>
      </c>
      <c r="G133" s="35" t="n">
        <v>61.1</v>
      </c>
      <c r="H133" s="35" t="n">
        <v>13928.1</v>
      </c>
      <c r="I133" s="16" t="n">
        <v>0</v>
      </c>
      <c r="J133" s="16" t="inlineStr">
        <is>
          <t>暂存区</t>
        </is>
      </c>
      <c r="K133" s="16" t="inlineStr">
        <is>
          <t>门店补货</t>
        </is>
      </c>
      <c r="L133" s="16" t="n">
        <v>0</v>
      </c>
    </row>
    <row r="134">
      <c r="A134" s="34" t="n">
        <v>45921</v>
      </c>
      <c r="B134" s="16" t="inlineStr">
        <is>
          <t>NY-KW-2508-019</t>
        </is>
      </c>
      <c r="C134" s="16" t="inlineStr">
        <is>
          <t>广州黄埔仓</t>
        </is>
      </c>
      <c r="D134" s="35" t="n">
        <v>13928.1</v>
      </c>
      <c r="E134" s="35" t="n">
        <v>0</v>
      </c>
      <c r="F134" s="35" t="n">
        <v>3358.1</v>
      </c>
      <c r="G134" s="35" t="n">
        <v>182.5</v>
      </c>
      <c r="H134" s="35" t="n">
        <v>10387.5</v>
      </c>
      <c r="I134" s="16" t="n">
        <v>1</v>
      </c>
      <c r="J134" s="16" t="inlineStr">
        <is>
          <t>前置仓</t>
        </is>
      </c>
      <c r="K134" s="16" t="inlineStr">
        <is>
          <t>批发出库</t>
        </is>
      </c>
      <c r="L134" s="16" t="n">
        <v>0</v>
      </c>
    </row>
    <row r="135">
      <c r="A135" s="34" t="n">
        <v>45922</v>
      </c>
      <c r="B135" s="16" t="inlineStr">
        <is>
          <t>NY-KW-2508-019</t>
        </is>
      </c>
      <c r="C135" s="16" t="inlineStr">
        <is>
          <t>深圳龙岗前置仓</t>
        </is>
      </c>
      <c r="D135" s="35" t="n">
        <v>10387.5</v>
      </c>
      <c r="E135" s="35" t="n">
        <v>0</v>
      </c>
      <c r="F135" s="35" t="n">
        <v>1659.9</v>
      </c>
      <c r="G135" s="35" t="n">
        <v>74.7</v>
      </c>
      <c r="H135" s="35" t="n">
        <v>8652.9</v>
      </c>
      <c r="I135" s="16" t="n">
        <v>2</v>
      </c>
      <c r="J135" s="16" t="inlineStr">
        <is>
          <t>暂存区</t>
        </is>
      </c>
      <c r="K135" s="16" t="inlineStr">
        <is>
          <t>仓间调拨</t>
        </is>
      </c>
      <c r="L135" s="16" t="n">
        <v>0</v>
      </c>
    </row>
    <row r="136">
      <c r="A136" s="34" t="n">
        <v>45923</v>
      </c>
      <c r="B136" s="16" t="inlineStr">
        <is>
          <t>NY-KW-2508-019</t>
        </is>
      </c>
      <c r="C136" s="16" t="inlineStr">
        <is>
          <t>南宁江南分仓</t>
        </is>
      </c>
      <c r="D136" s="35" t="n">
        <v>8652.9</v>
      </c>
      <c r="E136" s="35" t="n">
        <v>0</v>
      </c>
      <c r="F136" s="35" t="n">
        <v>3054.6</v>
      </c>
      <c r="G136" s="35" t="n">
        <v>66.5</v>
      </c>
      <c r="H136" s="35" t="n">
        <v>5531.799999999999</v>
      </c>
      <c r="I136" s="16" t="n">
        <v>3</v>
      </c>
      <c r="J136" s="16" t="inlineStr">
        <is>
          <t>暂存区</t>
        </is>
      </c>
      <c r="K136" s="16" t="inlineStr">
        <is>
          <t>仓间调拨</t>
        </is>
      </c>
      <c r="L136" s="16" t="n">
        <v>0</v>
      </c>
    </row>
    <row r="137">
      <c r="A137" s="34" t="n">
        <v>45924</v>
      </c>
      <c r="B137" s="16" t="inlineStr">
        <is>
          <t>NY-KW-2508-019</t>
        </is>
      </c>
      <c r="C137" s="16" t="inlineStr">
        <is>
          <t>深圳龙岗前置仓</t>
        </is>
      </c>
      <c r="D137" s="35" t="n">
        <v>5531.799999999999</v>
      </c>
      <c r="E137" s="35" t="n">
        <v>0</v>
      </c>
      <c r="F137" s="35" t="n">
        <v>2210.1</v>
      </c>
      <c r="G137" s="35" t="n">
        <v>37.9</v>
      </c>
      <c r="H137" s="35" t="n">
        <v>3283.799999999999</v>
      </c>
      <c r="I137" s="16" t="n">
        <v>4</v>
      </c>
      <c r="J137" s="16" t="inlineStr">
        <is>
          <t>暂存区</t>
        </is>
      </c>
      <c r="K137" s="16" t="inlineStr">
        <is>
          <t>仓间调拨</t>
        </is>
      </c>
      <c r="L137" s="16" t="n">
        <v>0</v>
      </c>
    </row>
    <row r="138">
      <c r="A138" s="34" t="n">
        <v>45925</v>
      </c>
      <c r="B138" s="16" t="inlineStr">
        <is>
          <t>NY-KW-2508-019</t>
        </is>
      </c>
      <c r="C138" s="16" t="inlineStr">
        <is>
          <t>广州黄埔仓</t>
        </is>
      </c>
      <c r="D138" s="35" t="n">
        <v>3283.799999999999</v>
      </c>
      <c r="E138" s="35" t="n">
        <v>0</v>
      </c>
      <c r="F138" s="35" t="n">
        <v>1770.2</v>
      </c>
      <c r="G138" s="35" t="n">
        <v>24.9</v>
      </c>
      <c r="H138" s="35" t="n">
        <v>1488.699999999999</v>
      </c>
      <c r="I138" s="16" t="n">
        <v>5</v>
      </c>
      <c r="J138" s="16" t="inlineStr">
        <is>
          <t>前置仓</t>
        </is>
      </c>
      <c r="K138" s="16" t="inlineStr">
        <is>
          <t>门店补货</t>
        </is>
      </c>
      <c r="L138" s="16" t="n">
        <v>0</v>
      </c>
    </row>
    <row r="139">
      <c r="A139" s="34" t="n">
        <v>45926</v>
      </c>
      <c r="B139" s="16" t="inlineStr">
        <is>
          <t>NY-KW-2508-019</t>
        </is>
      </c>
      <c r="C139" s="16" t="inlineStr">
        <is>
          <t>广州黄埔仓</t>
        </is>
      </c>
      <c r="D139" s="35" t="n">
        <v>1488.699999999999</v>
      </c>
      <c r="E139" s="35" t="n">
        <v>0</v>
      </c>
      <c r="F139" s="35" t="n">
        <v>1474.3</v>
      </c>
      <c r="G139" s="35" t="n">
        <v>14.4</v>
      </c>
      <c r="H139" s="35" t="n">
        <v>0</v>
      </c>
      <c r="I139" s="16" t="n">
        <v>6</v>
      </c>
      <c r="J139" s="16" t="inlineStr">
        <is>
          <t>前置仓</t>
        </is>
      </c>
      <c r="K139" s="16" t="inlineStr">
        <is>
          <t>门店补货</t>
        </is>
      </c>
      <c r="L139" s="16" t="n">
        <v>0</v>
      </c>
    </row>
    <row r="140">
      <c r="A140" s="34" t="n">
        <v>45927</v>
      </c>
      <c r="B140" s="16" t="inlineStr">
        <is>
          <t>NY-KW-2508-019</t>
        </is>
      </c>
      <c r="C140" s="16" t="inlineStr">
        <is>
          <t>南宁江南分仓</t>
        </is>
      </c>
      <c r="D140" s="35" t="n">
        <v>0</v>
      </c>
      <c r="E140" s="35" t="n">
        <v>0</v>
      </c>
      <c r="F140" s="35" t="n">
        <v>0</v>
      </c>
      <c r="G140" s="35" t="n">
        <v>0</v>
      </c>
      <c r="H140" s="35" t="n">
        <v>0</v>
      </c>
      <c r="I140" s="16" t="n">
        <v>7</v>
      </c>
      <c r="J140" s="16" t="inlineStr">
        <is>
          <t>暂存区</t>
        </is>
      </c>
      <c r="K140" s="16" t="inlineStr">
        <is>
          <t>未分配</t>
        </is>
      </c>
      <c r="L140" s="16" t="n">
        <v>0</v>
      </c>
    </row>
    <row r="141">
      <c r="A141" s="34" t="n">
        <v>45928</v>
      </c>
      <c r="B141" s="16" t="inlineStr">
        <is>
          <t>NY-KW-2508-019</t>
        </is>
      </c>
      <c r="C141" s="16" t="inlineStr">
        <is>
          <t>广州黄埔仓</t>
        </is>
      </c>
      <c r="D141" s="35" t="n">
        <v>0</v>
      </c>
      <c r="E141" s="35" t="n">
        <v>0</v>
      </c>
      <c r="F141" s="35" t="n">
        <v>0</v>
      </c>
      <c r="G141" s="35" t="n">
        <v>0</v>
      </c>
      <c r="H141" s="35" t="n">
        <v>0</v>
      </c>
      <c r="I141" s="16" t="n">
        <v>8</v>
      </c>
      <c r="J141" s="16" t="inlineStr">
        <is>
          <t>暂存区</t>
        </is>
      </c>
      <c r="K141" s="16" t="inlineStr">
        <is>
          <t>仓间调拨</t>
        </is>
      </c>
      <c r="L141" s="16" t="n">
        <v>1</v>
      </c>
    </row>
    <row r="142">
      <c r="A142" s="34" t="n">
        <v>45918</v>
      </c>
      <c r="B142" s="16" t="inlineStr">
        <is>
          <t>NY-KW-2508-020</t>
        </is>
      </c>
      <c r="C142" s="16" t="inlineStr">
        <is>
          <t>深圳龙岗前置仓</t>
        </is>
      </c>
      <c r="D142" s="35" t="n">
        <v>0</v>
      </c>
      <c r="E142" s="35" t="n">
        <v>19500</v>
      </c>
      <c r="F142" s="35" t="n">
        <v>3940.2</v>
      </c>
      <c r="G142" s="35" t="n">
        <v>109.5</v>
      </c>
      <c r="H142" s="35" t="n">
        <v>15450.3</v>
      </c>
      <c r="I142" s="16" t="n">
        <v>0</v>
      </c>
      <c r="J142" s="16" t="inlineStr">
        <is>
          <t>冷藏库</t>
        </is>
      </c>
      <c r="K142" s="16" t="inlineStr">
        <is>
          <t>门店补货</t>
        </is>
      </c>
      <c r="L142" s="16" t="n">
        <v>0</v>
      </c>
    </row>
    <row r="143">
      <c r="A143" s="34" t="n">
        <v>45919</v>
      </c>
      <c r="B143" s="16" t="inlineStr">
        <is>
          <t>NY-KW-2508-020</t>
        </is>
      </c>
      <c r="C143" s="16" t="inlineStr">
        <is>
          <t>南宁江南分仓</t>
        </is>
      </c>
      <c r="D143" s="35" t="n">
        <v>15450.3</v>
      </c>
      <c r="E143" s="35" t="n">
        <v>0</v>
      </c>
      <c r="F143" s="35" t="n">
        <v>4619.6</v>
      </c>
      <c r="G143" s="35" t="n">
        <v>36.6</v>
      </c>
      <c r="H143" s="35" t="n">
        <v>10794.1</v>
      </c>
      <c r="I143" s="16" t="n">
        <v>1</v>
      </c>
      <c r="J143" s="16" t="inlineStr">
        <is>
          <t>前置仓</t>
        </is>
      </c>
      <c r="K143" s="16" t="inlineStr">
        <is>
          <t>批发出库</t>
        </is>
      </c>
      <c r="L143" s="16" t="n">
        <v>0</v>
      </c>
    </row>
    <row r="144">
      <c r="A144" s="34" t="n">
        <v>45920</v>
      </c>
      <c r="B144" s="16" t="inlineStr">
        <is>
          <t>NY-KW-2508-020</t>
        </is>
      </c>
      <c r="C144" s="16" t="inlineStr">
        <is>
          <t>南宁江南分仓</t>
        </is>
      </c>
      <c r="D144" s="35" t="n">
        <v>10794.1</v>
      </c>
      <c r="E144" s="35" t="n">
        <v>0</v>
      </c>
      <c r="F144" s="35" t="n">
        <v>4892.7</v>
      </c>
      <c r="G144" s="35" t="n">
        <v>13.6</v>
      </c>
      <c r="H144" s="35" t="n">
        <v>5887.799999999998</v>
      </c>
      <c r="I144" s="16" t="n">
        <v>2</v>
      </c>
      <c r="J144" s="16" t="inlineStr">
        <is>
          <t>前置仓</t>
        </is>
      </c>
      <c r="K144" s="16" t="inlineStr">
        <is>
          <t>门店补货</t>
        </is>
      </c>
      <c r="L144" s="16" t="n">
        <v>0</v>
      </c>
    </row>
    <row r="145">
      <c r="A145" s="34" t="n">
        <v>45921</v>
      </c>
      <c r="B145" s="16" t="inlineStr">
        <is>
          <t>NY-KW-2508-020</t>
        </is>
      </c>
      <c r="C145" s="16" t="inlineStr">
        <is>
          <t>广州黄埔仓</t>
        </is>
      </c>
      <c r="D145" s="35" t="n">
        <v>5887.799999999998</v>
      </c>
      <c r="E145" s="35" t="n">
        <v>0</v>
      </c>
      <c r="F145" s="35" t="n">
        <v>3459.3</v>
      </c>
      <c r="G145" s="35" t="n">
        <v>79.8</v>
      </c>
      <c r="H145" s="35" t="n">
        <v>2348.699999999998</v>
      </c>
      <c r="I145" s="16" t="n">
        <v>3</v>
      </c>
      <c r="J145" s="16" t="inlineStr">
        <is>
          <t>冷藏库</t>
        </is>
      </c>
      <c r="K145" s="16" t="inlineStr">
        <is>
          <t>电商发货</t>
        </is>
      </c>
      <c r="L145" s="16" t="n">
        <v>0</v>
      </c>
    </row>
    <row r="146">
      <c r="A146" s="34" t="n">
        <v>45922</v>
      </c>
      <c r="B146" s="16" t="inlineStr">
        <is>
          <t>NY-KW-2508-020</t>
        </is>
      </c>
      <c r="C146" s="16" t="inlineStr">
        <is>
          <t>广州黄埔仓</t>
        </is>
      </c>
      <c r="D146" s="35" t="n">
        <v>2348.699999999998</v>
      </c>
      <c r="E146" s="35" t="n">
        <v>0</v>
      </c>
      <c r="F146" s="35" t="n">
        <v>2346.1</v>
      </c>
      <c r="G146" s="35" t="n">
        <v>2.6</v>
      </c>
      <c r="H146" s="35" t="n">
        <v>0</v>
      </c>
      <c r="I146" s="16" t="n">
        <v>4</v>
      </c>
      <c r="J146" s="16" t="inlineStr">
        <is>
          <t>暂存区</t>
        </is>
      </c>
      <c r="K146" s="16" t="inlineStr">
        <is>
          <t>电商发货</t>
        </is>
      </c>
      <c r="L146" s="16" t="n">
        <v>0</v>
      </c>
    </row>
    <row r="147">
      <c r="A147" s="34" t="n">
        <v>45923</v>
      </c>
      <c r="B147" s="16" t="inlineStr">
        <is>
          <t>NY-KW-2508-020</t>
        </is>
      </c>
      <c r="C147" s="16" t="inlineStr">
        <is>
          <t>深圳龙岗前置仓</t>
        </is>
      </c>
      <c r="D147" s="35" t="n">
        <v>0</v>
      </c>
      <c r="E147" s="35" t="n">
        <v>0</v>
      </c>
      <c r="F147" s="35" t="n">
        <v>0</v>
      </c>
      <c r="G147" s="35" t="n">
        <v>0</v>
      </c>
      <c r="H147" s="35" t="n">
        <v>0</v>
      </c>
      <c r="I147" s="16" t="n">
        <v>5</v>
      </c>
      <c r="J147" s="16" t="inlineStr">
        <is>
          <t>暂存区</t>
        </is>
      </c>
      <c r="K147" s="16" t="inlineStr">
        <is>
          <t>电商发货</t>
        </is>
      </c>
      <c r="L147" s="16" t="n">
        <v>1</v>
      </c>
    </row>
    <row r="148">
      <c r="A148" s="34" t="n">
        <v>45897</v>
      </c>
      <c r="B148" s="16" t="inlineStr">
        <is>
          <t>NY-KW-2508-021</t>
        </is>
      </c>
      <c r="C148" s="16" t="inlineStr">
        <is>
          <t>南宁江南分仓</t>
        </is>
      </c>
      <c r="D148" s="35" t="n">
        <v>0</v>
      </c>
      <c r="E148" s="35" t="n">
        <v>14800</v>
      </c>
      <c r="F148" s="35" t="n">
        <v>3156.7</v>
      </c>
      <c r="G148" s="35" t="n">
        <v>192.8</v>
      </c>
      <c r="H148" s="35" t="n">
        <v>11450.5</v>
      </c>
      <c r="I148" s="16" t="n">
        <v>0</v>
      </c>
      <c r="J148" s="16" t="inlineStr">
        <is>
          <t>前置仓</t>
        </is>
      </c>
      <c r="K148" s="16" t="inlineStr">
        <is>
          <t>未分配</t>
        </is>
      </c>
      <c r="L148" s="16" t="n">
        <v>0</v>
      </c>
    </row>
    <row r="149">
      <c r="A149" s="34" t="n">
        <v>45898</v>
      </c>
      <c r="B149" s="16" t="inlineStr">
        <is>
          <t>NY-KW-2508-021</t>
        </is>
      </c>
      <c r="C149" s="16" t="inlineStr">
        <is>
          <t>深圳龙岗前置仓</t>
        </is>
      </c>
      <c r="D149" s="35" t="n">
        <v>11450.5</v>
      </c>
      <c r="E149" s="35" t="n">
        <v>0</v>
      </c>
      <c r="F149" s="35" t="n">
        <v>3252.8</v>
      </c>
      <c r="G149" s="35" t="n">
        <v>131.1</v>
      </c>
      <c r="H149" s="35" t="n">
        <v>8066.6</v>
      </c>
      <c r="I149" s="16" t="n">
        <v>1</v>
      </c>
      <c r="J149" s="16" t="inlineStr">
        <is>
          <t>暂存区</t>
        </is>
      </c>
      <c r="K149" s="16" t="inlineStr">
        <is>
          <t>门店补货</t>
        </is>
      </c>
      <c r="L149" s="16" t="n">
        <v>0</v>
      </c>
    </row>
    <row r="150">
      <c r="A150" s="34" t="n">
        <v>45899</v>
      </c>
      <c r="B150" s="16" t="inlineStr">
        <is>
          <t>NY-KW-2508-021</t>
        </is>
      </c>
      <c r="C150" s="16" t="inlineStr">
        <is>
          <t>南宁江南分仓</t>
        </is>
      </c>
      <c r="D150" s="35" t="n">
        <v>8066.6</v>
      </c>
      <c r="E150" s="35" t="n">
        <v>0</v>
      </c>
      <c r="F150" s="35" t="n">
        <v>3342.9</v>
      </c>
      <c r="G150" s="35" t="n">
        <v>83.3</v>
      </c>
      <c r="H150" s="35" t="n">
        <v>4640.400000000001</v>
      </c>
      <c r="I150" s="16" t="n">
        <v>2</v>
      </c>
      <c r="J150" s="16" t="inlineStr">
        <is>
          <t>冷藏库</t>
        </is>
      </c>
      <c r="K150" s="16" t="inlineStr">
        <is>
          <t>未分配</t>
        </is>
      </c>
      <c r="L150" s="16" t="n">
        <v>0</v>
      </c>
    </row>
    <row r="151">
      <c r="A151" s="34" t="n">
        <v>45900</v>
      </c>
      <c r="B151" s="16" t="inlineStr">
        <is>
          <t>NY-KW-2508-021</t>
        </is>
      </c>
      <c r="C151" s="16" t="inlineStr">
        <is>
          <t>广州黄埔仓</t>
        </is>
      </c>
      <c r="D151" s="35" t="n">
        <v>4640.400000000001</v>
      </c>
      <c r="E151" s="35" t="n">
        <v>0</v>
      </c>
      <c r="F151" s="35" t="n">
        <v>3595.1</v>
      </c>
      <c r="G151" s="35" t="n">
        <v>46.5</v>
      </c>
      <c r="H151" s="35" t="n">
        <v>998.8000000000006</v>
      </c>
      <c r="I151" s="16" t="n">
        <v>3</v>
      </c>
      <c r="J151" s="16" t="inlineStr">
        <is>
          <t>冷藏库</t>
        </is>
      </c>
      <c r="K151" s="16" t="inlineStr">
        <is>
          <t>门店补货</t>
        </is>
      </c>
      <c r="L151" s="16" t="n">
        <v>0</v>
      </c>
    </row>
    <row r="152">
      <c r="A152" s="34" t="n">
        <v>45901</v>
      </c>
      <c r="B152" s="16" t="inlineStr">
        <is>
          <t>NY-KW-2508-021</t>
        </is>
      </c>
      <c r="C152" s="16" t="inlineStr">
        <is>
          <t>深圳龙岗前置仓</t>
        </is>
      </c>
      <c r="D152" s="35" t="n">
        <v>998.8000000000006</v>
      </c>
      <c r="E152" s="35" t="n">
        <v>0</v>
      </c>
      <c r="F152" s="35" t="n">
        <v>988.2</v>
      </c>
      <c r="G152" s="35" t="n">
        <v>10.6</v>
      </c>
      <c r="H152" s="35" t="n">
        <v>0</v>
      </c>
      <c r="I152" s="16" t="n">
        <v>4</v>
      </c>
      <c r="J152" s="16" t="inlineStr">
        <is>
          <t>前置仓</t>
        </is>
      </c>
      <c r="K152" s="16" t="inlineStr">
        <is>
          <t>电商发货</t>
        </is>
      </c>
      <c r="L152" s="16" t="n">
        <v>0</v>
      </c>
    </row>
    <row r="153">
      <c r="A153" s="34" t="n">
        <v>45902</v>
      </c>
      <c r="B153" s="16" t="inlineStr">
        <is>
          <t>NY-KW-2508-021</t>
        </is>
      </c>
      <c r="C153" s="16" t="inlineStr">
        <is>
          <t>深圳龙岗前置仓</t>
        </is>
      </c>
      <c r="D153" s="35" t="n">
        <v>0</v>
      </c>
      <c r="E153" s="35" t="n">
        <v>0</v>
      </c>
      <c r="F153" s="35" t="n">
        <v>0</v>
      </c>
      <c r="G153" s="35" t="n">
        <v>0</v>
      </c>
      <c r="H153" s="35" t="n">
        <v>0</v>
      </c>
      <c r="I153" s="16" t="n">
        <v>5</v>
      </c>
      <c r="J153" s="16" t="inlineStr">
        <is>
          <t>暂存区</t>
        </is>
      </c>
      <c r="K153" s="16" t="inlineStr">
        <is>
          <t>门店补货</t>
        </is>
      </c>
      <c r="L153" s="16" t="n">
        <v>0</v>
      </c>
    </row>
    <row r="154">
      <c r="A154" s="34" t="n">
        <v>45903</v>
      </c>
      <c r="B154" s="16" t="inlineStr">
        <is>
          <t>NY-KW-2508-021</t>
        </is>
      </c>
      <c r="C154" s="16" t="inlineStr">
        <is>
          <t>南宁江南分仓</t>
        </is>
      </c>
      <c r="D154" s="35" t="n">
        <v>0</v>
      </c>
      <c r="E154" s="35" t="n">
        <v>0</v>
      </c>
      <c r="F154" s="35" t="n">
        <v>0</v>
      </c>
      <c r="G154" s="35" t="n">
        <v>0</v>
      </c>
      <c r="H154" s="35" t="n">
        <v>0</v>
      </c>
      <c r="I154" s="16" t="n">
        <v>6</v>
      </c>
      <c r="J154" s="16" t="inlineStr">
        <is>
          <t>暂存区</t>
        </is>
      </c>
      <c r="K154" s="16" t="inlineStr">
        <is>
          <t>门店补货</t>
        </is>
      </c>
      <c r="L154" s="16" t="n">
        <v>0</v>
      </c>
    </row>
    <row r="155">
      <c r="A155" s="34" t="n">
        <v>45904</v>
      </c>
      <c r="B155" s="16" t="inlineStr">
        <is>
          <t>NY-KW-2508-021</t>
        </is>
      </c>
      <c r="C155" s="16" t="inlineStr">
        <is>
          <t>深圳龙岗前置仓</t>
        </is>
      </c>
      <c r="D155" s="35" t="n">
        <v>0</v>
      </c>
      <c r="E155" s="35" t="n">
        <v>0</v>
      </c>
      <c r="F155" s="35" t="n">
        <v>0</v>
      </c>
      <c r="G155" s="35" t="n">
        <v>0</v>
      </c>
      <c r="H155" s="35" t="n">
        <v>0</v>
      </c>
      <c r="I155" s="16" t="n">
        <v>7</v>
      </c>
      <c r="J155" s="16" t="inlineStr">
        <is>
          <t>暂存区</t>
        </is>
      </c>
      <c r="K155" s="16" t="inlineStr">
        <is>
          <t>电商发货</t>
        </is>
      </c>
      <c r="L155" s="16" t="n">
        <v>1</v>
      </c>
    </row>
    <row r="156">
      <c r="A156" s="34" t="n">
        <v>45908</v>
      </c>
      <c r="B156" s="16" t="inlineStr">
        <is>
          <t>NY-KW-2508-022</t>
        </is>
      </c>
      <c r="C156" s="16" t="inlineStr">
        <is>
          <t>南宁江南分仓</t>
        </is>
      </c>
      <c r="D156" s="35" t="n">
        <v>0</v>
      </c>
      <c r="E156" s="35" t="n">
        <v>14000</v>
      </c>
      <c r="F156" s="35" t="n">
        <v>2479</v>
      </c>
      <c r="G156" s="35" t="n">
        <v>89.40000000000001</v>
      </c>
      <c r="H156" s="35" t="n">
        <v>11431.6</v>
      </c>
      <c r="I156" s="16" t="n">
        <v>0</v>
      </c>
      <c r="J156" s="16" t="inlineStr">
        <is>
          <t>暂存区</t>
        </is>
      </c>
      <c r="K156" s="16" t="inlineStr">
        <is>
          <t>批发出库</t>
        </is>
      </c>
      <c r="L156" s="16" t="n">
        <v>0</v>
      </c>
    </row>
    <row r="157">
      <c r="A157" s="34" t="n">
        <v>45909</v>
      </c>
      <c r="B157" s="16" t="inlineStr">
        <is>
          <t>NY-KW-2508-022</t>
        </is>
      </c>
      <c r="C157" s="16" t="inlineStr">
        <is>
          <t>广州黄埔仓</t>
        </is>
      </c>
      <c r="D157" s="35" t="n">
        <v>11431.6</v>
      </c>
      <c r="E157" s="35" t="n">
        <v>0</v>
      </c>
      <c r="F157" s="35" t="n">
        <v>1674.7</v>
      </c>
      <c r="G157" s="35" t="n">
        <v>142.1</v>
      </c>
      <c r="H157" s="35" t="n">
        <v>9614.799999999999</v>
      </c>
      <c r="I157" s="16" t="n">
        <v>1</v>
      </c>
      <c r="J157" s="16" t="inlineStr">
        <is>
          <t>暂存区</t>
        </is>
      </c>
      <c r="K157" s="16" t="inlineStr">
        <is>
          <t>仓间调拨</t>
        </is>
      </c>
      <c r="L157" s="16" t="n">
        <v>0</v>
      </c>
    </row>
    <row r="158">
      <c r="A158" s="34" t="n">
        <v>45910</v>
      </c>
      <c r="B158" s="16" t="inlineStr">
        <is>
          <t>NY-KW-2508-022</t>
        </is>
      </c>
      <c r="C158" s="16" t="inlineStr">
        <is>
          <t>广州黄埔仓</t>
        </is>
      </c>
      <c r="D158" s="35" t="n">
        <v>9614.799999999999</v>
      </c>
      <c r="E158" s="35" t="n">
        <v>0</v>
      </c>
      <c r="F158" s="35" t="n">
        <v>2276.1</v>
      </c>
      <c r="G158" s="35" t="n">
        <v>97.59999999999999</v>
      </c>
      <c r="H158" s="35" t="n">
        <v>7241.099999999999</v>
      </c>
      <c r="I158" s="16" t="n">
        <v>2</v>
      </c>
      <c r="J158" s="16" t="inlineStr">
        <is>
          <t>暂存区</t>
        </is>
      </c>
      <c r="K158" s="16" t="inlineStr">
        <is>
          <t>门店补货</t>
        </is>
      </c>
      <c r="L158" s="16" t="n">
        <v>0</v>
      </c>
    </row>
    <row r="159">
      <c r="A159" s="34" t="n">
        <v>45911</v>
      </c>
      <c r="B159" s="16" t="inlineStr">
        <is>
          <t>NY-KW-2508-022</t>
        </is>
      </c>
      <c r="C159" s="16" t="inlineStr">
        <is>
          <t>南宁江南分仓</t>
        </is>
      </c>
      <c r="D159" s="35" t="n">
        <v>7241.099999999999</v>
      </c>
      <c r="E159" s="35" t="n">
        <v>0</v>
      </c>
      <c r="F159" s="35" t="n">
        <v>1995.5</v>
      </c>
      <c r="G159" s="35" t="n">
        <v>49.5</v>
      </c>
      <c r="H159" s="35" t="n">
        <v>5196.099999999999</v>
      </c>
      <c r="I159" s="16" t="n">
        <v>3</v>
      </c>
      <c r="J159" s="16" t="inlineStr">
        <is>
          <t>前置仓</t>
        </is>
      </c>
      <c r="K159" s="16" t="inlineStr">
        <is>
          <t>仓间调拨</t>
        </is>
      </c>
      <c r="L159" s="16" t="n">
        <v>0</v>
      </c>
    </row>
    <row r="160">
      <c r="A160" s="34" t="n">
        <v>45912</v>
      </c>
      <c r="B160" s="16" t="inlineStr">
        <is>
          <t>NY-KW-2508-022</t>
        </is>
      </c>
      <c r="C160" s="16" t="inlineStr">
        <is>
          <t>深圳龙岗前置仓</t>
        </is>
      </c>
      <c r="D160" s="35" t="n">
        <v>5196.099999999999</v>
      </c>
      <c r="E160" s="35" t="n">
        <v>0</v>
      </c>
      <c r="F160" s="35" t="n">
        <v>2350.8</v>
      </c>
      <c r="G160" s="35" t="n">
        <v>63.8</v>
      </c>
      <c r="H160" s="35" t="n">
        <v>2781.499999999998</v>
      </c>
      <c r="I160" s="16" t="n">
        <v>4</v>
      </c>
      <c r="J160" s="16" t="inlineStr">
        <is>
          <t>冷藏库</t>
        </is>
      </c>
      <c r="K160" s="16" t="inlineStr">
        <is>
          <t>未分配</t>
        </is>
      </c>
      <c r="L160" s="16" t="n">
        <v>1</v>
      </c>
    </row>
    <row r="161">
      <c r="A161" s="34" t="n">
        <v>45911</v>
      </c>
      <c r="B161" s="16" t="inlineStr">
        <is>
          <t>NY-KW-2508-023</t>
        </is>
      </c>
      <c r="C161" s="16" t="inlineStr">
        <is>
          <t>深圳龙岗前置仓</t>
        </is>
      </c>
      <c r="D161" s="35" t="n">
        <v>0</v>
      </c>
      <c r="E161" s="35" t="n">
        <v>17700</v>
      </c>
      <c r="F161" s="35" t="n">
        <v>4216.7</v>
      </c>
      <c r="G161" s="35" t="n">
        <v>137.3</v>
      </c>
      <c r="H161" s="35" t="n">
        <v>13346</v>
      </c>
      <c r="I161" s="16" t="n">
        <v>0</v>
      </c>
      <c r="J161" s="16" t="inlineStr">
        <is>
          <t>暂存区</t>
        </is>
      </c>
      <c r="K161" s="16" t="inlineStr">
        <is>
          <t>门店补货</t>
        </is>
      </c>
      <c r="L161" s="16" t="n">
        <v>0</v>
      </c>
    </row>
    <row r="162">
      <c r="A162" s="34" t="n">
        <v>45912</v>
      </c>
      <c r="B162" s="16" t="inlineStr">
        <is>
          <t>NY-KW-2508-023</t>
        </is>
      </c>
      <c r="C162" s="16" t="inlineStr">
        <is>
          <t>南宁江南分仓</t>
        </is>
      </c>
      <c r="D162" s="35" t="n">
        <v>13346</v>
      </c>
      <c r="E162" s="35" t="n">
        <v>0</v>
      </c>
      <c r="F162" s="35" t="n">
        <v>4589.3</v>
      </c>
      <c r="G162" s="35" t="n">
        <v>127.3</v>
      </c>
      <c r="H162" s="35" t="n">
        <v>8629.400000000001</v>
      </c>
      <c r="I162" s="16" t="n">
        <v>1</v>
      </c>
      <c r="J162" s="16" t="inlineStr">
        <is>
          <t>冷藏库</t>
        </is>
      </c>
      <c r="K162" s="16" t="inlineStr">
        <is>
          <t>仓间调拨</t>
        </is>
      </c>
      <c r="L162" s="16" t="n">
        <v>0</v>
      </c>
    </row>
    <row r="163">
      <c r="A163" s="34" t="n">
        <v>45913</v>
      </c>
      <c r="B163" s="16" t="inlineStr">
        <is>
          <t>NY-KW-2508-023</t>
        </is>
      </c>
      <c r="C163" s="16" t="inlineStr">
        <is>
          <t>深圳龙岗前置仓</t>
        </is>
      </c>
      <c r="D163" s="35" t="n">
        <v>8629.400000000001</v>
      </c>
      <c r="E163" s="35" t="n">
        <v>0</v>
      </c>
      <c r="F163" s="35" t="n">
        <v>2529.6</v>
      </c>
      <c r="G163" s="35" t="n">
        <v>45.1</v>
      </c>
      <c r="H163" s="35" t="n">
        <v>6054.700000000001</v>
      </c>
      <c r="I163" s="16" t="n">
        <v>2</v>
      </c>
      <c r="J163" s="16" t="inlineStr">
        <is>
          <t>前置仓</t>
        </is>
      </c>
      <c r="K163" s="16" t="inlineStr">
        <is>
          <t>门店补货</t>
        </is>
      </c>
      <c r="L163" s="16" t="n">
        <v>0</v>
      </c>
    </row>
    <row r="164">
      <c r="A164" s="34" t="n">
        <v>45914</v>
      </c>
      <c r="B164" s="16" t="inlineStr">
        <is>
          <t>NY-KW-2508-023</t>
        </is>
      </c>
      <c r="C164" s="16" t="inlineStr">
        <is>
          <t>南宁江南分仓</t>
        </is>
      </c>
      <c r="D164" s="35" t="n">
        <v>6054.700000000001</v>
      </c>
      <c r="E164" s="35" t="n">
        <v>0</v>
      </c>
      <c r="F164" s="35" t="n">
        <v>3522.3</v>
      </c>
      <c r="G164" s="35" t="n">
        <v>77.09999999999999</v>
      </c>
      <c r="H164" s="35" t="n">
        <v>2455.300000000001</v>
      </c>
      <c r="I164" s="16" t="n">
        <v>3</v>
      </c>
      <c r="J164" s="16" t="inlineStr">
        <is>
          <t>暂存区</t>
        </is>
      </c>
      <c r="K164" s="16" t="inlineStr">
        <is>
          <t>门店补货</t>
        </is>
      </c>
      <c r="L164" s="16" t="n">
        <v>0</v>
      </c>
    </row>
    <row r="165">
      <c r="A165" s="34" t="n">
        <v>45915</v>
      </c>
      <c r="B165" s="16" t="inlineStr">
        <is>
          <t>NY-KW-2508-023</t>
        </is>
      </c>
      <c r="C165" s="16" t="inlineStr">
        <is>
          <t>深圳龙岗前置仓</t>
        </is>
      </c>
      <c r="D165" s="35" t="n">
        <v>2455.300000000001</v>
      </c>
      <c r="E165" s="35" t="n">
        <v>0</v>
      </c>
      <c r="F165" s="35" t="n">
        <v>2434.8</v>
      </c>
      <c r="G165" s="35" t="n">
        <v>20.5</v>
      </c>
      <c r="H165" s="35" t="n">
        <v>0</v>
      </c>
      <c r="I165" s="16" t="n">
        <v>4</v>
      </c>
      <c r="J165" s="16" t="inlineStr">
        <is>
          <t>前置仓</t>
        </is>
      </c>
      <c r="K165" s="16" t="inlineStr">
        <is>
          <t>门店补货</t>
        </is>
      </c>
      <c r="L165" s="16" t="n">
        <v>0</v>
      </c>
    </row>
    <row r="166">
      <c r="A166" s="34" t="n">
        <v>45916</v>
      </c>
      <c r="B166" s="16" t="inlineStr">
        <is>
          <t>NY-KW-2508-023</t>
        </is>
      </c>
      <c r="C166" s="16" t="inlineStr">
        <is>
          <t>南宁江南分仓</t>
        </is>
      </c>
      <c r="D166" s="35" t="n">
        <v>0</v>
      </c>
      <c r="E166" s="35" t="n">
        <v>0</v>
      </c>
      <c r="F166" s="35" t="n">
        <v>0</v>
      </c>
      <c r="G166" s="35" t="n">
        <v>0</v>
      </c>
      <c r="H166" s="35" t="n">
        <v>0</v>
      </c>
      <c r="I166" s="16" t="n">
        <v>5</v>
      </c>
      <c r="J166" s="16" t="inlineStr">
        <is>
          <t>冷藏库</t>
        </is>
      </c>
      <c r="K166" s="16" t="inlineStr">
        <is>
          <t>门店补货</t>
        </is>
      </c>
      <c r="L166" s="16" t="n">
        <v>0</v>
      </c>
    </row>
    <row r="167">
      <c r="A167" s="34" t="n">
        <v>45917</v>
      </c>
      <c r="B167" s="16" t="inlineStr">
        <is>
          <t>NY-KW-2508-023</t>
        </is>
      </c>
      <c r="C167" s="16" t="inlineStr">
        <is>
          <t>广州黄埔仓</t>
        </is>
      </c>
      <c r="D167" s="35" t="n">
        <v>0</v>
      </c>
      <c r="E167" s="35" t="n">
        <v>0</v>
      </c>
      <c r="F167" s="35" t="n">
        <v>0</v>
      </c>
      <c r="G167" s="35" t="n">
        <v>0</v>
      </c>
      <c r="H167" s="35" t="n">
        <v>0</v>
      </c>
      <c r="I167" s="16" t="n">
        <v>6</v>
      </c>
      <c r="J167" s="16" t="inlineStr">
        <is>
          <t>暂存区</t>
        </is>
      </c>
      <c r="K167" s="16" t="inlineStr">
        <is>
          <t>门店补货</t>
        </is>
      </c>
      <c r="L167" s="16" t="n">
        <v>0</v>
      </c>
    </row>
    <row r="168">
      <c r="A168" s="34" t="n">
        <v>45918</v>
      </c>
      <c r="B168" s="16" t="inlineStr">
        <is>
          <t>NY-KW-2508-023</t>
        </is>
      </c>
      <c r="C168" s="16" t="inlineStr">
        <is>
          <t>广州黄埔仓</t>
        </is>
      </c>
      <c r="D168" s="35" t="n">
        <v>0</v>
      </c>
      <c r="E168" s="35" t="n">
        <v>0</v>
      </c>
      <c r="F168" s="35" t="n">
        <v>0</v>
      </c>
      <c r="G168" s="35" t="n">
        <v>0</v>
      </c>
      <c r="H168" s="35" t="n">
        <v>0</v>
      </c>
      <c r="I168" s="16" t="n">
        <v>7</v>
      </c>
      <c r="J168" s="16" t="inlineStr">
        <is>
          <t>前置仓</t>
        </is>
      </c>
      <c r="K168" s="16" t="inlineStr">
        <is>
          <t>批发出库</t>
        </is>
      </c>
      <c r="L168" s="16" t="n">
        <v>1</v>
      </c>
    </row>
    <row r="169">
      <c r="A169" s="34" t="n">
        <v>45921</v>
      </c>
      <c r="B169" s="16" t="inlineStr">
        <is>
          <t>NY-KW-2508-024</t>
        </is>
      </c>
      <c r="C169" s="16" t="inlineStr">
        <is>
          <t>广州黄埔仓</t>
        </is>
      </c>
      <c r="D169" s="35" t="n">
        <v>0</v>
      </c>
      <c r="E169" s="35" t="n">
        <v>9000</v>
      </c>
      <c r="F169" s="35" t="n">
        <v>1268.2</v>
      </c>
      <c r="G169" s="35" t="n">
        <v>10.3</v>
      </c>
      <c r="H169" s="35" t="n">
        <v>7721.5</v>
      </c>
      <c r="I169" s="16" t="n">
        <v>0</v>
      </c>
      <c r="J169" s="16" t="inlineStr">
        <is>
          <t>冷藏库</t>
        </is>
      </c>
      <c r="K169" s="16" t="inlineStr">
        <is>
          <t>仓间调拨</t>
        </is>
      </c>
      <c r="L169" s="16" t="n">
        <v>0</v>
      </c>
    </row>
    <row r="170">
      <c r="A170" s="34" t="n">
        <v>45922</v>
      </c>
      <c r="B170" s="16" t="inlineStr">
        <is>
          <t>NY-KW-2508-024</t>
        </is>
      </c>
      <c r="C170" s="16" t="inlineStr">
        <is>
          <t>深圳龙岗前置仓</t>
        </is>
      </c>
      <c r="D170" s="35" t="n">
        <v>7721.5</v>
      </c>
      <c r="E170" s="35" t="n">
        <v>0</v>
      </c>
      <c r="F170" s="35" t="n">
        <v>2315.5</v>
      </c>
      <c r="G170" s="35" t="n">
        <v>39.1</v>
      </c>
      <c r="H170" s="35" t="n">
        <v>5366.9</v>
      </c>
      <c r="I170" s="16" t="n">
        <v>1</v>
      </c>
      <c r="J170" s="16" t="inlineStr">
        <is>
          <t>前置仓</t>
        </is>
      </c>
      <c r="K170" s="16" t="inlineStr">
        <is>
          <t>电商发货</t>
        </is>
      </c>
      <c r="L170" s="16" t="n">
        <v>0</v>
      </c>
    </row>
    <row r="171">
      <c r="A171" s="34" t="n">
        <v>45923</v>
      </c>
      <c r="B171" s="16" t="inlineStr">
        <is>
          <t>NY-KW-2508-024</t>
        </is>
      </c>
      <c r="C171" s="16" t="inlineStr">
        <is>
          <t>深圳龙岗前置仓</t>
        </is>
      </c>
      <c r="D171" s="35" t="n">
        <v>5366.9</v>
      </c>
      <c r="E171" s="35" t="n">
        <v>0</v>
      </c>
      <c r="F171" s="35" t="n">
        <v>1901.6</v>
      </c>
      <c r="G171" s="35" t="n">
        <v>54.4</v>
      </c>
      <c r="H171" s="35" t="n">
        <v>3410.9</v>
      </c>
      <c r="I171" s="16" t="n">
        <v>2</v>
      </c>
      <c r="J171" s="16" t="inlineStr">
        <is>
          <t>冷藏库</t>
        </is>
      </c>
      <c r="K171" s="16" t="inlineStr">
        <is>
          <t>电商发货</t>
        </is>
      </c>
      <c r="L171" s="16" t="n">
        <v>0</v>
      </c>
    </row>
    <row r="172">
      <c r="A172" s="34" t="n">
        <v>45924</v>
      </c>
      <c r="B172" s="16" t="inlineStr">
        <is>
          <t>NY-KW-2508-024</t>
        </is>
      </c>
      <c r="C172" s="16" t="inlineStr">
        <is>
          <t>广州黄埔仓</t>
        </is>
      </c>
      <c r="D172" s="35" t="n">
        <v>3410.9</v>
      </c>
      <c r="E172" s="35" t="n">
        <v>0</v>
      </c>
      <c r="F172" s="35" t="n">
        <v>1058.8</v>
      </c>
      <c r="G172" s="35" t="n">
        <v>34.8</v>
      </c>
      <c r="H172" s="35" t="n">
        <v>2317.299999999999</v>
      </c>
      <c r="I172" s="16" t="n">
        <v>3</v>
      </c>
      <c r="J172" s="16" t="inlineStr">
        <is>
          <t>冷藏库</t>
        </is>
      </c>
      <c r="K172" s="16" t="inlineStr">
        <is>
          <t>门店补货</t>
        </is>
      </c>
      <c r="L172" s="16" t="n">
        <v>0</v>
      </c>
    </row>
    <row r="173">
      <c r="A173" s="34" t="n">
        <v>45925</v>
      </c>
      <c r="B173" s="16" t="inlineStr">
        <is>
          <t>NY-KW-2508-024</t>
        </is>
      </c>
      <c r="C173" s="16" t="inlineStr">
        <is>
          <t>广州黄埔仓</t>
        </is>
      </c>
      <c r="D173" s="35" t="n">
        <v>2317.299999999999</v>
      </c>
      <c r="E173" s="35" t="n">
        <v>0</v>
      </c>
      <c r="F173" s="35" t="n">
        <v>1040.5</v>
      </c>
      <c r="G173" s="35" t="n">
        <v>22.9</v>
      </c>
      <c r="H173" s="35" t="n">
        <v>1253.899999999999</v>
      </c>
      <c r="I173" s="16" t="n">
        <v>4</v>
      </c>
      <c r="J173" s="16" t="inlineStr">
        <is>
          <t>前置仓</t>
        </is>
      </c>
      <c r="K173" s="16" t="inlineStr">
        <is>
          <t>仓间调拨</t>
        </is>
      </c>
      <c r="L173" s="16" t="n">
        <v>0</v>
      </c>
    </row>
    <row r="174">
      <c r="A174" s="34" t="n">
        <v>45926</v>
      </c>
      <c r="B174" s="16" t="inlineStr">
        <is>
          <t>NY-KW-2508-024</t>
        </is>
      </c>
      <c r="C174" s="16" t="inlineStr">
        <is>
          <t>南宁江南分仓</t>
        </is>
      </c>
      <c r="D174" s="35" t="n">
        <v>1253.899999999999</v>
      </c>
      <c r="E174" s="35" t="n">
        <v>0</v>
      </c>
      <c r="F174" s="35" t="n">
        <v>932.1</v>
      </c>
      <c r="G174" s="35" t="n">
        <v>15.7</v>
      </c>
      <c r="H174" s="35" t="n">
        <v>306.0999999999992</v>
      </c>
      <c r="I174" s="16" t="n">
        <v>5</v>
      </c>
      <c r="J174" s="16" t="inlineStr">
        <is>
          <t>前置仓</t>
        </is>
      </c>
      <c r="K174" s="16" t="inlineStr">
        <is>
          <t>仓间调拨</t>
        </is>
      </c>
      <c r="L174" s="16" t="n">
        <v>0</v>
      </c>
    </row>
    <row r="175">
      <c r="A175" s="34" t="n">
        <v>45927</v>
      </c>
      <c r="B175" s="16" t="inlineStr">
        <is>
          <t>NY-KW-2508-024</t>
        </is>
      </c>
      <c r="C175" s="16" t="inlineStr">
        <is>
          <t>广州黄埔仓</t>
        </is>
      </c>
      <c r="D175" s="35" t="n">
        <v>306.0999999999992</v>
      </c>
      <c r="E175" s="35" t="n">
        <v>0</v>
      </c>
      <c r="F175" s="35" t="n">
        <v>302.2</v>
      </c>
      <c r="G175" s="35" t="n">
        <v>3.9</v>
      </c>
      <c r="H175" s="35" t="n">
        <v>0</v>
      </c>
      <c r="I175" s="16" t="n">
        <v>6</v>
      </c>
      <c r="J175" s="16" t="inlineStr">
        <is>
          <t>暂存区</t>
        </is>
      </c>
      <c r="K175" s="16" t="inlineStr">
        <is>
          <t>门店补货</t>
        </is>
      </c>
      <c r="L175" s="16" t="n">
        <v>0</v>
      </c>
    </row>
    <row r="176">
      <c r="A176" s="34" t="n">
        <v>45928</v>
      </c>
      <c r="B176" s="16" t="inlineStr">
        <is>
          <t>NY-KW-2508-024</t>
        </is>
      </c>
      <c r="C176" s="16" t="inlineStr">
        <is>
          <t>南宁江南分仓</t>
        </is>
      </c>
      <c r="D176" s="35" t="n">
        <v>0</v>
      </c>
      <c r="E176" s="35" t="n">
        <v>0</v>
      </c>
      <c r="F176" s="35" t="n">
        <v>0</v>
      </c>
      <c r="G176" s="35" t="n">
        <v>0</v>
      </c>
      <c r="H176" s="35" t="n">
        <v>0</v>
      </c>
      <c r="I176" s="16" t="n">
        <v>7</v>
      </c>
      <c r="J176" s="16" t="inlineStr">
        <is>
          <t>前置仓</t>
        </is>
      </c>
      <c r="K176" s="16" t="inlineStr">
        <is>
          <t>批发出库</t>
        </is>
      </c>
      <c r="L176" s="16" t="n">
        <v>1</v>
      </c>
    </row>
    <row r="177">
      <c r="A177" s="34" t="n">
        <v>45946</v>
      </c>
      <c r="B177" s="16" t="inlineStr">
        <is>
          <t>NY-KW-2508-025</t>
        </is>
      </c>
      <c r="C177" s="16" t="inlineStr">
        <is>
          <t>深圳龙岗前置仓</t>
        </is>
      </c>
      <c r="D177" s="35" t="n">
        <v>0</v>
      </c>
      <c r="E177" s="35" t="n">
        <v>16300</v>
      </c>
      <c r="F177" s="35" t="n">
        <v>3094</v>
      </c>
      <c r="G177" s="35" t="n">
        <v>216.4</v>
      </c>
      <c r="H177" s="35" t="n">
        <v>12989.6</v>
      </c>
      <c r="I177" s="16" t="n">
        <v>0</v>
      </c>
      <c r="J177" s="16" t="inlineStr">
        <is>
          <t>前置仓</t>
        </is>
      </c>
      <c r="K177" s="16" t="inlineStr">
        <is>
          <t>未分配</t>
        </is>
      </c>
      <c r="L177" s="16" t="n">
        <v>0</v>
      </c>
    </row>
    <row r="178">
      <c r="A178" s="34" t="n">
        <v>45947</v>
      </c>
      <c r="B178" s="16" t="inlineStr">
        <is>
          <t>NY-KW-2508-025</t>
        </is>
      </c>
      <c r="C178" s="16" t="inlineStr">
        <is>
          <t>深圳龙岗前置仓</t>
        </is>
      </c>
      <c r="D178" s="35" t="n">
        <v>12989.6</v>
      </c>
      <c r="E178" s="35" t="n">
        <v>0</v>
      </c>
      <c r="F178" s="35" t="n">
        <v>2501.4</v>
      </c>
      <c r="G178" s="35" t="n">
        <v>101.4</v>
      </c>
      <c r="H178" s="35" t="n">
        <v>10386.8</v>
      </c>
      <c r="I178" s="16" t="n">
        <v>1</v>
      </c>
      <c r="J178" s="16" t="inlineStr">
        <is>
          <t>冷藏库</t>
        </is>
      </c>
      <c r="K178" s="16" t="inlineStr">
        <is>
          <t>电商发货</t>
        </is>
      </c>
      <c r="L178" s="16" t="n">
        <v>0</v>
      </c>
    </row>
    <row r="179">
      <c r="A179" s="34" t="n">
        <v>45948</v>
      </c>
      <c r="B179" s="16" t="inlineStr">
        <is>
          <t>NY-KW-2508-025</t>
        </is>
      </c>
      <c r="C179" s="16" t="inlineStr">
        <is>
          <t>深圳龙岗前置仓</t>
        </is>
      </c>
      <c r="D179" s="35" t="n">
        <v>10386.8</v>
      </c>
      <c r="E179" s="35" t="n">
        <v>0</v>
      </c>
      <c r="F179" s="35" t="n">
        <v>3462.4</v>
      </c>
      <c r="G179" s="35" t="n">
        <v>21.5</v>
      </c>
      <c r="H179" s="35" t="n">
        <v>6902.900000000001</v>
      </c>
      <c r="I179" s="16" t="n">
        <v>2</v>
      </c>
      <c r="J179" s="16" t="inlineStr">
        <is>
          <t>前置仓</t>
        </is>
      </c>
      <c r="K179" s="16" t="inlineStr">
        <is>
          <t>批发出库</t>
        </is>
      </c>
      <c r="L179" s="16" t="n">
        <v>0</v>
      </c>
    </row>
    <row r="180">
      <c r="A180" s="34" t="n">
        <v>45949</v>
      </c>
      <c r="B180" s="16" t="inlineStr">
        <is>
          <t>NY-KW-2508-025</t>
        </is>
      </c>
      <c r="C180" s="16" t="inlineStr">
        <is>
          <t>南宁江南分仓</t>
        </is>
      </c>
      <c r="D180" s="35" t="n">
        <v>6902.900000000001</v>
      </c>
      <c r="E180" s="35" t="n">
        <v>0</v>
      </c>
      <c r="F180" s="35" t="n">
        <v>2656.9</v>
      </c>
      <c r="G180" s="35" t="n">
        <v>62.5</v>
      </c>
      <c r="H180" s="35" t="n">
        <v>4183.500000000002</v>
      </c>
      <c r="I180" s="16" t="n">
        <v>3</v>
      </c>
      <c r="J180" s="16" t="inlineStr">
        <is>
          <t>前置仓</t>
        </is>
      </c>
      <c r="K180" s="16" t="inlineStr">
        <is>
          <t>批发出库</t>
        </is>
      </c>
      <c r="L180" s="16" t="n">
        <v>0</v>
      </c>
    </row>
    <row r="181">
      <c r="A181" s="34" t="n">
        <v>45950</v>
      </c>
      <c r="B181" s="16" t="inlineStr">
        <is>
          <t>NY-KW-2508-025</t>
        </is>
      </c>
      <c r="C181" s="16" t="inlineStr">
        <is>
          <t>南宁江南分仓</t>
        </is>
      </c>
      <c r="D181" s="35" t="n">
        <v>4183.500000000002</v>
      </c>
      <c r="E181" s="35" t="n">
        <v>0</v>
      </c>
      <c r="F181" s="35" t="n">
        <v>2292.8</v>
      </c>
      <c r="G181" s="35" t="n">
        <v>44.2</v>
      </c>
      <c r="H181" s="35" t="n">
        <v>1846.500000000002</v>
      </c>
      <c r="I181" s="16" t="n">
        <v>4</v>
      </c>
      <c r="J181" s="16" t="inlineStr">
        <is>
          <t>暂存区</t>
        </is>
      </c>
      <c r="K181" s="16" t="inlineStr">
        <is>
          <t>未分配</t>
        </is>
      </c>
      <c r="L181" s="16" t="n">
        <v>0</v>
      </c>
    </row>
    <row r="182">
      <c r="A182" s="34" t="n">
        <v>45951</v>
      </c>
      <c r="B182" s="16" t="inlineStr">
        <is>
          <t>NY-KW-2508-025</t>
        </is>
      </c>
      <c r="C182" s="16" t="inlineStr">
        <is>
          <t>广州黄埔仓</t>
        </is>
      </c>
      <c r="D182" s="35" t="n">
        <v>1846.500000000002</v>
      </c>
      <c r="E182" s="35" t="n">
        <v>0</v>
      </c>
      <c r="F182" s="35" t="n">
        <v>1826.1</v>
      </c>
      <c r="G182" s="35" t="n">
        <v>20.4</v>
      </c>
      <c r="H182" s="35" t="n">
        <v>0</v>
      </c>
      <c r="I182" s="16" t="n">
        <v>5</v>
      </c>
      <c r="J182" s="16" t="inlineStr">
        <is>
          <t>暂存区</t>
        </is>
      </c>
      <c r="K182" s="16" t="inlineStr">
        <is>
          <t>门店补货</t>
        </is>
      </c>
      <c r="L182" s="16" t="n">
        <v>0</v>
      </c>
    </row>
    <row r="183">
      <c r="A183" s="34" t="n">
        <v>45952</v>
      </c>
      <c r="B183" s="16" t="inlineStr">
        <is>
          <t>NY-KW-2508-025</t>
        </is>
      </c>
      <c r="C183" s="16" t="inlineStr">
        <is>
          <t>广州黄埔仓</t>
        </is>
      </c>
      <c r="D183" s="35" t="n">
        <v>0</v>
      </c>
      <c r="E183" s="35" t="n">
        <v>0</v>
      </c>
      <c r="F183" s="35" t="n">
        <v>0</v>
      </c>
      <c r="G183" s="35" t="n">
        <v>0</v>
      </c>
      <c r="H183" s="35" t="n">
        <v>0</v>
      </c>
      <c r="I183" s="16" t="n">
        <v>6</v>
      </c>
      <c r="J183" s="16" t="inlineStr">
        <is>
          <t>前置仓</t>
        </is>
      </c>
      <c r="K183" s="16" t="inlineStr">
        <is>
          <t>门店补货</t>
        </is>
      </c>
      <c r="L183" s="16" t="n">
        <v>0</v>
      </c>
    </row>
    <row r="184">
      <c r="A184" s="34" t="n">
        <v>45953</v>
      </c>
      <c r="B184" s="16" t="inlineStr">
        <is>
          <t>NY-KW-2508-025</t>
        </is>
      </c>
      <c r="C184" s="16" t="inlineStr">
        <is>
          <t>深圳龙岗前置仓</t>
        </is>
      </c>
      <c r="D184" s="35" t="n">
        <v>0</v>
      </c>
      <c r="E184" s="35" t="n">
        <v>0</v>
      </c>
      <c r="F184" s="35" t="n">
        <v>0</v>
      </c>
      <c r="G184" s="35" t="n">
        <v>0</v>
      </c>
      <c r="H184" s="35" t="n">
        <v>0</v>
      </c>
      <c r="I184" s="16" t="n">
        <v>7</v>
      </c>
      <c r="J184" s="16" t="inlineStr">
        <is>
          <t>冷藏库</t>
        </is>
      </c>
      <c r="K184" s="16" t="inlineStr">
        <is>
          <t>批发出库</t>
        </is>
      </c>
      <c r="L184" s="16" t="n">
        <v>0</v>
      </c>
    </row>
    <row r="185">
      <c r="A185" s="34" t="n">
        <v>45954</v>
      </c>
      <c r="B185" s="16" t="inlineStr">
        <is>
          <t>NY-KW-2508-025</t>
        </is>
      </c>
      <c r="C185" s="16" t="inlineStr">
        <is>
          <t>广州黄埔仓</t>
        </is>
      </c>
      <c r="D185" s="35" t="n">
        <v>0</v>
      </c>
      <c r="E185" s="35" t="n">
        <v>0</v>
      </c>
      <c r="F185" s="35" t="n">
        <v>0</v>
      </c>
      <c r="G185" s="35" t="n">
        <v>0</v>
      </c>
      <c r="H185" s="35" t="n">
        <v>0</v>
      </c>
      <c r="I185" s="16" t="n">
        <v>8</v>
      </c>
      <c r="J185" s="16" t="inlineStr">
        <is>
          <t>暂存区</t>
        </is>
      </c>
      <c r="K185" s="16" t="inlineStr">
        <is>
          <t>未分配</t>
        </is>
      </c>
      <c r="L185" s="16" t="n">
        <v>1</v>
      </c>
    </row>
    <row r="186">
      <c r="A186" s="34" t="n">
        <v>45904</v>
      </c>
      <c r="B186" s="16" t="inlineStr">
        <is>
          <t>NY-KW-2508-026</t>
        </is>
      </c>
      <c r="C186" s="16" t="inlineStr">
        <is>
          <t>深圳龙岗前置仓</t>
        </is>
      </c>
      <c r="D186" s="35" t="n">
        <v>0</v>
      </c>
      <c r="E186" s="35" t="n">
        <v>16900</v>
      </c>
      <c r="F186" s="35" t="n">
        <v>2275.3</v>
      </c>
      <c r="G186" s="35" t="n">
        <v>182.9</v>
      </c>
      <c r="H186" s="35" t="n">
        <v>14441.8</v>
      </c>
      <c r="I186" s="16" t="n">
        <v>0</v>
      </c>
      <c r="J186" s="16" t="inlineStr">
        <is>
          <t>暂存区</t>
        </is>
      </c>
      <c r="K186" s="16" t="inlineStr">
        <is>
          <t>电商发货</t>
        </is>
      </c>
      <c r="L186" s="16" t="n">
        <v>0</v>
      </c>
    </row>
    <row r="187">
      <c r="A187" s="34" t="n">
        <v>45905</v>
      </c>
      <c r="B187" s="16" t="inlineStr">
        <is>
          <t>NY-KW-2508-026</t>
        </is>
      </c>
      <c r="C187" s="16" t="inlineStr">
        <is>
          <t>南宁江南分仓</t>
        </is>
      </c>
      <c r="D187" s="35" t="n">
        <v>14441.8</v>
      </c>
      <c r="E187" s="35" t="n">
        <v>0</v>
      </c>
      <c r="F187" s="35" t="n">
        <v>2927.2</v>
      </c>
      <c r="G187" s="35" t="n">
        <v>194.3</v>
      </c>
      <c r="H187" s="35" t="n">
        <v>11320.3</v>
      </c>
      <c r="I187" s="16" t="n">
        <v>1</v>
      </c>
      <c r="J187" s="16" t="inlineStr">
        <is>
          <t>前置仓</t>
        </is>
      </c>
      <c r="K187" s="16" t="inlineStr">
        <is>
          <t>未分配</t>
        </is>
      </c>
      <c r="L187" s="16" t="n">
        <v>0</v>
      </c>
    </row>
    <row r="188">
      <c r="A188" s="34" t="n">
        <v>45906</v>
      </c>
      <c r="B188" s="16" t="inlineStr">
        <is>
          <t>NY-KW-2508-026</t>
        </is>
      </c>
      <c r="C188" s="16" t="inlineStr">
        <is>
          <t>南宁江南分仓</t>
        </is>
      </c>
      <c r="D188" s="35" t="n">
        <v>11320.3</v>
      </c>
      <c r="E188" s="35" t="n">
        <v>0</v>
      </c>
      <c r="F188" s="35" t="n">
        <v>2617.1</v>
      </c>
      <c r="G188" s="35" t="n">
        <v>36</v>
      </c>
      <c r="H188" s="35" t="n">
        <v>8667.200000000003</v>
      </c>
      <c r="I188" s="16" t="n">
        <v>2</v>
      </c>
      <c r="J188" s="16" t="inlineStr">
        <is>
          <t>冷藏库</t>
        </is>
      </c>
      <c r="K188" s="16" t="inlineStr">
        <is>
          <t>批发出库</t>
        </is>
      </c>
      <c r="L188" s="16" t="n">
        <v>0</v>
      </c>
    </row>
    <row r="189">
      <c r="A189" s="34" t="n">
        <v>45907</v>
      </c>
      <c r="B189" s="16" t="inlineStr">
        <is>
          <t>NY-KW-2508-026</t>
        </is>
      </c>
      <c r="C189" s="16" t="inlineStr">
        <is>
          <t>南宁江南分仓</t>
        </is>
      </c>
      <c r="D189" s="35" t="n">
        <v>8667.200000000003</v>
      </c>
      <c r="E189" s="35" t="n">
        <v>0</v>
      </c>
      <c r="F189" s="35" t="n">
        <v>3281.6</v>
      </c>
      <c r="G189" s="35" t="n">
        <v>35.9</v>
      </c>
      <c r="H189" s="35" t="n">
        <v>5349.700000000003</v>
      </c>
      <c r="I189" s="16" t="n">
        <v>3</v>
      </c>
      <c r="J189" s="16" t="inlineStr">
        <is>
          <t>暂存区</t>
        </is>
      </c>
      <c r="K189" s="16" t="inlineStr">
        <is>
          <t>仓间调拨</t>
        </is>
      </c>
      <c r="L189" s="16" t="n">
        <v>0</v>
      </c>
    </row>
    <row r="190">
      <c r="A190" s="34" t="n">
        <v>45908</v>
      </c>
      <c r="B190" s="16" t="inlineStr">
        <is>
          <t>NY-KW-2508-026</t>
        </is>
      </c>
      <c r="C190" s="16" t="inlineStr">
        <is>
          <t>广州黄埔仓</t>
        </is>
      </c>
      <c r="D190" s="35" t="n">
        <v>5349.700000000003</v>
      </c>
      <c r="E190" s="35" t="n">
        <v>0</v>
      </c>
      <c r="F190" s="35" t="n">
        <v>1842.3</v>
      </c>
      <c r="G190" s="35" t="n">
        <v>39.1</v>
      </c>
      <c r="H190" s="35" t="n">
        <v>3468.300000000002</v>
      </c>
      <c r="I190" s="16" t="n">
        <v>4</v>
      </c>
      <c r="J190" s="16" t="inlineStr">
        <is>
          <t>暂存区</t>
        </is>
      </c>
      <c r="K190" s="16" t="inlineStr">
        <is>
          <t>电商发货</t>
        </is>
      </c>
      <c r="L190" s="16" t="n">
        <v>0</v>
      </c>
    </row>
    <row r="191">
      <c r="A191" s="34" t="n">
        <v>45909</v>
      </c>
      <c r="B191" s="16" t="inlineStr">
        <is>
          <t>NY-KW-2508-026</t>
        </is>
      </c>
      <c r="C191" s="16" t="inlineStr">
        <is>
          <t>南宁江南分仓</t>
        </is>
      </c>
      <c r="D191" s="35" t="n">
        <v>3468.300000000002</v>
      </c>
      <c r="E191" s="35" t="n">
        <v>0</v>
      </c>
      <c r="F191" s="35" t="n">
        <v>2712.6</v>
      </c>
      <c r="G191" s="35" t="n">
        <v>19</v>
      </c>
      <c r="H191" s="35" t="n">
        <v>736.7000000000025</v>
      </c>
      <c r="I191" s="16" t="n">
        <v>5</v>
      </c>
      <c r="J191" s="16" t="inlineStr">
        <is>
          <t>前置仓</t>
        </is>
      </c>
      <c r="K191" s="16" t="inlineStr">
        <is>
          <t>仓间调拨</t>
        </is>
      </c>
      <c r="L191" s="16" t="n">
        <v>0</v>
      </c>
    </row>
    <row r="192">
      <c r="A192" s="34" t="n">
        <v>45910</v>
      </c>
      <c r="B192" s="16" t="inlineStr">
        <is>
          <t>NY-KW-2508-026</t>
        </is>
      </c>
      <c r="C192" s="16" t="inlineStr">
        <is>
          <t>广州黄埔仓</t>
        </is>
      </c>
      <c r="D192" s="35" t="n">
        <v>736.7000000000025</v>
      </c>
      <c r="E192" s="35" t="n">
        <v>0</v>
      </c>
      <c r="F192" s="35" t="n">
        <v>735.4</v>
      </c>
      <c r="G192" s="35" t="n">
        <v>1.3</v>
      </c>
      <c r="H192" s="35" t="n">
        <v>0</v>
      </c>
      <c r="I192" s="16" t="n">
        <v>6</v>
      </c>
      <c r="J192" s="16" t="inlineStr">
        <is>
          <t>暂存区</t>
        </is>
      </c>
      <c r="K192" s="16" t="inlineStr">
        <is>
          <t>未分配</t>
        </is>
      </c>
      <c r="L192" s="16" t="n">
        <v>1</v>
      </c>
    </row>
    <row r="193">
      <c r="A193" s="34" t="n">
        <v>45906</v>
      </c>
      <c r="B193" s="16" t="inlineStr">
        <is>
          <t>NY-KW-2508-027</t>
        </is>
      </c>
      <c r="C193" s="16" t="inlineStr">
        <is>
          <t>深圳龙岗前置仓</t>
        </is>
      </c>
      <c r="D193" s="35" t="n">
        <v>0</v>
      </c>
      <c r="E193" s="35" t="n">
        <v>20200</v>
      </c>
      <c r="F193" s="35" t="n">
        <v>2091</v>
      </c>
      <c r="G193" s="35" t="n">
        <v>247.5</v>
      </c>
      <c r="H193" s="35" t="n">
        <v>17861.5</v>
      </c>
      <c r="I193" s="16" t="n">
        <v>0</v>
      </c>
      <c r="J193" s="16" t="inlineStr">
        <is>
          <t>冷藏库</t>
        </is>
      </c>
      <c r="K193" s="16" t="inlineStr">
        <is>
          <t>仓间调拨</t>
        </is>
      </c>
      <c r="L193" s="16" t="n">
        <v>0</v>
      </c>
    </row>
    <row r="194">
      <c r="A194" s="34" t="n">
        <v>45907</v>
      </c>
      <c r="B194" s="16" t="inlineStr">
        <is>
          <t>NY-KW-2508-027</t>
        </is>
      </c>
      <c r="C194" s="16" t="inlineStr">
        <is>
          <t>广州黄埔仓</t>
        </is>
      </c>
      <c r="D194" s="35" t="n">
        <v>17861.5</v>
      </c>
      <c r="E194" s="35" t="n">
        <v>0</v>
      </c>
      <c r="F194" s="35" t="n">
        <v>3495.1</v>
      </c>
      <c r="G194" s="35" t="n">
        <v>171.2</v>
      </c>
      <c r="H194" s="35" t="n">
        <v>14195.2</v>
      </c>
      <c r="I194" s="16" t="n">
        <v>1</v>
      </c>
      <c r="J194" s="16" t="inlineStr">
        <is>
          <t>暂存区</t>
        </is>
      </c>
      <c r="K194" s="16" t="inlineStr">
        <is>
          <t>未分配</t>
        </is>
      </c>
      <c r="L194" s="16" t="n">
        <v>0</v>
      </c>
    </row>
    <row r="195">
      <c r="A195" s="34" t="n">
        <v>45908</v>
      </c>
      <c r="B195" s="16" t="inlineStr">
        <is>
          <t>NY-KW-2508-027</t>
        </is>
      </c>
      <c r="C195" s="16" t="inlineStr">
        <is>
          <t>广州黄埔仓</t>
        </is>
      </c>
      <c r="D195" s="35" t="n">
        <v>14195.2</v>
      </c>
      <c r="E195" s="35" t="n">
        <v>0</v>
      </c>
      <c r="F195" s="35" t="n">
        <v>4522</v>
      </c>
      <c r="G195" s="35" t="n">
        <v>109.6</v>
      </c>
      <c r="H195" s="35" t="n">
        <v>9563.599999999999</v>
      </c>
      <c r="I195" s="16" t="n">
        <v>2</v>
      </c>
      <c r="J195" s="16" t="inlineStr">
        <is>
          <t>前置仓</t>
        </is>
      </c>
      <c r="K195" s="16" t="inlineStr">
        <is>
          <t>电商发货</t>
        </is>
      </c>
      <c r="L195" s="16" t="n">
        <v>0</v>
      </c>
    </row>
    <row r="196">
      <c r="A196" s="34" t="n">
        <v>45909</v>
      </c>
      <c r="B196" s="16" t="inlineStr">
        <is>
          <t>NY-KW-2508-027</t>
        </is>
      </c>
      <c r="C196" s="16" t="inlineStr">
        <is>
          <t>广州黄埔仓</t>
        </is>
      </c>
      <c r="D196" s="35" t="n">
        <v>9563.599999999999</v>
      </c>
      <c r="E196" s="35" t="n">
        <v>0</v>
      </c>
      <c r="F196" s="35" t="n">
        <v>3322.4</v>
      </c>
      <c r="G196" s="35" t="n">
        <v>123.1</v>
      </c>
      <c r="H196" s="35" t="n">
        <v>6118.099999999999</v>
      </c>
      <c r="I196" s="16" t="n">
        <v>3</v>
      </c>
      <c r="J196" s="16" t="inlineStr">
        <is>
          <t>前置仓</t>
        </is>
      </c>
      <c r="K196" s="16" t="inlineStr">
        <is>
          <t>批发出库</t>
        </is>
      </c>
      <c r="L196" s="16" t="n">
        <v>0</v>
      </c>
    </row>
    <row r="197">
      <c r="A197" s="34" t="n">
        <v>45910</v>
      </c>
      <c r="B197" s="16" t="inlineStr">
        <is>
          <t>NY-KW-2508-027</t>
        </is>
      </c>
      <c r="C197" s="16" t="inlineStr">
        <is>
          <t>广州黄埔仓</t>
        </is>
      </c>
      <c r="D197" s="35" t="n">
        <v>6118.099999999999</v>
      </c>
      <c r="E197" s="35" t="n">
        <v>0</v>
      </c>
      <c r="F197" s="35" t="n">
        <v>3181.4</v>
      </c>
      <c r="G197" s="35" t="n">
        <v>49.7</v>
      </c>
      <c r="H197" s="35" t="n">
        <v>2886.999999999999</v>
      </c>
      <c r="I197" s="16" t="n">
        <v>4</v>
      </c>
      <c r="J197" s="16" t="inlineStr">
        <is>
          <t>前置仓</t>
        </is>
      </c>
      <c r="K197" s="16" t="inlineStr">
        <is>
          <t>电商发货</t>
        </is>
      </c>
      <c r="L197" s="16" t="n">
        <v>0</v>
      </c>
    </row>
    <row r="198">
      <c r="A198" s="34" t="n">
        <v>45911</v>
      </c>
      <c r="B198" s="16" t="inlineStr">
        <is>
          <t>NY-KW-2508-027</t>
        </is>
      </c>
      <c r="C198" s="16" t="inlineStr">
        <is>
          <t>南宁江南分仓</t>
        </is>
      </c>
      <c r="D198" s="35" t="n">
        <v>2886.999999999999</v>
      </c>
      <c r="E198" s="35" t="n">
        <v>0</v>
      </c>
      <c r="F198" s="35" t="n">
        <v>2178.4</v>
      </c>
      <c r="G198" s="35" t="n">
        <v>29.4</v>
      </c>
      <c r="H198" s="35" t="n">
        <v>679.1999999999986</v>
      </c>
      <c r="I198" s="16" t="n">
        <v>5</v>
      </c>
      <c r="J198" s="16" t="inlineStr">
        <is>
          <t>冷藏库</t>
        </is>
      </c>
      <c r="K198" s="16" t="inlineStr">
        <is>
          <t>仓间调拨</t>
        </is>
      </c>
      <c r="L198" s="16" t="n">
        <v>0</v>
      </c>
    </row>
    <row r="199">
      <c r="A199" s="34" t="n">
        <v>45912</v>
      </c>
      <c r="B199" s="16" t="inlineStr">
        <is>
          <t>NY-KW-2508-027</t>
        </is>
      </c>
      <c r="C199" s="16" t="inlineStr">
        <is>
          <t>广州黄埔仓</t>
        </is>
      </c>
      <c r="D199" s="35" t="n">
        <v>679.1999999999986</v>
      </c>
      <c r="E199" s="35" t="n">
        <v>0</v>
      </c>
      <c r="F199" s="35" t="n">
        <v>670.2</v>
      </c>
      <c r="G199" s="35" t="n">
        <v>9</v>
      </c>
      <c r="H199" s="35" t="n">
        <v>0</v>
      </c>
      <c r="I199" s="16" t="n">
        <v>6</v>
      </c>
      <c r="J199" s="16" t="inlineStr">
        <is>
          <t>暂存区</t>
        </is>
      </c>
      <c r="K199" s="16" t="inlineStr">
        <is>
          <t>批发出库</t>
        </is>
      </c>
      <c r="L199" s="16" t="n">
        <v>1</v>
      </c>
    </row>
    <row r="200">
      <c r="A200" s="34" t="n">
        <v>45926</v>
      </c>
      <c r="B200" s="16" t="inlineStr">
        <is>
          <t>NY-KW-2508-028</t>
        </is>
      </c>
      <c r="C200" s="16" t="inlineStr">
        <is>
          <t>深圳龙岗前置仓</t>
        </is>
      </c>
      <c r="D200" s="35" t="n">
        <v>0</v>
      </c>
      <c r="E200" s="35" t="n">
        <v>16600</v>
      </c>
      <c r="F200" s="35" t="n">
        <v>2675.6</v>
      </c>
      <c r="G200" s="35" t="n">
        <v>226.1</v>
      </c>
      <c r="H200" s="35" t="n">
        <v>13698.3</v>
      </c>
      <c r="I200" s="16" t="n">
        <v>0</v>
      </c>
      <c r="J200" s="16" t="inlineStr">
        <is>
          <t>冷藏库</t>
        </is>
      </c>
      <c r="K200" s="16" t="inlineStr">
        <is>
          <t>仓间调拨</t>
        </is>
      </c>
      <c r="L200" s="16" t="n">
        <v>0</v>
      </c>
    </row>
    <row r="201">
      <c r="A201" s="34" t="n">
        <v>45927</v>
      </c>
      <c r="B201" s="16" t="inlineStr">
        <is>
          <t>NY-KW-2508-028</t>
        </is>
      </c>
      <c r="C201" s="16" t="inlineStr">
        <is>
          <t>深圳龙岗前置仓</t>
        </is>
      </c>
      <c r="D201" s="35" t="n">
        <v>13698.3</v>
      </c>
      <c r="E201" s="35" t="n">
        <v>0</v>
      </c>
      <c r="F201" s="35" t="n">
        <v>3557.5</v>
      </c>
      <c r="G201" s="35" t="n">
        <v>91.90000000000001</v>
      </c>
      <c r="H201" s="35" t="n">
        <v>10048.9</v>
      </c>
      <c r="I201" s="16" t="n">
        <v>1</v>
      </c>
      <c r="J201" s="16" t="inlineStr">
        <is>
          <t>暂存区</t>
        </is>
      </c>
      <c r="K201" s="16" t="inlineStr">
        <is>
          <t>未分配</t>
        </is>
      </c>
      <c r="L201" s="16" t="n">
        <v>0</v>
      </c>
    </row>
    <row r="202">
      <c r="A202" s="34" t="n">
        <v>45928</v>
      </c>
      <c r="B202" s="16" t="inlineStr">
        <is>
          <t>NY-KW-2508-028</t>
        </is>
      </c>
      <c r="C202" s="16" t="inlineStr">
        <is>
          <t>广州黄埔仓</t>
        </is>
      </c>
      <c r="D202" s="35" t="n">
        <v>10048.9</v>
      </c>
      <c r="E202" s="35" t="n">
        <v>0</v>
      </c>
      <c r="F202" s="35" t="n">
        <v>4097</v>
      </c>
      <c r="G202" s="35" t="n">
        <v>108.4</v>
      </c>
      <c r="H202" s="35" t="n">
        <v>5843.5</v>
      </c>
      <c r="I202" s="16" t="n">
        <v>2</v>
      </c>
      <c r="J202" s="16" t="inlineStr">
        <is>
          <t>前置仓</t>
        </is>
      </c>
      <c r="K202" s="16" t="inlineStr">
        <is>
          <t>未分配</t>
        </is>
      </c>
      <c r="L202" s="16" t="n">
        <v>0</v>
      </c>
    </row>
    <row r="203">
      <c r="A203" s="34" t="n">
        <v>45929</v>
      </c>
      <c r="B203" s="16" t="inlineStr">
        <is>
          <t>NY-KW-2508-028</t>
        </is>
      </c>
      <c r="C203" s="16" t="inlineStr">
        <is>
          <t>南宁江南分仓</t>
        </is>
      </c>
      <c r="D203" s="35" t="n">
        <v>5843.5</v>
      </c>
      <c r="E203" s="35" t="n">
        <v>0</v>
      </c>
      <c r="F203" s="35" t="n">
        <v>1963</v>
      </c>
      <c r="G203" s="35" t="n">
        <v>68.09999999999999</v>
      </c>
      <c r="H203" s="35" t="n">
        <v>3812.4</v>
      </c>
      <c r="I203" s="16" t="n">
        <v>3</v>
      </c>
      <c r="J203" s="16" t="inlineStr">
        <is>
          <t>暂存区</t>
        </is>
      </c>
      <c r="K203" s="16" t="inlineStr">
        <is>
          <t>批发出库</t>
        </is>
      </c>
      <c r="L203" s="16" t="n">
        <v>0</v>
      </c>
    </row>
    <row r="204">
      <c r="A204" s="34" t="n">
        <v>45930</v>
      </c>
      <c r="B204" s="16" t="inlineStr">
        <is>
          <t>NY-KW-2508-028</t>
        </is>
      </c>
      <c r="C204" s="16" t="inlineStr">
        <is>
          <t>南宁江南分仓</t>
        </is>
      </c>
      <c r="D204" s="35" t="n">
        <v>3812.4</v>
      </c>
      <c r="E204" s="35" t="n">
        <v>0</v>
      </c>
      <c r="F204" s="35" t="n">
        <v>3791.6</v>
      </c>
      <c r="G204" s="35" t="n">
        <v>20.8</v>
      </c>
      <c r="H204" s="35" t="n">
        <v>0</v>
      </c>
      <c r="I204" s="16" t="n">
        <v>4</v>
      </c>
      <c r="J204" s="16" t="inlineStr">
        <is>
          <t>前置仓</t>
        </is>
      </c>
      <c r="K204" s="16" t="inlineStr">
        <is>
          <t>电商发货</t>
        </is>
      </c>
      <c r="L204" s="16" t="n">
        <v>0</v>
      </c>
    </row>
    <row r="205">
      <c r="A205" s="34" t="n">
        <v>45931</v>
      </c>
      <c r="B205" s="16" t="inlineStr">
        <is>
          <t>NY-KW-2508-028</t>
        </is>
      </c>
      <c r="C205" s="16" t="inlineStr">
        <is>
          <t>南宁江南分仓</t>
        </is>
      </c>
      <c r="D205" s="35" t="n">
        <v>0</v>
      </c>
      <c r="E205" s="35" t="n">
        <v>0</v>
      </c>
      <c r="F205" s="35" t="n">
        <v>0</v>
      </c>
      <c r="G205" s="35" t="n">
        <v>0</v>
      </c>
      <c r="H205" s="35" t="n">
        <v>0</v>
      </c>
      <c r="I205" s="16" t="n">
        <v>5</v>
      </c>
      <c r="J205" s="16" t="inlineStr">
        <is>
          <t>前置仓</t>
        </is>
      </c>
      <c r="K205" s="16" t="inlineStr">
        <is>
          <t>电商发货</t>
        </is>
      </c>
      <c r="L205" s="16" t="n">
        <v>0</v>
      </c>
    </row>
    <row r="206">
      <c r="A206" s="34" t="n">
        <v>45932</v>
      </c>
      <c r="B206" s="16" t="inlineStr">
        <is>
          <t>NY-KW-2508-028</t>
        </is>
      </c>
      <c r="C206" s="16" t="inlineStr">
        <is>
          <t>深圳龙岗前置仓</t>
        </is>
      </c>
      <c r="D206" s="35" t="n">
        <v>0</v>
      </c>
      <c r="E206" s="35" t="n">
        <v>0</v>
      </c>
      <c r="F206" s="35" t="n">
        <v>0</v>
      </c>
      <c r="G206" s="35" t="n">
        <v>0</v>
      </c>
      <c r="H206" s="35" t="n">
        <v>0</v>
      </c>
      <c r="I206" s="16" t="n">
        <v>6</v>
      </c>
      <c r="J206" s="16" t="inlineStr">
        <is>
          <t>前置仓</t>
        </is>
      </c>
      <c r="K206" s="16" t="inlineStr">
        <is>
          <t>未分配</t>
        </is>
      </c>
      <c r="L206" s="16" t="n">
        <v>0</v>
      </c>
    </row>
    <row r="207">
      <c r="A207" s="34" t="n">
        <v>45933</v>
      </c>
      <c r="B207" s="16" t="inlineStr">
        <is>
          <t>NY-KW-2508-028</t>
        </is>
      </c>
      <c r="C207" s="16" t="inlineStr">
        <is>
          <t>南宁江南分仓</t>
        </is>
      </c>
      <c r="D207" s="35" t="n">
        <v>0</v>
      </c>
      <c r="E207" s="35" t="n">
        <v>0</v>
      </c>
      <c r="F207" s="35" t="n">
        <v>0</v>
      </c>
      <c r="G207" s="35" t="n">
        <v>0</v>
      </c>
      <c r="H207" s="35" t="n">
        <v>0</v>
      </c>
      <c r="I207" s="16" t="n">
        <v>7</v>
      </c>
      <c r="J207" s="16" t="inlineStr">
        <is>
          <t>前置仓</t>
        </is>
      </c>
      <c r="K207" s="16" t="inlineStr">
        <is>
          <t>未分配</t>
        </is>
      </c>
      <c r="L207" s="16" t="n">
        <v>1</v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5" customWidth="1" min="4" max="4"/>
    <col width="15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24" customWidth="1" min="11" max="11"/>
  </cols>
  <sheetData>
    <row r="1" ht="28" customHeight="1">
      <c r="A1" s="3" t="inlineStr">
        <is>
          <t>报损折价</t>
        </is>
      </c>
    </row>
    <row r="2" ht="32" customHeight="1">
      <c r="A2" s="7" t="inlineStr">
        <is>
          <t>来源：企业经营数据样例/03_报损与折价处理记录.xlsx。保留原始逐笔记录；日期、数量、金额和比例按字段类型呈现。</t>
        </is>
      </c>
    </row>
    <row r="4" ht="30" customHeight="1">
      <c r="A4" s="13" t="inlineStr">
        <is>
          <t>单据号</t>
        </is>
      </c>
      <c r="B4" s="13" t="inlineStr">
        <is>
          <t>记录日期</t>
        </is>
      </c>
      <c r="C4" s="13" t="inlineStr">
        <is>
          <t>批次号</t>
        </is>
      </c>
      <c r="D4" s="13" t="inlineStr">
        <is>
          <t>发生环节</t>
        </is>
      </c>
      <c r="E4" s="13" t="inlineStr">
        <is>
          <t>问题类型</t>
        </is>
      </c>
      <c r="F4" s="13" t="inlineStr">
        <is>
          <t>问题数量kg</t>
        </is>
      </c>
      <c r="G4" s="13" t="inlineStr">
        <is>
          <t>报废kg</t>
        </is>
      </c>
      <c r="H4" s="13" t="inlineStr">
        <is>
          <t>折价处理kg</t>
        </is>
      </c>
      <c r="I4" s="13" t="inlineStr">
        <is>
          <t>估计损失元</t>
        </is>
      </c>
      <c r="J4" s="13" t="inlineStr">
        <is>
          <t>是否和成熟相关</t>
        </is>
      </c>
      <c r="K4" s="13" t="inlineStr">
        <is>
          <t>处理备注</t>
        </is>
      </c>
    </row>
    <row r="5">
      <c r="A5" s="16" t="inlineStr">
        <is>
          <t>BS-2508-0001</t>
        </is>
      </c>
      <c r="B5" s="34" t="n">
        <v>45910</v>
      </c>
      <c r="C5" s="16" t="inlineStr">
        <is>
          <t>NY-KW-2508-006</t>
        </is>
      </c>
      <c r="D5" s="16" t="inlineStr">
        <is>
          <t>仓库分拣</t>
        </is>
      </c>
      <c r="E5" s="16" t="inlineStr">
        <is>
          <t>过熟偏软</t>
        </is>
      </c>
      <c r="F5" s="35" t="n">
        <v>356.1</v>
      </c>
      <c r="G5" s="35" t="n">
        <v>202.7</v>
      </c>
      <c r="H5" s="35" t="n">
        <v>153.4</v>
      </c>
      <c r="I5" s="36" t="n">
        <v>1754.51</v>
      </c>
      <c r="J5" s="16" t="inlineStr">
        <is>
          <t>是</t>
        </is>
      </c>
      <c r="K5" s="16" t="inlineStr">
        <is>
          <t>正常记录</t>
        </is>
      </c>
    </row>
    <row r="6">
      <c r="A6" s="16" t="inlineStr">
        <is>
          <t>BS-2508-0002</t>
        </is>
      </c>
      <c r="B6" s="34" t="n">
        <v>45941</v>
      </c>
      <c r="C6" s="16" t="inlineStr">
        <is>
          <t>NY-KW-2508-002</t>
        </is>
      </c>
      <c r="D6" s="16" t="inlineStr">
        <is>
          <t>门店收货</t>
        </is>
      </c>
      <c r="E6" s="16" t="inlineStr">
        <is>
          <t>软烂</t>
        </is>
      </c>
      <c r="F6" s="35" t="n">
        <v>73.09999999999999</v>
      </c>
      <c r="G6" s="35" t="n">
        <v>49.3</v>
      </c>
      <c r="H6" s="35" t="n">
        <v>23.8</v>
      </c>
      <c r="I6" s="36" t="n">
        <v>371.5</v>
      </c>
      <c r="J6" s="16" t="inlineStr">
        <is>
          <t>是</t>
        </is>
      </c>
      <c r="K6" s="16" t="inlineStr">
        <is>
          <t>门店已反馈</t>
        </is>
      </c>
    </row>
    <row r="7">
      <c r="A7" s="16" t="inlineStr">
        <is>
          <t>BS-2508-0003</t>
        </is>
      </c>
      <c r="B7" s="34" t="n">
        <v>45927</v>
      </c>
      <c r="C7" s="16" t="inlineStr">
        <is>
          <t>NY-KW-2508-009</t>
        </is>
      </c>
      <c r="D7" s="16" t="inlineStr">
        <is>
          <t>仓库分拣</t>
        </is>
      </c>
      <c r="E7" s="16" t="inlineStr">
        <is>
          <t>表皮皱缩</t>
        </is>
      </c>
      <c r="F7" s="35" t="n">
        <v>401.2</v>
      </c>
      <c r="G7" s="35" t="n">
        <v>199.7</v>
      </c>
      <c r="H7" s="35" t="n">
        <v>201.5</v>
      </c>
      <c r="I7" s="36" t="n">
        <v>2286.25</v>
      </c>
      <c r="J7" s="16" t="inlineStr">
        <is>
          <t>否</t>
        </is>
      </c>
      <c r="K7" s="16" t="inlineStr">
        <is>
          <t>门店已反馈</t>
        </is>
      </c>
    </row>
    <row r="8">
      <c r="A8" s="16" t="inlineStr">
        <is>
          <t>BS-2508-0004</t>
        </is>
      </c>
      <c r="B8" s="34" t="n">
        <v>45908</v>
      </c>
      <c r="C8" s="16" t="inlineStr">
        <is>
          <t>NY-KW-2508-006</t>
        </is>
      </c>
      <c r="D8" s="16" t="inlineStr">
        <is>
          <t>运输到货</t>
        </is>
      </c>
      <c r="E8" s="16" t="inlineStr">
        <is>
          <t>过熟偏软</t>
        </is>
      </c>
      <c r="F8" s="35" t="n">
        <v>397.8</v>
      </c>
      <c r="G8" s="35" t="n">
        <v>134.9</v>
      </c>
      <c r="H8" s="35" t="n">
        <v>262.9</v>
      </c>
      <c r="I8" s="36" t="n">
        <v>1543.3</v>
      </c>
      <c r="J8" s="16" t="inlineStr">
        <is>
          <t>是</t>
        </is>
      </c>
      <c r="K8" s="16" t="inlineStr">
        <is>
          <t>已和采购沟通</t>
        </is>
      </c>
    </row>
    <row r="9">
      <c r="A9" s="16" t="inlineStr">
        <is>
          <t>BS-2508-0005</t>
        </is>
      </c>
      <c r="B9" s="34" t="n">
        <v>45931</v>
      </c>
      <c r="C9" s="16" t="inlineStr">
        <is>
          <t>NY-KW-2508-007</t>
        </is>
      </c>
      <c r="D9" s="16" t="inlineStr">
        <is>
          <t>仓库分拣</t>
        </is>
      </c>
      <c r="E9" s="16" t="inlineStr">
        <is>
          <t>过熟偏软</t>
        </is>
      </c>
      <c r="F9" s="35" t="n">
        <v>47.2</v>
      </c>
      <c r="G9" s="35" t="n">
        <v>29.7</v>
      </c>
      <c r="H9" s="35" t="n">
        <v>17.5</v>
      </c>
      <c r="I9" s="36" t="n">
        <v>295.37</v>
      </c>
      <c r="J9" s="16" t="inlineStr">
        <is>
          <t>是</t>
        </is>
      </c>
      <c r="K9" s="16" t="inlineStr">
        <is>
          <t>门店已反馈</t>
        </is>
      </c>
    </row>
    <row r="10">
      <c r="A10" s="16" t="inlineStr">
        <is>
          <t>BS-2508-0006</t>
        </is>
      </c>
      <c r="B10" s="34" t="n">
        <v>45942</v>
      </c>
      <c r="C10" s="16" t="inlineStr">
        <is>
          <t>NY-KW-2508-014</t>
        </is>
      </c>
      <c r="D10" s="16" t="inlineStr">
        <is>
          <t>门店收货</t>
        </is>
      </c>
      <c r="E10" s="16" t="inlineStr">
        <is>
          <t>规格不符</t>
        </is>
      </c>
      <c r="F10" s="35" t="n">
        <v>373</v>
      </c>
      <c r="G10" s="35" t="n">
        <v>213.8</v>
      </c>
      <c r="H10" s="35" t="n">
        <v>159.2</v>
      </c>
      <c r="I10" s="36" t="n">
        <v>1560.82</v>
      </c>
      <c r="J10" s="16" t="inlineStr">
        <is>
          <t>否</t>
        </is>
      </c>
      <c r="K10" s="16" t="inlineStr">
        <is>
          <t>门店已反馈</t>
        </is>
      </c>
    </row>
    <row r="11">
      <c r="A11" s="16" t="inlineStr">
        <is>
          <t>BS-2508-0007</t>
        </is>
      </c>
      <c r="B11" s="34" t="n">
        <v>45927</v>
      </c>
      <c r="C11" s="16" t="inlineStr">
        <is>
          <t>NY-KW-2508-020</t>
        </is>
      </c>
      <c r="D11" s="16" t="inlineStr">
        <is>
          <t>门店收货</t>
        </is>
      </c>
      <c r="E11" s="16" t="inlineStr">
        <is>
          <t>过熟偏软</t>
        </is>
      </c>
      <c r="F11" s="35" t="n">
        <v>104.3</v>
      </c>
      <c r="G11" s="35" t="n">
        <v>28.5</v>
      </c>
      <c r="H11" s="35" t="n">
        <v>75.8</v>
      </c>
      <c r="I11" s="36" t="n">
        <v>362.48</v>
      </c>
      <c r="J11" s="16" t="inlineStr">
        <is>
          <t>是</t>
        </is>
      </c>
      <c r="K11" s="16" t="inlineStr">
        <is>
          <t>需复盘</t>
        </is>
      </c>
    </row>
    <row r="12">
      <c r="A12" s="16" t="inlineStr">
        <is>
          <t>BS-2508-0008</t>
        </is>
      </c>
      <c r="B12" s="34" t="n">
        <v>45933</v>
      </c>
      <c r="C12" s="16" t="inlineStr">
        <is>
          <t>NY-KW-2508-005</t>
        </is>
      </c>
      <c r="D12" s="16" t="inlineStr">
        <is>
          <t>客户退货</t>
        </is>
      </c>
      <c r="E12" s="16" t="inlineStr">
        <is>
          <t>软烂</t>
        </is>
      </c>
      <c r="F12" s="35" t="n">
        <v>66.7</v>
      </c>
      <c r="G12" s="35" t="n">
        <v>36.3</v>
      </c>
      <c r="H12" s="35" t="n">
        <v>30.4</v>
      </c>
      <c r="I12" s="36" t="n">
        <v>345.51</v>
      </c>
      <c r="J12" s="16" t="inlineStr">
        <is>
          <t>是</t>
        </is>
      </c>
      <c r="K12" s="16" t="inlineStr">
        <is>
          <t>已和采购沟通</t>
        </is>
      </c>
    </row>
    <row r="13">
      <c r="A13" s="16" t="inlineStr">
        <is>
          <t>BS-2508-0009</t>
        </is>
      </c>
      <c r="B13" s="34" t="n">
        <v>45952</v>
      </c>
      <c r="C13" s="16" t="inlineStr">
        <is>
          <t>NY-KW-2508-015</t>
        </is>
      </c>
      <c r="D13" s="16" t="inlineStr">
        <is>
          <t>门店收货</t>
        </is>
      </c>
      <c r="E13" s="16" t="inlineStr">
        <is>
          <t>碰压伤</t>
        </is>
      </c>
      <c r="F13" s="35" t="n">
        <v>415.5</v>
      </c>
      <c r="G13" s="35" t="n">
        <v>111.4</v>
      </c>
      <c r="H13" s="35" t="n">
        <v>304.1</v>
      </c>
      <c r="I13" s="36" t="n">
        <v>1351.59</v>
      </c>
      <c r="J13" s="16" t="inlineStr">
        <is>
          <t>否</t>
        </is>
      </c>
      <c r="K13" s="16" t="inlineStr">
        <is>
          <t>需复盘</t>
        </is>
      </c>
    </row>
    <row r="14">
      <c r="A14" s="16" t="inlineStr">
        <is>
          <t>BS-2508-0010</t>
        </is>
      </c>
      <c r="B14" s="34" t="n">
        <v>45943</v>
      </c>
      <c r="C14" s="16" t="inlineStr">
        <is>
          <t>NY-KW-2508-002</t>
        </is>
      </c>
      <c r="D14" s="16" t="inlineStr">
        <is>
          <t>客户退货</t>
        </is>
      </c>
      <c r="E14" s="16" t="inlineStr">
        <is>
          <t>过熟偏软</t>
        </is>
      </c>
      <c r="F14" s="35" t="n">
        <v>202.6</v>
      </c>
      <c r="G14" s="35" t="n">
        <v>86.5</v>
      </c>
      <c r="H14" s="35" t="n">
        <v>116.1</v>
      </c>
      <c r="I14" s="36" t="n">
        <v>779.2</v>
      </c>
      <c r="J14" s="16" t="inlineStr">
        <is>
          <t>是</t>
        </is>
      </c>
      <c r="K14" s="16" t="inlineStr">
        <is>
          <t>需复盘</t>
        </is>
      </c>
    </row>
    <row r="15">
      <c r="A15" s="16" t="inlineStr">
        <is>
          <t>BS-2508-0011</t>
        </is>
      </c>
      <c r="B15" s="34" t="n">
        <v>45927</v>
      </c>
      <c r="C15" s="16" t="inlineStr">
        <is>
          <t>NY-KW-2508-024</t>
        </is>
      </c>
      <c r="D15" s="16" t="inlineStr">
        <is>
          <t>客户退货</t>
        </is>
      </c>
      <c r="E15" s="16" t="inlineStr">
        <is>
          <t>规格不符</t>
        </is>
      </c>
      <c r="F15" s="35" t="n">
        <v>109.4</v>
      </c>
      <c r="G15" s="35" t="n">
        <v>38.5</v>
      </c>
      <c r="H15" s="35" t="n">
        <v>70.90000000000001</v>
      </c>
      <c r="I15" s="36" t="n">
        <v>393.84</v>
      </c>
      <c r="J15" s="16" t="inlineStr">
        <is>
          <t>否</t>
        </is>
      </c>
      <c r="K15" s="16" t="inlineStr">
        <is>
          <t>已和采购沟通</t>
        </is>
      </c>
    </row>
    <row r="16">
      <c r="A16" s="16" t="inlineStr">
        <is>
          <t>BS-2508-0012</t>
        </is>
      </c>
      <c r="B16" s="34" t="n">
        <v>45912</v>
      </c>
      <c r="C16" s="16" t="inlineStr">
        <is>
          <t>NY-KW-2508-006</t>
        </is>
      </c>
      <c r="D16" s="16" t="inlineStr">
        <is>
          <t>仓库分拣</t>
        </is>
      </c>
      <c r="E16" s="16" t="inlineStr">
        <is>
          <t>软烂</t>
        </is>
      </c>
      <c r="F16" s="35" t="n">
        <v>190.5</v>
      </c>
      <c r="G16" s="35" t="n">
        <v>90.3</v>
      </c>
      <c r="H16" s="35" t="n">
        <v>100.2</v>
      </c>
      <c r="I16" s="36" t="n">
        <v>853.11</v>
      </c>
      <c r="J16" s="16" t="inlineStr">
        <is>
          <t>是</t>
        </is>
      </c>
      <c r="K16" s="16" t="inlineStr">
        <is>
          <t>已和采购沟通</t>
        </is>
      </c>
    </row>
    <row r="17">
      <c r="A17" s="16" t="inlineStr">
        <is>
          <t>BS-2508-0013</t>
        </is>
      </c>
      <c r="B17" s="34" t="n">
        <v>45909</v>
      </c>
      <c r="C17" s="16" t="inlineStr">
        <is>
          <t>NY-KW-2508-006</t>
        </is>
      </c>
      <c r="D17" s="16" t="inlineStr">
        <is>
          <t>运输到货</t>
        </is>
      </c>
      <c r="E17" s="16" t="inlineStr">
        <is>
          <t>软烂</t>
        </is>
      </c>
      <c r="F17" s="35" t="n">
        <v>203.4</v>
      </c>
      <c r="G17" s="35" t="n">
        <v>86.90000000000001</v>
      </c>
      <c r="H17" s="35" t="n">
        <v>116.5</v>
      </c>
      <c r="I17" s="36" t="n">
        <v>881.86</v>
      </c>
      <c r="J17" s="16" t="inlineStr">
        <is>
          <t>是</t>
        </is>
      </c>
      <c r="K17" s="16" t="inlineStr">
        <is>
          <t>已和采购沟通</t>
        </is>
      </c>
    </row>
    <row r="18">
      <c r="A18" s="16" t="inlineStr">
        <is>
          <t>BS-2508-0014</t>
        </is>
      </c>
      <c r="B18" s="34" t="n">
        <v>45934</v>
      </c>
      <c r="C18" s="16" t="inlineStr">
        <is>
          <t>NY-KW-2508-017</t>
        </is>
      </c>
      <c r="D18" s="16" t="inlineStr">
        <is>
          <t>运输到货</t>
        </is>
      </c>
      <c r="E18" s="16" t="inlineStr">
        <is>
          <t>过熟偏软</t>
        </is>
      </c>
      <c r="F18" s="35" t="n">
        <v>371.1</v>
      </c>
      <c r="G18" s="35" t="n">
        <v>224.3</v>
      </c>
      <c r="H18" s="35" t="n">
        <v>146.8</v>
      </c>
      <c r="I18" s="36" t="n">
        <v>1980.97</v>
      </c>
      <c r="J18" s="16" t="inlineStr">
        <is>
          <t>是</t>
        </is>
      </c>
      <c r="K18" s="16" t="inlineStr">
        <is>
          <t>需复盘</t>
        </is>
      </c>
    </row>
    <row r="19">
      <c r="A19" s="16" t="inlineStr">
        <is>
          <t>BS-2508-0015</t>
        </is>
      </c>
      <c r="B19" s="34" t="n">
        <v>45939</v>
      </c>
      <c r="C19" s="16" t="inlineStr">
        <is>
          <t>NY-KW-2508-004</t>
        </is>
      </c>
      <c r="D19" s="16" t="inlineStr">
        <is>
          <t>门店收货</t>
        </is>
      </c>
      <c r="E19" s="16" t="inlineStr">
        <is>
          <t>霉点</t>
        </is>
      </c>
      <c r="F19" s="35" t="n">
        <v>383.3</v>
      </c>
      <c r="G19" s="35" t="n">
        <v>190.9</v>
      </c>
      <c r="H19" s="35" t="n">
        <v>192.4</v>
      </c>
      <c r="I19" s="36" t="n">
        <v>1586.49</v>
      </c>
      <c r="J19" s="16" t="inlineStr">
        <is>
          <t>否</t>
        </is>
      </c>
      <c r="K19" s="16" t="inlineStr">
        <is>
          <t>正常记录</t>
        </is>
      </c>
    </row>
    <row r="20">
      <c r="A20" s="16" t="inlineStr">
        <is>
          <t>BS-2508-0016</t>
        </is>
      </c>
      <c r="B20" s="34" t="n">
        <v>45944</v>
      </c>
      <c r="C20" s="16" t="inlineStr">
        <is>
          <t>NY-KW-2508-008</t>
        </is>
      </c>
      <c r="D20" s="16" t="inlineStr">
        <is>
          <t>仓库分拣</t>
        </is>
      </c>
      <c r="E20" s="16" t="inlineStr">
        <is>
          <t>过熟偏软</t>
        </is>
      </c>
      <c r="F20" s="35" t="n">
        <v>148.7</v>
      </c>
      <c r="G20" s="35" t="n">
        <v>100.4</v>
      </c>
      <c r="H20" s="35" t="n">
        <v>48.3</v>
      </c>
      <c r="I20" s="36" t="n">
        <v>982.12</v>
      </c>
      <c r="J20" s="16" t="inlineStr">
        <is>
          <t>是</t>
        </is>
      </c>
      <c r="K20" s="16" t="inlineStr">
        <is>
          <t>门店已反馈</t>
        </is>
      </c>
    </row>
    <row r="21">
      <c r="A21" s="16" t="inlineStr">
        <is>
          <t>BS-2508-0017</t>
        </is>
      </c>
      <c r="B21" s="34" t="n">
        <v>45947</v>
      </c>
      <c r="C21" s="16" t="inlineStr">
        <is>
          <t>NY-KW-2508-018</t>
        </is>
      </c>
      <c r="D21" s="16" t="inlineStr">
        <is>
          <t>仓库分拣</t>
        </is>
      </c>
      <c r="E21" s="16" t="inlineStr">
        <is>
          <t>表皮皱缩</t>
        </is>
      </c>
      <c r="F21" s="35" t="n">
        <v>441.2</v>
      </c>
      <c r="G21" s="35" t="n">
        <v>229.1</v>
      </c>
      <c r="H21" s="35" t="n">
        <v>212.1</v>
      </c>
      <c r="I21" s="36" t="n">
        <v>1964.54</v>
      </c>
      <c r="J21" s="16" t="inlineStr">
        <is>
          <t>否</t>
        </is>
      </c>
      <c r="K21" s="16" t="inlineStr">
        <is>
          <t>正常记录</t>
        </is>
      </c>
    </row>
    <row r="22">
      <c r="A22" s="16" t="inlineStr">
        <is>
          <t>BS-2508-0018</t>
        </is>
      </c>
      <c r="B22" s="34" t="n">
        <v>45957</v>
      </c>
      <c r="C22" s="16" t="inlineStr">
        <is>
          <t>NY-KW-2508-010</t>
        </is>
      </c>
      <c r="D22" s="16" t="inlineStr">
        <is>
          <t>客户退货</t>
        </is>
      </c>
      <c r="E22" s="16" t="inlineStr">
        <is>
          <t>表皮皱缩</t>
        </is>
      </c>
      <c r="F22" s="35" t="n">
        <v>347.3</v>
      </c>
      <c r="G22" s="35" t="n">
        <v>164.7</v>
      </c>
      <c r="H22" s="35" t="n">
        <v>182.6</v>
      </c>
      <c r="I22" s="36" t="n">
        <v>1896.72</v>
      </c>
      <c r="J22" s="16" t="inlineStr">
        <is>
          <t>否</t>
        </is>
      </c>
      <c r="K22" s="16" t="inlineStr">
        <is>
          <t>门店已反馈</t>
        </is>
      </c>
    </row>
    <row r="23">
      <c r="A23" s="16" t="inlineStr">
        <is>
          <t>BS-2508-0019</t>
        </is>
      </c>
      <c r="B23" s="34" t="n">
        <v>45959</v>
      </c>
      <c r="C23" s="16" t="inlineStr">
        <is>
          <t>NY-KW-2508-010</t>
        </is>
      </c>
      <c r="D23" s="16" t="inlineStr">
        <is>
          <t>客户退货</t>
        </is>
      </c>
      <c r="E23" s="16" t="inlineStr">
        <is>
          <t>过熟偏软</t>
        </is>
      </c>
      <c r="F23" s="35" t="n">
        <v>176.3</v>
      </c>
      <c r="G23" s="35" t="n">
        <v>45.5</v>
      </c>
      <c r="H23" s="35" t="n">
        <v>130.8</v>
      </c>
      <c r="I23" s="36" t="n">
        <v>742.16</v>
      </c>
      <c r="J23" s="16" t="inlineStr">
        <is>
          <t>是</t>
        </is>
      </c>
      <c r="K23" s="16" t="inlineStr">
        <is>
          <t>已和采购沟通</t>
        </is>
      </c>
    </row>
    <row r="24">
      <c r="A24" s="16" t="inlineStr">
        <is>
          <t>BS-2508-0020</t>
        </is>
      </c>
      <c r="B24" s="34" t="n">
        <v>45944</v>
      </c>
      <c r="C24" s="16" t="inlineStr">
        <is>
          <t>NY-KW-2508-016</t>
        </is>
      </c>
      <c r="D24" s="16" t="inlineStr">
        <is>
          <t>仓库分拣</t>
        </is>
      </c>
      <c r="E24" s="16" t="inlineStr">
        <is>
          <t>碰压伤</t>
        </is>
      </c>
      <c r="F24" s="35" t="n">
        <v>422.2</v>
      </c>
      <c r="G24" s="35" t="n">
        <v>106.7</v>
      </c>
      <c r="H24" s="35" t="n">
        <v>315.5</v>
      </c>
      <c r="I24" s="36" t="n">
        <v>1786.53</v>
      </c>
      <c r="J24" s="16" t="inlineStr">
        <is>
          <t>否</t>
        </is>
      </c>
      <c r="K24" s="16" t="inlineStr">
        <is>
          <t>已和采购沟通</t>
        </is>
      </c>
    </row>
    <row r="25">
      <c r="A25" s="16" t="inlineStr">
        <is>
          <t>BS-2508-0021</t>
        </is>
      </c>
      <c r="B25" s="34" t="n">
        <v>45952</v>
      </c>
      <c r="C25" s="16" t="inlineStr">
        <is>
          <t>NY-KW-2508-025</t>
        </is>
      </c>
      <c r="D25" s="16" t="inlineStr">
        <is>
          <t>运输到货</t>
        </is>
      </c>
      <c r="E25" s="16" t="inlineStr">
        <is>
          <t>表皮皱缩</t>
        </is>
      </c>
      <c r="F25" s="35" t="n">
        <v>373.3</v>
      </c>
      <c r="G25" s="35" t="n">
        <v>218</v>
      </c>
      <c r="H25" s="35" t="n">
        <v>155.3</v>
      </c>
      <c r="I25" s="36" t="n">
        <v>1740.87</v>
      </c>
      <c r="J25" s="16" t="inlineStr">
        <is>
          <t>否</t>
        </is>
      </c>
      <c r="K25" s="16" t="inlineStr">
        <is>
          <t>正常记录</t>
        </is>
      </c>
    </row>
    <row r="26">
      <c r="A26" s="16" t="inlineStr">
        <is>
          <t>BS-2508-0022</t>
        </is>
      </c>
      <c r="B26" s="34" t="n">
        <v>45952</v>
      </c>
      <c r="C26" s="16" t="inlineStr">
        <is>
          <t>NY-KW-2508-016</t>
        </is>
      </c>
      <c r="D26" s="16" t="inlineStr">
        <is>
          <t>运输到货</t>
        </is>
      </c>
      <c r="E26" s="16" t="inlineStr">
        <is>
          <t>软烂</t>
        </is>
      </c>
      <c r="F26" s="35" t="n">
        <v>171.1</v>
      </c>
      <c r="G26" s="35" t="n">
        <v>80.40000000000001</v>
      </c>
      <c r="H26" s="35" t="n">
        <v>90.7</v>
      </c>
      <c r="I26" s="36" t="n">
        <v>928.09</v>
      </c>
      <c r="J26" s="16" t="inlineStr">
        <is>
          <t>是</t>
        </is>
      </c>
      <c r="K26" s="16" t="inlineStr">
        <is>
          <t>已和采购沟通</t>
        </is>
      </c>
    </row>
    <row r="27">
      <c r="A27" s="16" t="inlineStr">
        <is>
          <t>BS-2508-0023</t>
        </is>
      </c>
      <c r="B27" s="34" t="n">
        <v>45920</v>
      </c>
      <c r="C27" s="16" t="inlineStr">
        <is>
          <t>NY-KW-2508-012</t>
        </is>
      </c>
      <c r="D27" s="16" t="inlineStr">
        <is>
          <t>门店收货</t>
        </is>
      </c>
      <c r="E27" s="16" t="inlineStr">
        <is>
          <t>规格不符</t>
        </is>
      </c>
      <c r="F27" s="35" t="n">
        <v>386.7</v>
      </c>
      <c r="G27" s="35" t="n">
        <v>270.6</v>
      </c>
      <c r="H27" s="35" t="n">
        <v>116.1</v>
      </c>
      <c r="I27" s="36" t="n">
        <v>2568.1</v>
      </c>
      <c r="J27" s="16" t="inlineStr">
        <is>
          <t>否</t>
        </is>
      </c>
      <c r="K27" s="16" t="inlineStr">
        <is>
          <t>门店已反馈</t>
        </is>
      </c>
    </row>
    <row r="28">
      <c r="A28" s="16" t="inlineStr">
        <is>
          <t>BS-2508-0024</t>
        </is>
      </c>
      <c r="B28" s="34" t="n">
        <v>45934</v>
      </c>
      <c r="C28" s="16" t="inlineStr">
        <is>
          <t>NY-KW-2508-009</t>
        </is>
      </c>
      <c r="D28" s="16" t="inlineStr">
        <is>
          <t>仓库分拣</t>
        </is>
      </c>
      <c r="E28" s="16" t="inlineStr">
        <is>
          <t>过熟偏软</t>
        </is>
      </c>
      <c r="F28" s="35" t="n">
        <v>197.6</v>
      </c>
      <c r="G28" s="35" t="n">
        <v>58.9</v>
      </c>
      <c r="H28" s="35" t="n">
        <v>138.7</v>
      </c>
      <c r="I28" s="36" t="n">
        <v>824.4299999999999</v>
      </c>
      <c r="J28" s="16" t="inlineStr">
        <is>
          <t>是</t>
        </is>
      </c>
      <c r="K28" s="16" t="inlineStr">
        <is>
          <t>门店已反馈</t>
        </is>
      </c>
    </row>
    <row r="29">
      <c r="A29" s="16" t="inlineStr">
        <is>
          <t>BS-2508-0025</t>
        </is>
      </c>
      <c r="B29" s="34" t="n">
        <v>45913</v>
      </c>
      <c r="C29" s="16" t="inlineStr">
        <is>
          <t>NY-KW-2508-026</t>
        </is>
      </c>
      <c r="D29" s="16" t="inlineStr">
        <is>
          <t>仓库分拣</t>
        </is>
      </c>
      <c r="E29" s="16" t="inlineStr">
        <is>
          <t>软烂</t>
        </is>
      </c>
      <c r="F29" s="35" t="n">
        <v>407.4</v>
      </c>
      <c r="G29" s="35" t="n">
        <v>143.5</v>
      </c>
      <c r="H29" s="35" t="n">
        <v>263.9</v>
      </c>
      <c r="I29" s="36" t="n">
        <v>2137.33</v>
      </c>
      <c r="J29" s="16" t="inlineStr">
        <is>
          <t>是</t>
        </is>
      </c>
      <c r="K29" s="16" t="inlineStr">
        <is>
          <t>门店已反馈</t>
        </is>
      </c>
    </row>
    <row r="30">
      <c r="A30" s="16" t="inlineStr">
        <is>
          <t>BS-2508-0026</t>
        </is>
      </c>
      <c r="B30" s="34" t="n">
        <v>45930</v>
      </c>
      <c r="C30" s="16" t="inlineStr">
        <is>
          <t>NY-KW-2508-003</t>
        </is>
      </c>
      <c r="D30" s="16" t="inlineStr">
        <is>
          <t>客户退货</t>
        </is>
      </c>
      <c r="E30" s="16" t="inlineStr">
        <is>
          <t>碰压伤</t>
        </is>
      </c>
      <c r="F30" s="35" t="n">
        <v>193.7</v>
      </c>
      <c r="G30" s="35" t="n">
        <v>60.5</v>
      </c>
      <c r="H30" s="35" t="n">
        <v>133.2</v>
      </c>
      <c r="I30" s="36" t="n">
        <v>838.0599999999999</v>
      </c>
      <c r="J30" s="16" t="inlineStr">
        <is>
          <t>否</t>
        </is>
      </c>
      <c r="K30" s="16" t="inlineStr">
        <is>
          <t>门店已反馈</t>
        </is>
      </c>
    </row>
    <row r="31">
      <c r="A31" s="16" t="inlineStr">
        <is>
          <t>BS-2508-0027</t>
        </is>
      </c>
      <c r="B31" s="34" t="n">
        <v>45955</v>
      </c>
      <c r="C31" s="16" t="inlineStr">
        <is>
          <t>NY-KW-2508-025</t>
        </is>
      </c>
      <c r="D31" s="16" t="inlineStr">
        <is>
          <t>运输到货</t>
        </is>
      </c>
      <c r="E31" s="16" t="inlineStr">
        <is>
          <t>表皮皱缩</t>
        </is>
      </c>
      <c r="F31" s="35" t="n">
        <v>286</v>
      </c>
      <c r="G31" s="35" t="n">
        <v>112.5</v>
      </c>
      <c r="H31" s="35" t="n">
        <v>173.5</v>
      </c>
      <c r="I31" s="36" t="n">
        <v>992.15</v>
      </c>
      <c r="J31" s="16" t="inlineStr">
        <is>
          <t>否</t>
        </is>
      </c>
      <c r="K31" s="16" t="inlineStr">
        <is>
          <t>需复盘</t>
        </is>
      </c>
    </row>
    <row r="32">
      <c r="A32" s="16" t="inlineStr">
        <is>
          <t>BS-2508-0028</t>
        </is>
      </c>
      <c r="B32" s="34" t="n">
        <v>45934</v>
      </c>
      <c r="C32" s="16" t="inlineStr">
        <is>
          <t>NY-KW-2508-005</t>
        </is>
      </c>
      <c r="D32" s="16" t="inlineStr">
        <is>
          <t>客户退货</t>
        </is>
      </c>
      <c r="E32" s="16" t="inlineStr">
        <is>
          <t>过熟偏软</t>
        </is>
      </c>
      <c r="F32" s="35" t="n">
        <v>160.3</v>
      </c>
      <c r="G32" s="35" t="n">
        <v>93.2</v>
      </c>
      <c r="H32" s="35" t="n">
        <v>67.09999999999999</v>
      </c>
      <c r="I32" s="36" t="n">
        <v>891.49</v>
      </c>
      <c r="J32" s="16" t="inlineStr">
        <is>
          <t>是</t>
        </is>
      </c>
      <c r="K32" s="16" t="inlineStr">
        <is>
          <t>需复盘</t>
        </is>
      </c>
    </row>
    <row r="33">
      <c r="A33" s="16" t="inlineStr">
        <is>
          <t>BS-2508-0029</t>
        </is>
      </c>
      <c r="B33" s="34" t="n">
        <v>45953</v>
      </c>
      <c r="C33" s="16" t="inlineStr">
        <is>
          <t>NY-KW-2508-010</t>
        </is>
      </c>
      <c r="D33" s="16" t="inlineStr">
        <is>
          <t>客户退货</t>
        </is>
      </c>
      <c r="E33" s="16" t="inlineStr">
        <is>
          <t>过熟偏软</t>
        </is>
      </c>
      <c r="F33" s="35" t="n">
        <v>321.2</v>
      </c>
      <c r="G33" s="35" t="n">
        <v>199.3</v>
      </c>
      <c r="H33" s="35" t="n">
        <v>121.9</v>
      </c>
      <c r="I33" s="36" t="n">
        <v>2147.23</v>
      </c>
      <c r="J33" s="16" t="inlineStr">
        <is>
          <t>是</t>
        </is>
      </c>
      <c r="K33" s="16" t="inlineStr">
        <is>
          <t>需复盘</t>
        </is>
      </c>
    </row>
    <row r="34">
      <c r="A34" s="16" t="inlineStr">
        <is>
          <t>BS-2508-0030</t>
        </is>
      </c>
      <c r="B34" s="34" t="n">
        <v>45935</v>
      </c>
      <c r="C34" s="16" t="inlineStr">
        <is>
          <t>NY-KW-2508-005</t>
        </is>
      </c>
      <c r="D34" s="16" t="inlineStr">
        <is>
          <t>运输到货</t>
        </is>
      </c>
      <c r="E34" s="16" t="inlineStr">
        <is>
          <t>霉点</t>
        </is>
      </c>
      <c r="F34" s="35" t="n">
        <v>280.2</v>
      </c>
      <c r="G34" s="35" t="n">
        <v>111.6</v>
      </c>
      <c r="H34" s="35" t="n">
        <v>168.6</v>
      </c>
      <c r="I34" s="36" t="n">
        <v>1297.13</v>
      </c>
      <c r="J34" s="16" t="inlineStr">
        <is>
          <t>否</t>
        </is>
      </c>
      <c r="K34" s="16" t="inlineStr">
        <is>
          <t>需复盘</t>
        </is>
      </c>
    </row>
    <row r="35">
      <c r="A35" s="16" t="inlineStr">
        <is>
          <t>BS-2508-0031</t>
        </is>
      </c>
      <c r="B35" s="34" t="n">
        <v>45929</v>
      </c>
      <c r="C35" s="16" t="inlineStr">
        <is>
          <t>NY-KW-2508-003</t>
        </is>
      </c>
      <c r="D35" s="16" t="inlineStr">
        <is>
          <t>客户退货</t>
        </is>
      </c>
      <c r="E35" s="16" t="inlineStr">
        <is>
          <t>霉点</t>
        </is>
      </c>
      <c r="F35" s="35" t="n">
        <v>60</v>
      </c>
      <c r="G35" s="35" t="n">
        <v>25.5</v>
      </c>
      <c r="H35" s="35" t="n">
        <v>34.5</v>
      </c>
      <c r="I35" s="36" t="n">
        <v>325.31</v>
      </c>
      <c r="J35" s="16" t="inlineStr">
        <is>
          <t>否</t>
        </is>
      </c>
      <c r="K35" s="16" t="inlineStr">
        <is>
          <t>需复盘</t>
        </is>
      </c>
    </row>
    <row r="36">
      <c r="A36" s="16" t="inlineStr">
        <is>
          <t>BS-2508-0032</t>
        </is>
      </c>
      <c r="B36" s="34" t="n">
        <v>45907</v>
      </c>
      <c r="C36" s="16" t="inlineStr">
        <is>
          <t>NY-KW-2508-021</t>
        </is>
      </c>
      <c r="D36" s="16" t="inlineStr">
        <is>
          <t>门店收货</t>
        </is>
      </c>
      <c r="E36" s="16" t="inlineStr">
        <is>
          <t>霉点</t>
        </is>
      </c>
      <c r="F36" s="35" t="n">
        <v>433.4</v>
      </c>
      <c r="G36" s="35" t="n">
        <v>181.9</v>
      </c>
      <c r="H36" s="35" t="n">
        <v>251.5</v>
      </c>
      <c r="I36" s="36" t="n">
        <v>2547.42</v>
      </c>
      <c r="J36" s="16" t="inlineStr">
        <is>
          <t>否</t>
        </is>
      </c>
      <c r="K36" s="16" t="inlineStr">
        <is>
          <t>需复盘</t>
        </is>
      </c>
    </row>
    <row r="37">
      <c r="A37" s="16" t="inlineStr">
        <is>
          <t>BS-2508-0033</t>
        </is>
      </c>
      <c r="B37" s="34" t="n">
        <v>45937</v>
      </c>
      <c r="C37" s="16" t="inlineStr">
        <is>
          <t>NY-KW-2508-014</t>
        </is>
      </c>
      <c r="D37" s="16" t="inlineStr">
        <is>
          <t>门店收货</t>
        </is>
      </c>
      <c r="E37" s="16" t="inlineStr">
        <is>
          <t>过熟偏软</t>
        </is>
      </c>
      <c r="F37" s="35" t="n">
        <v>390</v>
      </c>
      <c r="G37" s="35" t="n">
        <v>143.4</v>
      </c>
      <c r="H37" s="35" t="n">
        <v>246.6</v>
      </c>
      <c r="I37" s="36" t="n">
        <v>1304.14</v>
      </c>
      <c r="J37" s="16" t="inlineStr">
        <is>
          <t>是</t>
        </is>
      </c>
      <c r="K37" s="16" t="inlineStr">
        <is>
          <t>需复盘</t>
        </is>
      </c>
    </row>
    <row r="38">
      <c r="A38" s="16" t="inlineStr">
        <is>
          <t>BS-2508-0034</t>
        </is>
      </c>
      <c r="B38" s="34" t="n">
        <v>45943</v>
      </c>
      <c r="C38" s="16" t="inlineStr">
        <is>
          <t>NY-KW-2508-018</t>
        </is>
      </c>
      <c r="D38" s="16" t="inlineStr">
        <is>
          <t>门店收货</t>
        </is>
      </c>
      <c r="E38" s="16" t="inlineStr">
        <is>
          <t>表皮皱缩</t>
        </is>
      </c>
      <c r="F38" s="35" t="n">
        <v>86.59999999999999</v>
      </c>
      <c r="G38" s="35" t="n">
        <v>49</v>
      </c>
      <c r="H38" s="35" t="n">
        <v>37.6</v>
      </c>
      <c r="I38" s="36" t="n">
        <v>398.41</v>
      </c>
      <c r="J38" s="16" t="inlineStr">
        <is>
          <t>否</t>
        </is>
      </c>
      <c r="K38" s="16" t="inlineStr">
        <is>
          <t>已和采购沟通</t>
        </is>
      </c>
    </row>
    <row r="39">
      <c r="A39" s="16" t="inlineStr">
        <is>
          <t>BS-2508-0035</t>
        </is>
      </c>
      <c r="B39" s="34" t="n">
        <v>45942</v>
      </c>
      <c r="C39" s="16" t="inlineStr">
        <is>
          <t>NY-KW-2508-018</t>
        </is>
      </c>
      <c r="D39" s="16" t="inlineStr">
        <is>
          <t>客户退货</t>
        </is>
      </c>
      <c r="E39" s="16" t="inlineStr">
        <is>
          <t>软烂</t>
        </is>
      </c>
      <c r="F39" s="35" t="n">
        <v>289.4</v>
      </c>
      <c r="G39" s="35" t="n">
        <v>201.2</v>
      </c>
      <c r="H39" s="35" t="n">
        <v>88.2</v>
      </c>
      <c r="I39" s="36" t="n">
        <v>1448.4</v>
      </c>
      <c r="J39" s="16" t="inlineStr">
        <is>
          <t>是</t>
        </is>
      </c>
      <c r="K39" s="16" t="inlineStr">
        <is>
          <t>需复盘</t>
        </is>
      </c>
    </row>
    <row r="40">
      <c r="A40" s="16" t="inlineStr">
        <is>
          <t>BS-2508-0036</t>
        </is>
      </c>
      <c r="B40" s="34" t="n">
        <v>45910</v>
      </c>
      <c r="C40" s="16" t="inlineStr">
        <is>
          <t>NY-KW-2508-022</t>
        </is>
      </c>
      <c r="D40" s="16" t="inlineStr">
        <is>
          <t>客户退货</t>
        </is>
      </c>
      <c r="E40" s="16" t="inlineStr">
        <is>
          <t>表皮皱缩</t>
        </is>
      </c>
      <c r="F40" s="35" t="n">
        <v>430</v>
      </c>
      <c r="G40" s="35" t="n">
        <v>112.9</v>
      </c>
      <c r="H40" s="35" t="n">
        <v>317.1</v>
      </c>
      <c r="I40" s="36" t="n">
        <v>1813.78</v>
      </c>
      <c r="J40" s="16" t="inlineStr">
        <is>
          <t>否</t>
        </is>
      </c>
      <c r="K40" s="16" t="inlineStr">
        <is>
          <t>门店已反馈</t>
        </is>
      </c>
    </row>
    <row r="41">
      <c r="A41" s="16" t="inlineStr">
        <is>
          <t>BS-2508-0037</t>
        </is>
      </c>
      <c r="B41" s="34" t="n">
        <v>45952</v>
      </c>
      <c r="C41" s="16" t="inlineStr">
        <is>
          <t>NY-KW-2508-010</t>
        </is>
      </c>
      <c r="D41" s="16" t="inlineStr">
        <is>
          <t>门店收货</t>
        </is>
      </c>
      <c r="E41" s="16" t="inlineStr">
        <is>
          <t>表皮皱缩</t>
        </is>
      </c>
      <c r="F41" s="35" t="n">
        <v>109.8</v>
      </c>
      <c r="G41" s="35" t="n">
        <v>53.2</v>
      </c>
      <c r="H41" s="35" t="n">
        <v>56.6</v>
      </c>
      <c r="I41" s="36" t="n">
        <v>697.21</v>
      </c>
      <c r="J41" s="16" t="inlineStr">
        <is>
          <t>否</t>
        </is>
      </c>
      <c r="K41" s="16" t="inlineStr">
        <is>
          <t>需复盘</t>
        </is>
      </c>
    </row>
    <row r="42">
      <c r="A42" s="16" t="inlineStr">
        <is>
          <t>BS-2508-0038</t>
        </is>
      </c>
      <c r="B42" s="34" t="n">
        <v>45939</v>
      </c>
      <c r="C42" s="16" t="inlineStr">
        <is>
          <t>NY-KW-2508-008</t>
        </is>
      </c>
      <c r="D42" s="16" t="inlineStr">
        <is>
          <t>客户退货</t>
        </is>
      </c>
      <c r="E42" s="16" t="inlineStr">
        <is>
          <t>霉点</t>
        </is>
      </c>
      <c r="F42" s="35" t="n">
        <v>91.7</v>
      </c>
      <c r="G42" s="35" t="n">
        <v>30.6</v>
      </c>
      <c r="H42" s="35" t="n">
        <v>61.1</v>
      </c>
      <c r="I42" s="36" t="n">
        <v>448.22</v>
      </c>
      <c r="J42" s="16" t="inlineStr">
        <is>
          <t>否</t>
        </is>
      </c>
      <c r="K42" s="16" t="inlineStr">
        <is>
          <t>需复盘</t>
        </is>
      </c>
    </row>
    <row r="43">
      <c r="A43" s="16" t="inlineStr">
        <is>
          <t>BS-2508-0039</t>
        </is>
      </c>
      <c r="B43" s="34" t="n">
        <v>45938</v>
      </c>
      <c r="C43" s="16" t="inlineStr">
        <is>
          <t>NY-KW-2508-017</t>
        </is>
      </c>
      <c r="D43" s="16" t="inlineStr">
        <is>
          <t>客户退货</t>
        </is>
      </c>
      <c r="E43" s="16" t="inlineStr">
        <is>
          <t>霉点</t>
        </is>
      </c>
      <c r="F43" s="35" t="n">
        <v>183.1</v>
      </c>
      <c r="G43" s="35" t="n">
        <v>86.09999999999999</v>
      </c>
      <c r="H43" s="35" t="n">
        <v>97</v>
      </c>
      <c r="I43" s="36" t="n">
        <v>874.55</v>
      </c>
      <c r="J43" s="16" t="inlineStr">
        <is>
          <t>否</t>
        </is>
      </c>
      <c r="K43" s="16" t="inlineStr">
        <is>
          <t>需复盘</t>
        </is>
      </c>
    </row>
    <row r="44">
      <c r="A44" s="16" t="inlineStr">
        <is>
          <t>BS-2508-0040</t>
        </is>
      </c>
      <c r="B44" s="34" t="n">
        <v>45949</v>
      </c>
      <c r="C44" s="16" t="inlineStr">
        <is>
          <t>NY-KW-2508-025</t>
        </is>
      </c>
      <c r="D44" s="16" t="inlineStr">
        <is>
          <t>客户退货</t>
        </is>
      </c>
      <c r="E44" s="16" t="inlineStr">
        <is>
          <t>表皮皱缩</t>
        </is>
      </c>
      <c r="F44" s="35" t="n">
        <v>42.3</v>
      </c>
      <c r="G44" s="35" t="n">
        <v>27.9</v>
      </c>
      <c r="H44" s="35" t="n">
        <v>14.4</v>
      </c>
      <c r="I44" s="36" t="n">
        <v>202.99</v>
      </c>
      <c r="J44" s="16" t="inlineStr">
        <is>
          <t>否</t>
        </is>
      </c>
      <c r="K44" s="16" t="inlineStr">
        <is>
          <t>已和采购沟通</t>
        </is>
      </c>
    </row>
    <row r="45">
      <c r="A45" s="16" t="inlineStr">
        <is>
          <t>BS-2508-0041</t>
        </is>
      </c>
      <c r="B45" s="34" t="n">
        <v>45958</v>
      </c>
      <c r="C45" s="16" t="inlineStr">
        <is>
          <t>NY-KW-2508-010</t>
        </is>
      </c>
      <c r="D45" s="16" t="inlineStr">
        <is>
          <t>运输到货</t>
        </is>
      </c>
      <c r="E45" s="16" t="inlineStr">
        <is>
          <t>规格不符</t>
        </is>
      </c>
      <c r="F45" s="35" t="n">
        <v>300</v>
      </c>
      <c r="G45" s="35" t="n">
        <v>86.40000000000001</v>
      </c>
      <c r="H45" s="35" t="n">
        <v>213.6</v>
      </c>
      <c r="I45" s="36" t="n">
        <v>1472.95</v>
      </c>
      <c r="J45" s="16" t="inlineStr">
        <is>
          <t>否</t>
        </is>
      </c>
      <c r="K45" s="16" t="inlineStr">
        <is>
          <t>需复盘</t>
        </is>
      </c>
    </row>
    <row r="46">
      <c r="A46" s="16" t="inlineStr">
        <is>
          <t>BS-2508-0042</t>
        </is>
      </c>
      <c r="B46" s="34" t="n">
        <v>45913</v>
      </c>
      <c r="C46" s="16" t="inlineStr">
        <is>
          <t>NY-KW-2508-022</t>
        </is>
      </c>
      <c r="D46" s="16" t="inlineStr">
        <is>
          <t>门店收货</t>
        </is>
      </c>
      <c r="E46" s="16" t="inlineStr">
        <is>
          <t>表皮皱缩</t>
        </is>
      </c>
      <c r="F46" s="35" t="n">
        <v>63.1</v>
      </c>
      <c r="G46" s="35" t="n">
        <v>33.2</v>
      </c>
      <c r="H46" s="35" t="n">
        <v>29.9</v>
      </c>
      <c r="I46" s="36" t="n">
        <v>385.57</v>
      </c>
      <c r="J46" s="16" t="inlineStr">
        <is>
          <t>否</t>
        </is>
      </c>
      <c r="K46" s="16" t="inlineStr">
        <is>
          <t>正常记录</t>
        </is>
      </c>
    </row>
    <row r="47">
      <c r="A47" s="16" t="inlineStr">
        <is>
          <t>BS-2508-0043</t>
        </is>
      </c>
      <c r="B47" s="34" t="n">
        <v>45953</v>
      </c>
      <c r="C47" s="16" t="inlineStr">
        <is>
          <t>NY-KW-2508-025</t>
        </is>
      </c>
      <c r="D47" s="16" t="inlineStr">
        <is>
          <t>仓库分拣</t>
        </is>
      </c>
      <c r="E47" s="16" t="inlineStr">
        <is>
          <t>表皮皱缩</t>
        </is>
      </c>
      <c r="F47" s="35" t="n">
        <v>172.8</v>
      </c>
      <c r="G47" s="35" t="n">
        <v>104.6</v>
      </c>
      <c r="H47" s="35" t="n">
        <v>68.2</v>
      </c>
      <c r="I47" s="36" t="n">
        <v>812.85</v>
      </c>
      <c r="J47" s="16" t="inlineStr">
        <is>
          <t>否</t>
        </is>
      </c>
      <c r="K47" s="16" t="inlineStr">
        <is>
          <t>正常记录</t>
        </is>
      </c>
    </row>
    <row r="48">
      <c r="A48" s="16" t="inlineStr">
        <is>
          <t>BS-2508-0044</t>
        </is>
      </c>
      <c r="B48" s="34" t="n">
        <v>45913</v>
      </c>
      <c r="C48" s="16" t="inlineStr">
        <is>
          <t>NY-KW-2508-027</t>
        </is>
      </c>
      <c r="D48" s="16" t="inlineStr">
        <is>
          <t>运输到货</t>
        </is>
      </c>
      <c r="E48" s="16" t="inlineStr">
        <is>
          <t>过熟偏软</t>
        </is>
      </c>
      <c r="F48" s="35" t="n">
        <v>94.5</v>
      </c>
      <c r="G48" s="35" t="n">
        <v>61.1</v>
      </c>
      <c r="H48" s="35" t="n">
        <v>33.4</v>
      </c>
      <c r="I48" s="36" t="n">
        <v>708.9299999999999</v>
      </c>
      <c r="J48" s="16" t="inlineStr">
        <is>
          <t>是</t>
        </is>
      </c>
      <c r="K48" s="16" t="inlineStr">
        <is>
          <t>已和采购沟通</t>
        </is>
      </c>
    </row>
    <row r="49">
      <c r="A49" s="16" t="inlineStr">
        <is>
          <t>BS-2508-0045</t>
        </is>
      </c>
      <c r="B49" s="34" t="n">
        <v>45930</v>
      </c>
      <c r="C49" s="16" t="inlineStr">
        <is>
          <t>NY-KW-2508-009</t>
        </is>
      </c>
      <c r="D49" s="16" t="inlineStr">
        <is>
          <t>仓库分拣</t>
        </is>
      </c>
      <c r="E49" s="16" t="inlineStr">
        <is>
          <t>软烂</t>
        </is>
      </c>
      <c r="F49" s="35" t="n">
        <v>446.3</v>
      </c>
      <c r="G49" s="35" t="n">
        <v>132.9</v>
      </c>
      <c r="H49" s="35" t="n">
        <v>313.4</v>
      </c>
      <c r="I49" s="36" t="n">
        <v>2171.74</v>
      </c>
      <c r="J49" s="16" t="inlineStr">
        <is>
          <t>是</t>
        </is>
      </c>
      <c r="K49" s="16" t="inlineStr">
        <is>
          <t>正常记录</t>
        </is>
      </c>
    </row>
    <row r="50">
      <c r="A50" s="16" t="inlineStr">
        <is>
          <t>BS-2508-0046</t>
        </is>
      </c>
      <c r="B50" s="34" t="n">
        <v>45913</v>
      </c>
      <c r="C50" s="16" t="inlineStr">
        <is>
          <t>NY-KW-2508-006</t>
        </is>
      </c>
      <c r="D50" s="16" t="inlineStr">
        <is>
          <t>运输到货</t>
        </is>
      </c>
      <c r="E50" s="16" t="inlineStr">
        <is>
          <t>软烂</t>
        </is>
      </c>
      <c r="F50" s="35" t="n">
        <v>174.2</v>
      </c>
      <c r="G50" s="35" t="n">
        <v>113.6</v>
      </c>
      <c r="H50" s="35" t="n">
        <v>60.6</v>
      </c>
      <c r="I50" s="36" t="n">
        <v>980.75</v>
      </c>
      <c r="J50" s="16" t="inlineStr">
        <is>
          <t>是</t>
        </is>
      </c>
      <c r="K50" s="16" t="inlineStr">
        <is>
          <t>正常记录</t>
        </is>
      </c>
    </row>
    <row r="51">
      <c r="A51" s="16" t="inlineStr">
        <is>
          <t>BS-2508-0047</t>
        </is>
      </c>
      <c r="B51" s="34" t="n">
        <v>45943</v>
      </c>
      <c r="C51" s="16" t="inlineStr">
        <is>
          <t>NY-KW-2508-002</t>
        </is>
      </c>
      <c r="D51" s="16" t="inlineStr">
        <is>
          <t>运输到货</t>
        </is>
      </c>
      <c r="E51" s="16" t="inlineStr">
        <is>
          <t>碰压伤</t>
        </is>
      </c>
      <c r="F51" s="35" t="n">
        <v>302.6</v>
      </c>
      <c r="G51" s="35" t="n">
        <v>133.2</v>
      </c>
      <c r="H51" s="35" t="n">
        <v>169.4</v>
      </c>
      <c r="I51" s="36" t="n">
        <v>1144.7</v>
      </c>
      <c r="J51" s="16" t="inlineStr">
        <is>
          <t>否</t>
        </is>
      </c>
      <c r="K51" s="16" t="inlineStr">
        <is>
          <t>门店已反馈</t>
        </is>
      </c>
    </row>
    <row r="52">
      <c r="A52" s="16" t="inlineStr">
        <is>
          <t>BS-2508-0048</t>
        </is>
      </c>
      <c r="B52" s="34" t="n">
        <v>45947</v>
      </c>
      <c r="C52" s="16" t="inlineStr">
        <is>
          <t>NY-KW-2508-004</t>
        </is>
      </c>
      <c r="D52" s="16" t="inlineStr">
        <is>
          <t>运输到货</t>
        </is>
      </c>
      <c r="E52" s="16" t="inlineStr">
        <is>
          <t>碰压伤</t>
        </is>
      </c>
      <c r="F52" s="35" t="n">
        <v>161</v>
      </c>
      <c r="G52" s="35" t="n">
        <v>108.6</v>
      </c>
      <c r="H52" s="35" t="n">
        <v>52.4</v>
      </c>
      <c r="I52" s="36" t="n">
        <v>769.4299999999999</v>
      </c>
      <c r="J52" s="16" t="inlineStr">
        <is>
          <t>否</t>
        </is>
      </c>
      <c r="K52" s="16" t="inlineStr">
        <is>
          <t>需复盘</t>
        </is>
      </c>
    </row>
    <row r="53">
      <c r="A53" s="16" t="inlineStr">
        <is>
          <t>BS-2508-0049</t>
        </is>
      </c>
      <c r="B53" s="34" t="n">
        <v>45918</v>
      </c>
      <c r="C53" s="16" t="inlineStr">
        <is>
          <t>NY-KW-2508-023</t>
        </is>
      </c>
      <c r="D53" s="16" t="inlineStr">
        <is>
          <t>仓库分拣</t>
        </is>
      </c>
      <c r="E53" s="16" t="inlineStr">
        <is>
          <t>软烂</t>
        </is>
      </c>
      <c r="F53" s="35" t="n">
        <v>445.1</v>
      </c>
      <c r="G53" s="35" t="n">
        <v>125.9</v>
      </c>
      <c r="H53" s="35" t="n">
        <v>319.2</v>
      </c>
      <c r="I53" s="36" t="n">
        <v>1985.46</v>
      </c>
      <c r="J53" s="16" t="inlineStr">
        <is>
          <t>是</t>
        </is>
      </c>
      <c r="K53" s="16" t="inlineStr">
        <is>
          <t>需复盘</t>
        </is>
      </c>
    </row>
    <row r="54">
      <c r="A54" s="16" t="inlineStr">
        <is>
          <t>BS-2508-0050</t>
        </is>
      </c>
      <c r="B54" s="34" t="n">
        <v>45930</v>
      </c>
      <c r="C54" s="16" t="inlineStr">
        <is>
          <t>NY-KW-2508-003</t>
        </is>
      </c>
      <c r="D54" s="16" t="inlineStr">
        <is>
          <t>仓库分拣</t>
        </is>
      </c>
      <c r="E54" s="16" t="inlineStr">
        <is>
          <t>表皮皱缩</t>
        </is>
      </c>
      <c r="F54" s="35" t="n">
        <v>37.9</v>
      </c>
      <c r="G54" s="35" t="n">
        <v>20.1</v>
      </c>
      <c r="H54" s="35" t="n">
        <v>17.8</v>
      </c>
      <c r="I54" s="36" t="n">
        <v>222.24</v>
      </c>
      <c r="J54" s="16" t="inlineStr">
        <is>
          <t>否</t>
        </is>
      </c>
      <c r="K54" s="16" t="inlineStr">
        <is>
          <t>已和采购沟通</t>
        </is>
      </c>
    </row>
    <row r="55">
      <c r="A55" s="16" t="inlineStr">
        <is>
          <t>BS-2508-0051</t>
        </is>
      </c>
      <c r="B55" s="34" t="n">
        <v>45906</v>
      </c>
      <c r="C55" s="16" t="inlineStr">
        <is>
          <t>NY-KW-2508-021</t>
        </is>
      </c>
      <c r="D55" s="16" t="inlineStr">
        <is>
          <t>客户退货</t>
        </is>
      </c>
      <c r="E55" s="16" t="inlineStr">
        <is>
          <t>碰压伤</t>
        </is>
      </c>
      <c r="F55" s="35" t="n">
        <v>174.2</v>
      </c>
      <c r="G55" s="35" t="n">
        <v>46</v>
      </c>
      <c r="H55" s="35" t="n">
        <v>128.2</v>
      </c>
      <c r="I55" s="36" t="n">
        <v>705.6799999999999</v>
      </c>
      <c r="J55" s="16" t="inlineStr">
        <is>
          <t>否</t>
        </is>
      </c>
      <c r="K55" s="16" t="inlineStr">
        <is>
          <t>需复盘</t>
        </is>
      </c>
    </row>
    <row r="56">
      <c r="A56" s="16" t="inlineStr">
        <is>
          <t>BS-2508-0052</t>
        </is>
      </c>
      <c r="B56" s="34" t="n">
        <v>45928</v>
      </c>
      <c r="C56" s="16" t="inlineStr">
        <is>
          <t>NY-KW-2508-019</t>
        </is>
      </c>
      <c r="D56" s="16" t="inlineStr">
        <is>
          <t>门店收货</t>
        </is>
      </c>
      <c r="E56" s="16" t="inlineStr">
        <is>
          <t>规格不符</t>
        </is>
      </c>
      <c r="F56" s="35" t="n">
        <v>21.1</v>
      </c>
      <c r="G56" s="35" t="n">
        <v>13.1</v>
      </c>
      <c r="H56" s="35" t="n">
        <v>8</v>
      </c>
      <c r="I56" s="36" t="n">
        <v>143.87</v>
      </c>
      <c r="J56" s="16" t="inlineStr">
        <is>
          <t>否</t>
        </is>
      </c>
      <c r="K56" s="16" t="inlineStr">
        <is>
          <t>门店已反馈</t>
        </is>
      </c>
    </row>
    <row r="57">
      <c r="A57" s="16" t="inlineStr">
        <is>
          <t>BS-2508-0053</t>
        </is>
      </c>
      <c r="B57" s="34" t="n">
        <v>45903</v>
      </c>
      <c r="C57" s="16" t="inlineStr">
        <is>
          <t>NY-KW-2508-001</t>
        </is>
      </c>
      <c r="D57" s="16" t="inlineStr">
        <is>
          <t>门店收货</t>
        </is>
      </c>
      <c r="E57" s="16" t="inlineStr">
        <is>
          <t>过熟偏软</t>
        </is>
      </c>
      <c r="F57" s="35" t="n">
        <v>74.5</v>
      </c>
      <c r="G57" s="35" t="n">
        <v>44.2</v>
      </c>
      <c r="H57" s="35" t="n">
        <v>30.3</v>
      </c>
      <c r="I57" s="36" t="n">
        <v>479.88</v>
      </c>
      <c r="J57" s="16" t="inlineStr">
        <is>
          <t>是</t>
        </is>
      </c>
      <c r="K57" s="16" t="inlineStr">
        <is>
          <t>已和采购沟通</t>
        </is>
      </c>
    </row>
    <row r="58">
      <c r="A58" s="16" t="inlineStr">
        <is>
          <t>BS-2508-0054</t>
        </is>
      </c>
      <c r="B58" s="34" t="n">
        <v>45941</v>
      </c>
      <c r="C58" s="16" t="inlineStr">
        <is>
          <t>NY-KW-2508-004</t>
        </is>
      </c>
      <c r="D58" s="16" t="inlineStr">
        <is>
          <t>仓库分拣</t>
        </is>
      </c>
      <c r="E58" s="16" t="inlineStr">
        <is>
          <t>软烂</t>
        </is>
      </c>
      <c r="F58" s="35" t="n">
        <v>78.7</v>
      </c>
      <c r="G58" s="35" t="n">
        <v>27.4</v>
      </c>
      <c r="H58" s="35" t="n">
        <v>51.3</v>
      </c>
      <c r="I58" s="36" t="n">
        <v>262.73</v>
      </c>
      <c r="J58" s="16" t="inlineStr">
        <is>
          <t>是</t>
        </is>
      </c>
      <c r="K58" s="16" t="inlineStr">
        <is>
          <t>门店已反馈</t>
        </is>
      </c>
    </row>
    <row r="59">
      <c r="A59" s="16" t="inlineStr">
        <is>
          <t>BS-2508-0055</t>
        </is>
      </c>
      <c r="B59" s="34" t="n">
        <v>45926</v>
      </c>
      <c r="C59" s="16" t="inlineStr">
        <is>
          <t>NY-KW-2508-003</t>
        </is>
      </c>
      <c r="D59" s="16" t="inlineStr">
        <is>
          <t>仓库分拣</t>
        </is>
      </c>
      <c r="E59" s="16" t="inlineStr">
        <is>
          <t>过熟偏软</t>
        </is>
      </c>
      <c r="F59" s="35" t="n">
        <v>436.4</v>
      </c>
      <c r="G59" s="35" t="n">
        <v>199.8</v>
      </c>
      <c r="H59" s="35" t="n">
        <v>236.6</v>
      </c>
      <c r="I59" s="36" t="n">
        <v>2162.82</v>
      </c>
      <c r="J59" s="16" t="inlineStr">
        <is>
          <t>是</t>
        </is>
      </c>
      <c r="K59" s="16" t="inlineStr">
        <is>
          <t>需复盘</t>
        </is>
      </c>
    </row>
    <row r="60">
      <c r="A60" s="16" t="inlineStr">
        <is>
          <t>BS-2508-0056</t>
        </is>
      </c>
      <c r="B60" s="34" t="n">
        <v>45936</v>
      </c>
      <c r="C60" s="16" t="inlineStr">
        <is>
          <t>NY-KW-2508-014</t>
        </is>
      </c>
      <c r="D60" s="16" t="inlineStr">
        <is>
          <t>门店收货</t>
        </is>
      </c>
      <c r="E60" s="16" t="inlineStr">
        <is>
          <t>表皮皱缩</t>
        </is>
      </c>
      <c r="F60" s="35" t="n">
        <v>120.7</v>
      </c>
      <c r="G60" s="35" t="n">
        <v>49.9</v>
      </c>
      <c r="H60" s="35" t="n">
        <v>70.8</v>
      </c>
      <c r="I60" s="36" t="n">
        <v>494.36</v>
      </c>
      <c r="J60" s="16" t="inlineStr">
        <is>
          <t>否</t>
        </is>
      </c>
      <c r="K60" s="16" t="inlineStr">
        <is>
          <t>已和采购沟通</t>
        </is>
      </c>
    </row>
    <row r="61">
      <c r="A61" s="16" t="inlineStr">
        <is>
          <t>BS-2508-0057</t>
        </is>
      </c>
      <c r="B61" s="34" t="n">
        <v>45902</v>
      </c>
      <c r="C61" s="16" t="inlineStr">
        <is>
          <t>NY-KW-2508-021</t>
        </is>
      </c>
      <c r="D61" s="16" t="inlineStr">
        <is>
          <t>客户退货</t>
        </is>
      </c>
      <c r="E61" s="16" t="inlineStr">
        <is>
          <t>规格不符</t>
        </is>
      </c>
      <c r="F61" s="35" t="n">
        <v>441.2</v>
      </c>
      <c r="G61" s="35" t="n">
        <v>267.8</v>
      </c>
      <c r="H61" s="35" t="n">
        <v>173.4</v>
      </c>
      <c r="I61" s="36" t="n">
        <v>2877.88</v>
      </c>
      <c r="J61" s="16" t="inlineStr">
        <is>
          <t>否</t>
        </is>
      </c>
      <c r="K61" s="16" t="inlineStr">
        <is>
          <t>需复盘</t>
        </is>
      </c>
    </row>
    <row r="62">
      <c r="A62" s="16" t="inlineStr">
        <is>
          <t>BS-2508-0058</t>
        </is>
      </c>
      <c r="B62" s="34" t="n">
        <v>45907</v>
      </c>
      <c r="C62" s="16" t="inlineStr">
        <is>
          <t>NY-KW-2508-006</t>
        </is>
      </c>
      <c r="D62" s="16" t="inlineStr">
        <is>
          <t>仓库分拣</t>
        </is>
      </c>
      <c r="E62" s="16" t="inlineStr">
        <is>
          <t>霉点</t>
        </is>
      </c>
      <c r="F62" s="35" t="n">
        <v>252.3</v>
      </c>
      <c r="G62" s="35" t="n">
        <v>133.2</v>
      </c>
      <c r="H62" s="35" t="n">
        <v>119.1</v>
      </c>
      <c r="I62" s="36" t="n">
        <v>1250.63</v>
      </c>
      <c r="J62" s="16" t="inlineStr">
        <is>
          <t>否</t>
        </is>
      </c>
      <c r="K62" s="16" t="inlineStr">
        <is>
          <t>正常记录</t>
        </is>
      </c>
    </row>
    <row r="63">
      <c r="A63" s="16" t="inlineStr">
        <is>
          <t>BS-2508-0059</t>
        </is>
      </c>
      <c r="B63" s="34" t="n">
        <v>45926</v>
      </c>
      <c r="C63" s="16" t="inlineStr">
        <is>
          <t>NY-KW-2508-020</t>
        </is>
      </c>
      <c r="D63" s="16" t="inlineStr">
        <is>
          <t>仓库分拣</t>
        </is>
      </c>
      <c r="E63" s="16" t="inlineStr">
        <is>
          <t>表皮皱缩</t>
        </is>
      </c>
      <c r="F63" s="35" t="n">
        <v>277.6</v>
      </c>
      <c r="G63" s="35" t="n">
        <v>70.2</v>
      </c>
      <c r="H63" s="35" t="n">
        <v>207.4</v>
      </c>
      <c r="I63" s="36" t="n">
        <v>997.48</v>
      </c>
      <c r="J63" s="16" t="inlineStr">
        <is>
          <t>否</t>
        </is>
      </c>
      <c r="K63" s="16" t="inlineStr">
        <is>
          <t>正常记录</t>
        </is>
      </c>
    </row>
    <row r="64">
      <c r="A64" s="16" t="inlineStr">
        <is>
          <t>BS-2508-0060</t>
        </is>
      </c>
      <c r="B64" s="34" t="n">
        <v>45929</v>
      </c>
      <c r="C64" s="16" t="inlineStr">
        <is>
          <t>NY-KW-2508-019</t>
        </is>
      </c>
      <c r="D64" s="16" t="inlineStr">
        <is>
          <t>运输到货</t>
        </is>
      </c>
      <c r="E64" s="16" t="inlineStr">
        <is>
          <t>过熟偏软</t>
        </is>
      </c>
      <c r="F64" s="35" t="n">
        <v>229.6</v>
      </c>
      <c r="G64" s="35" t="n">
        <v>104.7</v>
      </c>
      <c r="H64" s="35" t="n">
        <v>124.9</v>
      </c>
      <c r="I64" s="36" t="n">
        <v>1265.27</v>
      </c>
      <c r="J64" s="16" t="inlineStr">
        <is>
          <t>是</t>
        </is>
      </c>
      <c r="K64" s="16" t="inlineStr">
        <is>
          <t>正常记录</t>
        </is>
      </c>
    </row>
    <row r="65">
      <c r="A65" s="16" t="inlineStr">
        <is>
          <t>BS-2508-0061</t>
        </is>
      </c>
      <c r="B65" s="34" t="n">
        <v>45935</v>
      </c>
      <c r="C65" s="16" t="inlineStr">
        <is>
          <t>NY-KW-2508-028</t>
        </is>
      </c>
      <c r="D65" s="16" t="inlineStr">
        <is>
          <t>门店收货</t>
        </is>
      </c>
      <c r="E65" s="16" t="inlineStr">
        <is>
          <t>软烂</t>
        </is>
      </c>
      <c r="F65" s="35" t="n">
        <v>353.6</v>
      </c>
      <c r="G65" s="35" t="n">
        <v>127.8</v>
      </c>
      <c r="H65" s="35" t="n">
        <v>225.8</v>
      </c>
      <c r="I65" s="36" t="n">
        <v>1785.98</v>
      </c>
      <c r="J65" s="16" t="inlineStr">
        <is>
          <t>是</t>
        </is>
      </c>
      <c r="K65" s="16" t="inlineStr">
        <is>
          <t>需复盘</t>
        </is>
      </c>
    </row>
    <row r="66">
      <c r="A66" s="16" t="inlineStr">
        <is>
          <t>BS-2508-0062</t>
        </is>
      </c>
      <c r="B66" s="34" t="n">
        <v>45928</v>
      </c>
      <c r="C66" s="16" t="inlineStr">
        <is>
          <t>NY-KW-2508-020</t>
        </is>
      </c>
      <c r="D66" s="16" t="inlineStr">
        <is>
          <t>客户退货</t>
        </is>
      </c>
      <c r="E66" s="16" t="inlineStr">
        <is>
          <t>软烂</t>
        </is>
      </c>
      <c r="F66" s="35" t="n">
        <v>230.1</v>
      </c>
      <c r="G66" s="35" t="n">
        <v>89.3</v>
      </c>
      <c r="H66" s="35" t="n">
        <v>140.8</v>
      </c>
      <c r="I66" s="36" t="n">
        <v>882.11</v>
      </c>
      <c r="J66" s="16" t="inlineStr">
        <is>
          <t>是</t>
        </is>
      </c>
      <c r="K66" s="16" t="inlineStr">
        <is>
          <t>需复盘</t>
        </is>
      </c>
    </row>
    <row r="67">
      <c r="A67" s="16" t="inlineStr">
        <is>
          <t>BS-2508-0063</t>
        </is>
      </c>
      <c r="B67" s="34" t="n">
        <v>45940</v>
      </c>
      <c r="C67" s="16" t="inlineStr">
        <is>
          <t>NY-KW-2508-013</t>
        </is>
      </c>
      <c r="D67" s="16" t="inlineStr">
        <is>
          <t>门店收货</t>
        </is>
      </c>
      <c r="E67" s="16" t="inlineStr">
        <is>
          <t>规格不符</t>
        </is>
      </c>
      <c r="F67" s="35" t="n">
        <v>199.1</v>
      </c>
      <c r="G67" s="35" t="n">
        <v>115.7</v>
      </c>
      <c r="H67" s="35" t="n">
        <v>83.40000000000001</v>
      </c>
      <c r="I67" s="36" t="n">
        <v>1082.71</v>
      </c>
      <c r="J67" s="16" t="inlineStr">
        <is>
          <t>否</t>
        </is>
      </c>
      <c r="K67" s="16" t="inlineStr">
        <is>
          <t>正常记录</t>
        </is>
      </c>
    </row>
    <row r="68">
      <c r="A68" s="16" t="inlineStr">
        <is>
          <t>BS-2508-0064</t>
        </is>
      </c>
      <c r="B68" s="34" t="n">
        <v>45913</v>
      </c>
      <c r="C68" s="16" t="inlineStr">
        <is>
          <t>NY-KW-2508-027</t>
        </is>
      </c>
      <c r="D68" s="16" t="inlineStr">
        <is>
          <t>运输到货</t>
        </is>
      </c>
      <c r="E68" s="16" t="inlineStr">
        <is>
          <t>软烂</t>
        </is>
      </c>
      <c r="F68" s="35" t="n">
        <v>298</v>
      </c>
      <c r="G68" s="35" t="n">
        <v>196.4</v>
      </c>
      <c r="H68" s="35" t="n">
        <v>101.6</v>
      </c>
      <c r="I68" s="36" t="n">
        <v>2357.69</v>
      </c>
      <c r="J68" s="16" t="inlineStr">
        <is>
          <t>是</t>
        </is>
      </c>
      <c r="K68" s="16" t="inlineStr">
        <is>
          <t>需复盘</t>
        </is>
      </c>
    </row>
    <row r="69">
      <c r="A69" s="16" t="inlineStr">
        <is>
          <t>BS-2508-0065</t>
        </is>
      </c>
      <c r="B69" s="34" t="n">
        <v>45918</v>
      </c>
      <c r="C69" s="16" t="inlineStr">
        <is>
          <t>NY-KW-2508-022</t>
        </is>
      </c>
      <c r="D69" s="16" t="inlineStr">
        <is>
          <t>仓库分拣</t>
        </is>
      </c>
      <c r="E69" s="16" t="inlineStr">
        <is>
          <t>过熟偏软</t>
        </is>
      </c>
      <c r="F69" s="35" t="n">
        <v>416.1</v>
      </c>
      <c r="G69" s="35" t="n">
        <v>274.9</v>
      </c>
      <c r="H69" s="35" t="n">
        <v>141.2</v>
      </c>
      <c r="I69" s="36" t="n">
        <v>2782.26</v>
      </c>
      <c r="J69" s="16" t="inlineStr">
        <is>
          <t>是</t>
        </is>
      </c>
      <c r="K69" s="16" t="inlineStr">
        <is>
          <t>需复盘</t>
        </is>
      </c>
    </row>
    <row r="70">
      <c r="A70" s="16" t="inlineStr">
        <is>
          <t>BS-2508-0066</t>
        </is>
      </c>
      <c r="B70" s="34" t="n">
        <v>45933</v>
      </c>
      <c r="C70" s="16" t="inlineStr">
        <is>
          <t>NY-KW-2508-009</t>
        </is>
      </c>
      <c r="D70" s="16" t="inlineStr">
        <is>
          <t>门店收货</t>
        </is>
      </c>
      <c r="E70" s="16" t="inlineStr">
        <is>
          <t>碰压伤</t>
        </is>
      </c>
      <c r="F70" s="35" t="n">
        <v>159</v>
      </c>
      <c r="G70" s="35" t="n">
        <v>65.3</v>
      </c>
      <c r="H70" s="35" t="n">
        <v>93.7</v>
      </c>
      <c r="I70" s="36" t="n">
        <v>738.24</v>
      </c>
      <c r="J70" s="16" t="inlineStr">
        <is>
          <t>否</t>
        </is>
      </c>
      <c r="K70" s="16" t="inlineStr">
        <is>
          <t>需复盘</t>
        </is>
      </c>
    </row>
    <row r="71">
      <c r="A71" s="16" t="inlineStr">
        <is>
          <t>BS-2508-0067</t>
        </is>
      </c>
      <c r="B71" s="34" t="n">
        <v>45939</v>
      </c>
      <c r="C71" s="16" t="inlineStr">
        <is>
          <t>NY-KW-2508-014</t>
        </is>
      </c>
      <c r="D71" s="16" t="inlineStr">
        <is>
          <t>运输到货</t>
        </is>
      </c>
      <c r="E71" s="16" t="inlineStr">
        <is>
          <t>规格不符</t>
        </is>
      </c>
      <c r="F71" s="35" t="n">
        <v>422.2</v>
      </c>
      <c r="G71" s="35" t="n">
        <v>134.2</v>
      </c>
      <c r="H71" s="35" t="n">
        <v>288</v>
      </c>
      <c r="I71" s="36" t="n">
        <v>1515.94</v>
      </c>
      <c r="J71" s="16" t="inlineStr">
        <is>
          <t>否</t>
        </is>
      </c>
      <c r="K71" s="16" t="inlineStr">
        <is>
          <t>需复盘</t>
        </is>
      </c>
    </row>
    <row r="72">
      <c r="A72" s="16" t="inlineStr">
        <is>
          <t>BS-2508-0068</t>
        </is>
      </c>
      <c r="B72" s="34" t="n">
        <v>45944</v>
      </c>
      <c r="C72" s="16" t="inlineStr">
        <is>
          <t>NY-KW-2508-013</t>
        </is>
      </c>
      <c r="D72" s="16" t="inlineStr">
        <is>
          <t>仓库分拣</t>
        </is>
      </c>
      <c r="E72" s="16" t="inlineStr">
        <is>
          <t>软烂</t>
        </is>
      </c>
      <c r="F72" s="35" t="n">
        <v>335.3</v>
      </c>
      <c r="G72" s="35" t="n">
        <v>156.9</v>
      </c>
      <c r="H72" s="35" t="n">
        <v>178.4</v>
      </c>
      <c r="I72" s="36" t="n">
        <v>1625.91</v>
      </c>
      <c r="J72" s="16" t="inlineStr">
        <is>
          <t>是</t>
        </is>
      </c>
      <c r="K72" s="16" t="inlineStr">
        <is>
          <t>门店已反馈</t>
        </is>
      </c>
    </row>
    <row r="73">
      <c r="A73" s="16" t="inlineStr">
        <is>
          <t>BS-2508-0069</t>
        </is>
      </c>
      <c r="B73" s="34" t="n">
        <v>45927</v>
      </c>
      <c r="C73" s="16" t="inlineStr">
        <is>
          <t>NY-KW-2508-012</t>
        </is>
      </c>
      <c r="D73" s="16" t="inlineStr">
        <is>
          <t>门店收货</t>
        </is>
      </c>
      <c r="E73" s="16" t="inlineStr">
        <is>
          <t>表皮皱缩</t>
        </is>
      </c>
      <c r="F73" s="35" t="n">
        <v>277.7</v>
      </c>
      <c r="G73" s="35" t="n">
        <v>155.4</v>
      </c>
      <c r="H73" s="35" t="n">
        <v>122.3</v>
      </c>
      <c r="I73" s="36" t="n">
        <v>1547.47</v>
      </c>
      <c r="J73" s="16" t="inlineStr">
        <is>
          <t>否</t>
        </is>
      </c>
      <c r="K73" s="16" t="inlineStr">
        <is>
          <t>门店已反馈</t>
        </is>
      </c>
    </row>
    <row r="74">
      <c r="A74" s="16" t="inlineStr">
        <is>
          <t>BS-2508-0070</t>
        </is>
      </c>
      <c r="B74" s="34" t="n">
        <v>45932</v>
      </c>
      <c r="C74" s="16" t="inlineStr">
        <is>
          <t>NY-KW-2508-017</t>
        </is>
      </c>
      <c r="D74" s="16" t="inlineStr">
        <is>
          <t>仓库分拣</t>
        </is>
      </c>
      <c r="E74" s="16" t="inlineStr">
        <is>
          <t>过熟偏软</t>
        </is>
      </c>
      <c r="F74" s="35" t="n">
        <v>76.2</v>
      </c>
      <c r="G74" s="35" t="n">
        <v>53.3</v>
      </c>
      <c r="H74" s="35" t="n">
        <v>22.9</v>
      </c>
      <c r="I74" s="36" t="n">
        <v>440.2</v>
      </c>
      <c r="J74" s="16" t="inlineStr">
        <is>
          <t>是</t>
        </is>
      </c>
      <c r="K74" s="16" t="inlineStr">
        <is>
          <t>需复盘</t>
        </is>
      </c>
    </row>
    <row r="75">
      <c r="A75" s="16" t="inlineStr">
        <is>
          <t>BS-2508-0071</t>
        </is>
      </c>
      <c r="B75" s="34" t="n">
        <v>45949</v>
      </c>
      <c r="C75" s="16" t="inlineStr">
        <is>
          <t>NY-KW-2508-016</t>
        </is>
      </c>
      <c r="D75" s="16" t="inlineStr">
        <is>
          <t>仓库分拣</t>
        </is>
      </c>
      <c r="E75" s="16" t="inlineStr">
        <is>
          <t>碰压伤</t>
        </is>
      </c>
      <c r="F75" s="35" t="n">
        <v>266.7</v>
      </c>
      <c r="G75" s="35" t="n">
        <v>134.5</v>
      </c>
      <c r="H75" s="35" t="n">
        <v>132.2</v>
      </c>
      <c r="I75" s="36" t="n">
        <v>1477.3</v>
      </c>
      <c r="J75" s="16" t="inlineStr">
        <is>
          <t>否</t>
        </is>
      </c>
      <c r="K75" s="16" t="inlineStr">
        <is>
          <t>正常记录</t>
        </is>
      </c>
    </row>
    <row r="76">
      <c r="A76" s="16" t="inlineStr">
        <is>
          <t>BS-2508-0072</t>
        </is>
      </c>
      <c r="B76" s="34" t="n">
        <v>45896</v>
      </c>
      <c r="C76" s="16" t="inlineStr">
        <is>
          <t>NY-KW-2508-001</t>
        </is>
      </c>
      <c r="D76" s="16" t="inlineStr">
        <is>
          <t>运输到货</t>
        </is>
      </c>
      <c r="E76" s="16" t="inlineStr">
        <is>
          <t>软烂</t>
        </is>
      </c>
      <c r="F76" s="35" t="n">
        <v>67.8</v>
      </c>
      <c r="G76" s="35" t="n">
        <v>20.6</v>
      </c>
      <c r="H76" s="35" t="n">
        <v>47.2</v>
      </c>
      <c r="I76" s="36" t="n">
        <v>352.81</v>
      </c>
      <c r="J76" s="16" t="inlineStr">
        <is>
          <t>是</t>
        </is>
      </c>
      <c r="K76" s="16" t="inlineStr">
        <is>
          <t>需复盘</t>
        </is>
      </c>
    </row>
    <row r="77">
      <c r="A77" s="16" t="inlineStr">
        <is>
          <t>BS-2508-0073</t>
        </is>
      </c>
      <c r="B77" s="34" t="n">
        <v>45900</v>
      </c>
      <c r="C77" s="16" t="inlineStr">
        <is>
          <t>NY-KW-2508-001</t>
        </is>
      </c>
      <c r="D77" s="16" t="inlineStr">
        <is>
          <t>客户退货</t>
        </is>
      </c>
      <c r="E77" s="16" t="inlineStr">
        <is>
          <t>过熟偏软</t>
        </is>
      </c>
      <c r="F77" s="35" t="n">
        <v>165.3</v>
      </c>
      <c r="G77" s="35" t="n">
        <v>46</v>
      </c>
      <c r="H77" s="35" t="n">
        <v>119.3</v>
      </c>
      <c r="I77" s="36" t="n">
        <v>699.76</v>
      </c>
      <c r="J77" s="16" t="inlineStr">
        <is>
          <t>是</t>
        </is>
      </c>
      <c r="K77" s="16" t="inlineStr">
        <is>
          <t>门店已反馈</t>
        </is>
      </c>
    </row>
    <row r="78">
      <c r="A78" s="16" t="inlineStr">
        <is>
          <t>BS-2508-0074</t>
        </is>
      </c>
      <c r="B78" s="34" t="n">
        <v>45958</v>
      </c>
      <c r="C78" s="16" t="inlineStr">
        <is>
          <t>NY-KW-2508-010</t>
        </is>
      </c>
      <c r="D78" s="16" t="inlineStr">
        <is>
          <t>仓库分拣</t>
        </is>
      </c>
      <c r="E78" s="16" t="inlineStr">
        <is>
          <t>软烂</t>
        </is>
      </c>
      <c r="F78" s="35" t="n">
        <v>198.9</v>
      </c>
      <c r="G78" s="35" t="n">
        <v>111.6</v>
      </c>
      <c r="H78" s="35" t="n">
        <v>87.3</v>
      </c>
      <c r="I78" s="36" t="n">
        <v>1249.95</v>
      </c>
      <c r="J78" s="16" t="inlineStr">
        <is>
          <t>是</t>
        </is>
      </c>
      <c r="K78" s="16" t="inlineStr">
        <is>
          <t>正常记录</t>
        </is>
      </c>
    </row>
    <row r="79">
      <c r="A79" s="16" t="inlineStr">
        <is>
          <t>BS-2508-0075</t>
        </is>
      </c>
      <c r="B79" s="34" t="n">
        <v>45944</v>
      </c>
      <c r="C79" s="16" t="inlineStr">
        <is>
          <t>NY-KW-2508-004</t>
        </is>
      </c>
      <c r="D79" s="16" t="inlineStr">
        <is>
          <t>运输到货</t>
        </is>
      </c>
      <c r="E79" s="16" t="inlineStr">
        <is>
          <t>软烂</t>
        </is>
      </c>
      <c r="F79" s="35" t="n">
        <v>394.6</v>
      </c>
      <c r="G79" s="35" t="n">
        <v>239.3</v>
      </c>
      <c r="H79" s="35" t="n">
        <v>155.3</v>
      </c>
      <c r="I79" s="36" t="n">
        <v>1830.76</v>
      </c>
      <c r="J79" s="16" t="inlineStr">
        <is>
          <t>是</t>
        </is>
      </c>
      <c r="K79" s="16" t="inlineStr">
        <is>
          <t>需复盘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5" customWidth="1" min="9" max="9"/>
    <col width="15" customWidth="1" min="10" max="10"/>
    <col width="12" customWidth="1" min="11" max="11"/>
    <col width="12" customWidth="1" min="12" max="12"/>
    <col width="20" customWidth="1" min="13" max="13"/>
  </cols>
  <sheetData>
    <row r="1" ht="28" customHeight="1">
      <c r="A1" s="3" t="inlineStr">
        <is>
          <t>销售流水</t>
        </is>
      </c>
    </row>
    <row r="2" ht="32" customHeight="1">
      <c r="A2" s="7" t="inlineStr">
        <is>
          <t>来源：企业经营数据样例/04_销售流水与价格记录.xlsx。保留原始逐笔记录；日期、数量、金额和比例按字段类型呈现。</t>
        </is>
      </c>
    </row>
    <row r="4" ht="30" customHeight="1">
      <c r="A4" s="13" t="inlineStr">
        <is>
          <t>销售单号</t>
        </is>
      </c>
      <c r="B4" s="13" t="inlineStr">
        <is>
          <t>销售日期</t>
        </is>
      </c>
      <c r="C4" s="13" t="inlineStr">
        <is>
          <t>批次号</t>
        </is>
      </c>
      <c r="D4" s="13" t="inlineStr">
        <is>
          <t>渠道</t>
        </is>
      </c>
      <c r="E4" s="13" t="inlineStr">
        <is>
          <t>城市</t>
        </is>
      </c>
      <c r="F4" s="13" t="inlineStr">
        <is>
          <t>销售kg</t>
        </is>
      </c>
      <c r="G4" s="13" t="inlineStr">
        <is>
          <t>原价销售kg</t>
        </is>
      </c>
      <c r="H4" s="13" t="inlineStr">
        <is>
          <t>折价销售kg</t>
        </is>
      </c>
      <c r="I4" s="13" t="inlineStr">
        <is>
          <t>平均售价元kg</t>
        </is>
      </c>
      <c r="J4" s="13" t="inlineStr">
        <is>
          <t>销售收入元</t>
        </is>
      </c>
      <c r="K4" s="13" t="inlineStr">
        <is>
          <t>退货kg</t>
        </is>
      </c>
      <c r="L4" s="13" t="inlineStr">
        <is>
          <t>客诉件数</t>
        </is>
      </c>
      <c r="M4" s="13" t="inlineStr">
        <is>
          <t>客诉原因</t>
        </is>
      </c>
    </row>
    <row r="5">
      <c r="A5" s="16" t="inlineStr">
        <is>
          <t>XS-2508-00001</t>
        </is>
      </c>
      <c r="B5" s="34" t="n">
        <v>45895</v>
      </c>
      <c r="C5" s="16" t="inlineStr">
        <is>
          <t>NY-KW-2508-001</t>
        </is>
      </c>
      <c r="D5" s="16" t="inlineStr">
        <is>
          <t>批发客户</t>
        </is>
      </c>
      <c r="E5" s="16" t="inlineStr">
        <is>
          <t>佛山</t>
        </is>
      </c>
      <c r="F5" s="35" t="n">
        <v>696.8</v>
      </c>
      <c r="G5" s="35" t="n">
        <v>553.8</v>
      </c>
      <c r="H5" s="35" t="n">
        <v>143</v>
      </c>
      <c r="I5" s="35" t="n">
        <v>25.12</v>
      </c>
      <c r="J5" s="36" t="n">
        <v>17503.62</v>
      </c>
      <c r="K5" s="35" t="n">
        <v>11.6</v>
      </c>
      <c r="L5" s="35" t="n">
        <v>1</v>
      </c>
      <c r="M5" s="16" t="inlineStr">
        <is>
          <t>风味一般</t>
        </is>
      </c>
    </row>
    <row r="6">
      <c r="A6" s="16" t="inlineStr">
        <is>
          <t>XS-2508-00002</t>
        </is>
      </c>
      <c r="B6" s="34" t="n">
        <v>45896</v>
      </c>
      <c r="C6" s="16" t="inlineStr">
        <is>
          <t>NY-KW-2508-001</t>
        </is>
      </c>
      <c r="D6" s="16" t="inlineStr">
        <is>
          <t>社区电商</t>
        </is>
      </c>
      <c r="E6" s="16" t="inlineStr">
        <is>
          <t>深圳</t>
        </is>
      </c>
      <c r="F6" s="35" t="n">
        <v>843.8</v>
      </c>
      <c r="G6" s="35" t="n">
        <v>807.4</v>
      </c>
      <c r="H6" s="35" t="n">
        <v>36.4</v>
      </c>
      <c r="I6" s="35" t="n">
        <v>25.51</v>
      </c>
      <c r="J6" s="36" t="n">
        <v>21525.34</v>
      </c>
      <c r="K6" s="35" t="n">
        <v>4.5</v>
      </c>
      <c r="L6" s="35" t="n">
        <v>0</v>
      </c>
      <c r="M6" s="16" t="inlineStr">
        <is>
          <t>无</t>
        </is>
      </c>
    </row>
    <row r="7">
      <c r="A7" s="16" t="inlineStr">
        <is>
          <t>XS-2508-00003</t>
        </is>
      </c>
      <c r="B7" s="34" t="n">
        <v>45897</v>
      </c>
      <c r="C7" s="16" t="inlineStr">
        <is>
          <t>NY-KW-2508-001</t>
        </is>
      </c>
      <c r="D7" s="16" t="inlineStr">
        <is>
          <t>连锁门店</t>
        </is>
      </c>
      <c r="E7" s="16" t="inlineStr">
        <is>
          <t>惠州</t>
        </is>
      </c>
      <c r="F7" s="35" t="n">
        <v>1330.2</v>
      </c>
      <c r="G7" s="35" t="n">
        <v>921.1</v>
      </c>
      <c r="H7" s="35" t="n">
        <v>409.1</v>
      </c>
      <c r="I7" s="35" t="n">
        <v>26.04</v>
      </c>
      <c r="J7" s="36" t="n">
        <v>34638.41</v>
      </c>
      <c r="K7" s="35" t="n">
        <v>9</v>
      </c>
      <c r="L7" s="35" t="n">
        <v>0</v>
      </c>
      <c r="M7" s="16" t="inlineStr">
        <is>
          <t>无</t>
        </is>
      </c>
    </row>
    <row r="8">
      <c r="A8" s="16" t="inlineStr">
        <is>
          <t>XS-2508-00004</t>
        </is>
      </c>
      <c r="B8" s="34" t="n">
        <v>45898</v>
      </c>
      <c r="C8" s="16" t="inlineStr">
        <is>
          <t>NY-KW-2508-001</t>
        </is>
      </c>
      <c r="D8" s="16" t="inlineStr">
        <is>
          <t>连锁门店</t>
        </is>
      </c>
      <c r="E8" s="16" t="inlineStr">
        <is>
          <t>惠州</t>
        </is>
      </c>
      <c r="F8" s="35" t="n">
        <v>1040.6</v>
      </c>
      <c r="G8" s="35" t="n">
        <v>848.5</v>
      </c>
      <c r="H8" s="35" t="n">
        <v>192.1</v>
      </c>
      <c r="I8" s="35" t="n">
        <v>24.92</v>
      </c>
      <c r="J8" s="36" t="n">
        <v>25931.75</v>
      </c>
      <c r="K8" s="35" t="n">
        <v>12.4</v>
      </c>
      <c r="L8" s="35" t="n">
        <v>1</v>
      </c>
      <c r="M8" s="16" t="inlineStr">
        <is>
          <t>偏硬</t>
        </is>
      </c>
    </row>
    <row r="9">
      <c r="A9" s="16" t="inlineStr">
        <is>
          <t>XS-2508-00005</t>
        </is>
      </c>
      <c r="B9" s="34" t="n">
        <v>45899</v>
      </c>
      <c r="C9" s="16" t="inlineStr">
        <is>
          <t>NY-KW-2508-001</t>
        </is>
      </c>
      <c r="D9" s="16" t="inlineStr">
        <is>
          <t>连锁门店</t>
        </is>
      </c>
      <c r="E9" s="16" t="inlineStr">
        <is>
          <t>深圳</t>
        </is>
      </c>
      <c r="F9" s="35" t="n">
        <v>273</v>
      </c>
      <c r="G9" s="35" t="n">
        <v>225.1</v>
      </c>
      <c r="H9" s="35" t="n">
        <v>47.9</v>
      </c>
      <c r="I9" s="35" t="n">
        <v>28.8</v>
      </c>
      <c r="J9" s="36" t="n">
        <v>7862.4</v>
      </c>
      <c r="K9" s="35" t="n">
        <v>0.6</v>
      </c>
      <c r="L9" s="35" t="n">
        <v>2</v>
      </c>
      <c r="M9" s="16" t="inlineStr">
        <is>
          <t>外观</t>
        </is>
      </c>
    </row>
    <row r="10">
      <c r="A10" s="16" t="inlineStr">
        <is>
          <t>XS-2508-00006</t>
        </is>
      </c>
      <c r="B10" s="34" t="n">
        <v>45900</v>
      </c>
      <c r="C10" s="16" t="inlineStr">
        <is>
          <t>NY-KW-2508-001</t>
        </is>
      </c>
      <c r="D10" s="16" t="inlineStr">
        <is>
          <t>连锁门店</t>
        </is>
      </c>
      <c r="E10" s="16" t="inlineStr">
        <is>
          <t>广州</t>
        </is>
      </c>
      <c r="F10" s="35" t="n">
        <v>184.2</v>
      </c>
      <c r="G10" s="35" t="n">
        <v>104.3</v>
      </c>
      <c r="H10" s="35" t="n">
        <v>79.90000000000001</v>
      </c>
      <c r="I10" s="35" t="n">
        <v>23.96</v>
      </c>
      <c r="J10" s="36" t="n">
        <v>4413.43</v>
      </c>
      <c r="K10" s="35" t="n">
        <v>3.2</v>
      </c>
      <c r="L10" s="35" t="n">
        <v>0</v>
      </c>
      <c r="M10" s="16" t="inlineStr">
        <is>
          <t>无</t>
        </is>
      </c>
    </row>
    <row r="11">
      <c r="A11" s="16" t="inlineStr">
        <is>
          <t>XS-2508-00007</t>
        </is>
      </c>
      <c r="B11" s="34" t="n">
        <v>45901</v>
      </c>
      <c r="C11" s="16" t="inlineStr">
        <is>
          <t>NY-KW-2508-001</t>
        </is>
      </c>
      <c r="D11" s="16" t="inlineStr">
        <is>
          <t>连锁门店</t>
        </is>
      </c>
      <c r="E11" s="16" t="inlineStr">
        <is>
          <t>广州</t>
        </is>
      </c>
      <c r="F11" s="35" t="n">
        <v>611.2</v>
      </c>
      <c r="G11" s="35" t="n">
        <v>383.8</v>
      </c>
      <c r="H11" s="35" t="n">
        <v>227.4</v>
      </c>
      <c r="I11" s="35" t="n">
        <v>30.65</v>
      </c>
      <c r="J11" s="36" t="n">
        <v>18733.28</v>
      </c>
      <c r="K11" s="35" t="n">
        <v>1.3</v>
      </c>
      <c r="L11" s="35" t="n">
        <v>0</v>
      </c>
      <c r="M11" s="16" t="inlineStr">
        <is>
          <t>无</t>
        </is>
      </c>
    </row>
    <row r="12">
      <c r="A12" s="16" t="inlineStr">
        <is>
          <t>XS-2508-00008</t>
        </is>
      </c>
      <c r="B12" s="34" t="n">
        <v>45902</v>
      </c>
      <c r="C12" s="16" t="inlineStr">
        <is>
          <t>NY-KW-2508-001</t>
        </is>
      </c>
      <c r="D12" s="16" t="inlineStr">
        <is>
          <t>连锁门店</t>
        </is>
      </c>
      <c r="E12" s="16" t="inlineStr">
        <is>
          <t>广州</t>
        </is>
      </c>
      <c r="F12" s="35" t="n">
        <v>451</v>
      </c>
      <c r="G12" s="35" t="n">
        <v>337.7</v>
      </c>
      <c r="H12" s="35" t="n">
        <v>113.3</v>
      </c>
      <c r="I12" s="35" t="n">
        <v>24.18</v>
      </c>
      <c r="J12" s="36" t="n">
        <v>10905.18</v>
      </c>
      <c r="K12" s="35" t="n">
        <v>3.4</v>
      </c>
      <c r="L12" s="35" t="n">
        <v>0</v>
      </c>
      <c r="M12" s="16" t="inlineStr">
        <is>
          <t>无</t>
        </is>
      </c>
    </row>
    <row r="13">
      <c r="A13" s="16" t="inlineStr">
        <is>
          <t>XS-2508-00009</t>
        </is>
      </c>
      <c r="B13" s="34" t="n">
        <v>45903</v>
      </c>
      <c r="C13" s="16" t="inlineStr">
        <is>
          <t>NY-KW-2508-001</t>
        </is>
      </c>
      <c r="D13" s="16" t="inlineStr">
        <is>
          <t>社区电商</t>
        </is>
      </c>
      <c r="E13" s="16" t="inlineStr">
        <is>
          <t>广州</t>
        </is>
      </c>
      <c r="F13" s="35" t="n">
        <v>1281.1</v>
      </c>
      <c r="G13" s="35" t="n">
        <v>903.6</v>
      </c>
      <c r="H13" s="35" t="n">
        <v>377.5</v>
      </c>
      <c r="I13" s="35" t="n">
        <v>27.82</v>
      </c>
      <c r="J13" s="36" t="n">
        <v>35640.2</v>
      </c>
      <c r="K13" s="35" t="n">
        <v>17</v>
      </c>
      <c r="L13" s="35" t="n">
        <v>0</v>
      </c>
      <c r="M13" s="16" t="inlineStr">
        <is>
          <t>无</t>
        </is>
      </c>
    </row>
    <row r="14">
      <c r="A14" s="16" t="inlineStr">
        <is>
          <t>XS-2508-00010</t>
        </is>
      </c>
      <c r="B14" s="34" t="n">
        <v>45939</v>
      </c>
      <c r="C14" s="16" t="inlineStr">
        <is>
          <t>NY-KW-2508-002</t>
        </is>
      </c>
      <c r="D14" s="16" t="inlineStr">
        <is>
          <t>连锁门店</t>
        </is>
      </c>
      <c r="E14" s="16" t="inlineStr">
        <is>
          <t>东莞</t>
        </is>
      </c>
      <c r="F14" s="35" t="n">
        <v>821</v>
      </c>
      <c r="G14" s="35" t="n">
        <v>745.1</v>
      </c>
      <c r="H14" s="35" t="n">
        <v>75.90000000000001</v>
      </c>
      <c r="I14" s="35" t="n">
        <v>24.37</v>
      </c>
      <c r="J14" s="36" t="n">
        <v>20007.77</v>
      </c>
      <c r="K14" s="35" t="n">
        <v>14.4</v>
      </c>
      <c r="L14" s="35" t="n">
        <v>1</v>
      </c>
      <c r="M14" s="16" t="inlineStr">
        <is>
          <t>风味一般</t>
        </is>
      </c>
    </row>
    <row r="15">
      <c r="A15" s="16" t="inlineStr">
        <is>
          <t>XS-2508-00011</t>
        </is>
      </c>
      <c r="B15" s="34" t="n">
        <v>45940</v>
      </c>
      <c r="C15" s="16" t="inlineStr">
        <is>
          <t>NY-KW-2508-002</t>
        </is>
      </c>
      <c r="D15" s="16" t="inlineStr">
        <is>
          <t>连锁门店</t>
        </is>
      </c>
      <c r="E15" s="16" t="inlineStr">
        <is>
          <t>佛山</t>
        </is>
      </c>
      <c r="F15" s="35" t="n">
        <v>828.8</v>
      </c>
      <c r="G15" s="35" t="n">
        <v>749</v>
      </c>
      <c r="H15" s="35" t="n">
        <v>79.8</v>
      </c>
      <c r="I15" s="35" t="n">
        <v>18.22</v>
      </c>
      <c r="J15" s="36" t="n">
        <v>15100.74</v>
      </c>
      <c r="K15" s="35" t="n">
        <v>11.1</v>
      </c>
      <c r="L15" s="35" t="n">
        <v>0</v>
      </c>
      <c r="M15" s="16" t="inlineStr">
        <is>
          <t>无</t>
        </is>
      </c>
    </row>
    <row r="16">
      <c r="A16" s="16" t="inlineStr">
        <is>
          <t>XS-2508-00012</t>
        </is>
      </c>
      <c r="B16" s="34" t="n">
        <v>45941</v>
      </c>
      <c r="C16" s="16" t="inlineStr">
        <is>
          <t>NY-KW-2508-002</t>
        </is>
      </c>
      <c r="D16" s="16" t="inlineStr">
        <is>
          <t>连锁门店</t>
        </is>
      </c>
      <c r="E16" s="16" t="inlineStr">
        <is>
          <t>深圳</t>
        </is>
      </c>
      <c r="F16" s="35" t="n">
        <v>1518.9</v>
      </c>
      <c r="G16" s="35" t="n">
        <v>1382.6</v>
      </c>
      <c r="H16" s="35" t="n">
        <v>136.3</v>
      </c>
      <c r="I16" s="35" t="n">
        <v>25.35</v>
      </c>
      <c r="J16" s="36" t="n">
        <v>38504.12</v>
      </c>
      <c r="K16" s="35" t="n">
        <v>25.8</v>
      </c>
      <c r="L16" s="35" t="n">
        <v>3</v>
      </c>
      <c r="M16" s="16" t="inlineStr">
        <is>
          <t>偏软</t>
        </is>
      </c>
    </row>
    <row r="17">
      <c r="A17" s="16" t="inlineStr">
        <is>
          <t>XS-2508-00013</t>
        </is>
      </c>
      <c r="B17" s="34" t="n">
        <v>45942</v>
      </c>
      <c r="C17" s="16" t="inlineStr">
        <is>
          <t>NY-KW-2508-002</t>
        </is>
      </c>
      <c r="D17" s="16" t="inlineStr">
        <is>
          <t>社区电商</t>
        </is>
      </c>
      <c r="E17" s="16" t="inlineStr">
        <is>
          <t>广州</t>
        </is>
      </c>
      <c r="F17" s="35" t="n">
        <v>1403.7</v>
      </c>
      <c r="G17" s="35" t="n">
        <v>1029.8</v>
      </c>
      <c r="H17" s="35" t="n">
        <v>373.9</v>
      </c>
      <c r="I17" s="35" t="n">
        <v>19.39</v>
      </c>
      <c r="J17" s="36" t="n">
        <v>27217.74</v>
      </c>
      <c r="K17" s="35" t="n">
        <v>14.4</v>
      </c>
      <c r="L17" s="35" t="n">
        <v>0</v>
      </c>
      <c r="M17" s="16" t="inlineStr">
        <is>
          <t>无</t>
        </is>
      </c>
    </row>
    <row r="18">
      <c r="A18" s="16" t="inlineStr">
        <is>
          <t>XS-2508-00014</t>
        </is>
      </c>
      <c r="B18" s="34" t="n">
        <v>45943</v>
      </c>
      <c r="C18" s="16" t="inlineStr">
        <is>
          <t>NY-KW-2508-002</t>
        </is>
      </c>
      <c r="D18" s="16" t="inlineStr">
        <is>
          <t>批发客户</t>
        </is>
      </c>
      <c r="E18" s="16" t="inlineStr">
        <is>
          <t>深圳</t>
        </is>
      </c>
      <c r="F18" s="35" t="n">
        <v>400.3</v>
      </c>
      <c r="G18" s="35" t="n">
        <v>286.8</v>
      </c>
      <c r="H18" s="35" t="n">
        <v>113.5</v>
      </c>
      <c r="I18" s="35" t="n">
        <v>18.53</v>
      </c>
      <c r="J18" s="36" t="n">
        <v>7417.56</v>
      </c>
      <c r="K18" s="35" t="n">
        <v>1</v>
      </c>
      <c r="L18" s="35" t="n">
        <v>0</v>
      </c>
      <c r="M18" s="16" t="inlineStr">
        <is>
          <t>无</t>
        </is>
      </c>
    </row>
    <row r="19">
      <c r="A19" s="16" t="inlineStr">
        <is>
          <t>XS-2508-00015</t>
        </is>
      </c>
      <c r="B19" s="34" t="n">
        <v>45944</v>
      </c>
      <c r="C19" s="16" t="inlineStr">
        <is>
          <t>NY-KW-2508-002</t>
        </is>
      </c>
      <c r="D19" s="16" t="inlineStr">
        <is>
          <t>社区电商</t>
        </is>
      </c>
      <c r="E19" s="16" t="inlineStr">
        <is>
          <t>广州</t>
        </is>
      </c>
      <c r="F19" s="35" t="n">
        <v>849.7</v>
      </c>
      <c r="G19" s="35" t="n">
        <v>674.5</v>
      </c>
      <c r="H19" s="35" t="n">
        <v>175.2</v>
      </c>
      <c r="I19" s="35" t="n">
        <v>19.92</v>
      </c>
      <c r="J19" s="36" t="n">
        <v>16926.02</v>
      </c>
      <c r="K19" s="35" t="n">
        <v>0.5</v>
      </c>
      <c r="L19" s="35" t="n">
        <v>1</v>
      </c>
      <c r="M19" s="16" t="inlineStr">
        <is>
          <t>偏硬</t>
        </is>
      </c>
    </row>
    <row r="20">
      <c r="A20" s="16" t="inlineStr">
        <is>
          <t>XS-2508-00016</t>
        </is>
      </c>
      <c r="B20" s="34" t="n">
        <v>45945</v>
      </c>
      <c r="C20" s="16" t="inlineStr">
        <is>
          <t>NY-KW-2508-002</t>
        </is>
      </c>
      <c r="D20" s="16" t="inlineStr">
        <is>
          <t>社区电商</t>
        </is>
      </c>
      <c r="E20" s="16" t="inlineStr">
        <is>
          <t>东莞</t>
        </is>
      </c>
      <c r="F20" s="35" t="n">
        <v>1162.8</v>
      </c>
      <c r="G20" s="35" t="n">
        <v>817.7</v>
      </c>
      <c r="H20" s="35" t="n">
        <v>345.1</v>
      </c>
      <c r="I20" s="35" t="n">
        <v>24.12</v>
      </c>
      <c r="J20" s="36" t="n">
        <v>28046.74</v>
      </c>
      <c r="K20" s="35" t="n">
        <v>4.5</v>
      </c>
      <c r="L20" s="35" t="n">
        <v>0</v>
      </c>
      <c r="M20" s="16" t="inlineStr">
        <is>
          <t>无</t>
        </is>
      </c>
    </row>
    <row r="21">
      <c r="A21" s="16" t="inlineStr">
        <is>
          <t>XS-2508-00017</t>
        </is>
      </c>
      <c r="B21" s="34" t="n">
        <v>45946</v>
      </c>
      <c r="C21" s="16" t="inlineStr">
        <is>
          <t>NY-KW-2508-002</t>
        </is>
      </c>
      <c r="D21" s="16" t="inlineStr">
        <is>
          <t>批发客户</t>
        </is>
      </c>
      <c r="E21" s="16" t="inlineStr">
        <is>
          <t>佛山</t>
        </is>
      </c>
      <c r="F21" s="35" t="n">
        <v>1153</v>
      </c>
      <c r="G21" s="35" t="n">
        <v>908.2</v>
      </c>
      <c r="H21" s="35" t="n">
        <v>244.8</v>
      </c>
      <c r="I21" s="35" t="n">
        <v>23.51</v>
      </c>
      <c r="J21" s="36" t="n">
        <v>27107.03</v>
      </c>
      <c r="K21" s="35" t="n">
        <v>13.9</v>
      </c>
      <c r="L21" s="35" t="n">
        <v>0</v>
      </c>
      <c r="M21" s="16" t="inlineStr">
        <is>
          <t>无</t>
        </is>
      </c>
    </row>
    <row r="22">
      <c r="A22" s="16" t="inlineStr">
        <is>
          <t>XS-2508-00018</t>
        </is>
      </c>
      <c r="B22" s="34" t="n">
        <v>45922</v>
      </c>
      <c r="C22" s="16" t="inlineStr">
        <is>
          <t>NY-KW-2508-003</t>
        </is>
      </c>
      <c r="D22" s="16" t="inlineStr">
        <is>
          <t>连锁门店</t>
        </is>
      </c>
      <c r="E22" s="16" t="inlineStr">
        <is>
          <t>东莞</t>
        </is>
      </c>
      <c r="F22" s="35" t="n">
        <v>1146.1</v>
      </c>
      <c r="G22" s="35" t="n">
        <v>1114.1</v>
      </c>
      <c r="H22" s="35" t="n">
        <v>32</v>
      </c>
      <c r="I22" s="35" t="n">
        <v>30.18</v>
      </c>
      <c r="J22" s="36" t="n">
        <v>34589.3</v>
      </c>
      <c r="K22" s="35" t="n">
        <v>0.3</v>
      </c>
      <c r="L22" s="35" t="n">
        <v>1</v>
      </c>
      <c r="M22" s="16" t="inlineStr">
        <is>
          <t>偏硬</t>
        </is>
      </c>
    </row>
    <row r="23">
      <c r="A23" s="16" t="inlineStr">
        <is>
          <t>XS-2508-00019</t>
        </is>
      </c>
      <c r="B23" s="34" t="n">
        <v>45923</v>
      </c>
      <c r="C23" s="16" t="inlineStr">
        <is>
          <t>NY-KW-2508-003</t>
        </is>
      </c>
      <c r="D23" s="16" t="inlineStr">
        <is>
          <t>批发客户</t>
        </is>
      </c>
      <c r="E23" s="16" t="inlineStr">
        <is>
          <t>东莞</t>
        </is>
      </c>
      <c r="F23" s="35" t="n">
        <v>1572.2</v>
      </c>
      <c r="G23" s="35" t="n">
        <v>1434.7</v>
      </c>
      <c r="H23" s="35" t="n">
        <v>137.5</v>
      </c>
      <c r="I23" s="35" t="n">
        <v>29.57</v>
      </c>
      <c r="J23" s="36" t="n">
        <v>46489.95</v>
      </c>
      <c r="K23" s="35" t="n">
        <v>21.5</v>
      </c>
      <c r="L23" s="35" t="n">
        <v>3</v>
      </c>
      <c r="M23" s="16" t="inlineStr">
        <is>
          <t>外观</t>
        </is>
      </c>
    </row>
    <row r="24">
      <c r="A24" s="16" t="inlineStr">
        <is>
          <t>XS-2508-00020</t>
        </is>
      </c>
      <c r="B24" s="34" t="n">
        <v>45924</v>
      </c>
      <c r="C24" s="16" t="inlineStr">
        <is>
          <t>NY-KW-2508-003</t>
        </is>
      </c>
      <c r="D24" s="16" t="inlineStr">
        <is>
          <t>社区电商</t>
        </is>
      </c>
      <c r="E24" s="16" t="inlineStr">
        <is>
          <t>东莞</t>
        </is>
      </c>
      <c r="F24" s="35" t="n">
        <v>251.2</v>
      </c>
      <c r="G24" s="35" t="n">
        <v>219.1</v>
      </c>
      <c r="H24" s="35" t="n">
        <v>32.1</v>
      </c>
      <c r="I24" s="35" t="n">
        <v>27.98</v>
      </c>
      <c r="J24" s="36" t="n">
        <v>7028.58</v>
      </c>
      <c r="K24" s="35" t="n">
        <v>3.4</v>
      </c>
      <c r="L24" s="35" t="n">
        <v>0</v>
      </c>
      <c r="M24" s="16" t="inlineStr">
        <is>
          <t>无</t>
        </is>
      </c>
    </row>
    <row r="25">
      <c r="A25" s="16" t="inlineStr">
        <is>
          <t>XS-2508-00021</t>
        </is>
      </c>
      <c r="B25" s="34" t="n">
        <v>45925</v>
      </c>
      <c r="C25" s="16" t="inlineStr">
        <is>
          <t>NY-KW-2508-003</t>
        </is>
      </c>
      <c r="D25" s="16" t="inlineStr">
        <is>
          <t>社区电商</t>
        </is>
      </c>
      <c r="E25" s="16" t="inlineStr">
        <is>
          <t>惠州</t>
        </is>
      </c>
      <c r="F25" s="35" t="n">
        <v>934.7</v>
      </c>
      <c r="G25" s="35" t="n">
        <v>877.1</v>
      </c>
      <c r="H25" s="35" t="n">
        <v>57.6</v>
      </c>
      <c r="I25" s="35" t="n">
        <v>23.98</v>
      </c>
      <c r="J25" s="36" t="n">
        <v>22414.11</v>
      </c>
      <c r="K25" s="35" t="n">
        <v>7.5</v>
      </c>
      <c r="L25" s="35" t="n">
        <v>1</v>
      </c>
      <c r="M25" s="16" t="inlineStr">
        <is>
          <t>偏软</t>
        </is>
      </c>
    </row>
    <row r="26">
      <c r="A26" s="16" t="inlineStr">
        <is>
          <t>XS-2508-00022</t>
        </is>
      </c>
      <c r="B26" s="34" t="n">
        <v>45926</v>
      </c>
      <c r="C26" s="16" t="inlineStr">
        <is>
          <t>NY-KW-2508-003</t>
        </is>
      </c>
      <c r="D26" s="16" t="inlineStr">
        <is>
          <t>连锁门店</t>
        </is>
      </c>
      <c r="E26" s="16" t="inlineStr">
        <is>
          <t>深圳</t>
        </is>
      </c>
      <c r="F26" s="35" t="n">
        <v>1002.3</v>
      </c>
      <c r="G26" s="35" t="n">
        <v>758.7</v>
      </c>
      <c r="H26" s="35" t="n">
        <v>243.6</v>
      </c>
      <c r="I26" s="35" t="n">
        <v>30.53</v>
      </c>
      <c r="J26" s="36" t="n">
        <v>30600.22</v>
      </c>
      <c r="K26" s="35" t="n">
        <v>10.2</v>
      </c>
      <c r="L26" s="35" t="n">
        <v>0</v>
      </c>
      <c r="M26" s="16" t="inlineStr">
        <is>
          <t>无</t>
        </is>
      </c>
    </row>
    <row r="27">
      <c r="A27" s="16" t="inlineStr">
        <is>
          <t>XS-2508-00023</t>
        </is>
      </c>
      <c r="B27" s="34" t="n">
        <v>45927</v>
      </c>
      <c r="C27" s="16" t="inlineStr">
        <is>
          <t>NY-KW-2508-003</t>
        </is>
      </c>
      <c r="D27" s="16" t="inlineStr">
        <is>
          <t>社区电商</t>
        </is>
      </c>
      <c r="E27" s="16" t="inlineStr">
        <is>
          <t>东莞</t>
        </is>
      </c>
      <c r="F27" s="35" t="n">
        <v>1278.1</v>
      </c>
      <c r="G27" s="35" t="n">
        <v>1074.6</v>
      </c>
      <c r="H27" s="35" t="n">
        <v>203.5</v>
      </c>
      <c r="I27" s="35" t="n">
        <v>26</v>
      </c>
      <c r="J27" s="36" t="n">
        <v>33230.6</v>
      </c>
      <c r="K27" s="35" t="n">
        <v>13.6</v>
      </c>
      <c r="L27" s="35" t="n">
        <v>0</v>
      </c>
      <c r="M27" s="16" t="inlineStr">
        <is>
          <t>无</t>
        </is>
      </c>
    </row>
    <row r="28">
      <c r="A28" s="16" t="inlineStr">
        <is>
          <t>XS-2508-00024</t>
        </is>
      </c>
      <c r="B28" s="34" t="n">
        <v>45938</v>
      </c>
      <c r="C28" s="16" t="inlineStr">
        <is>
          <t>NY-KW-2508-004</t>
        </is>
      </c>
      <c r="D28" s="16" t="inlineStr">
        <is>
          <t>批发客户</t>
        </is>
      </c>
      <c r="E28" s="16" t="inlineStr">
        <is>
          <t>广州</t>
        </is>
      </c>
      <c r="F28" s="35" t="n">
        <v>985.7</v>
      </c>
      <c r="G28" s="35" t="n">
        <v>878.1</v>
      </c>
      <c r="H28" s="35" t="n">
        <v>107.6</v>
      </c>
      <c r="I28" s="35" t="n">
        <v>22.57</v>
      </c>
      <c r="J28" s="36" t="n">
        <v>22247.25</v>
      </c>
      <c r="K28" s="35" t="n">
        <v>6.3</v>
      </c>
      <c r="L28" s="35" t="n">
        <v>1</v>
      </c>
      <c r="M28" s="16" t="inlineStr">
        <is>
          <t>偏软</t>
        </is>
      </c>
    </row>
    <row r="29">
      <c r="A29" s="16" t="inlineStr">
        <is>
          <t>XS-2508-00025</t>
        </is>
      </c>
      <c r="B29" s="34" t="n">
        <v>45939</v>
      </c>
      <c r="C29" s="16" t="inlineStr">
        <is>
          <t>NY-KW-2508-004</t>
        </is>
      </c>
      <c r="D29" s="16" t="inlineStr">
        <is>
          <t>连锁门店</t>
        </is>
      </c>
      <c r="E29" s="16" t="inlineStr">
        <is>
          <t>佛山</t>
        </is>
      </c>
      <c r="F29" s="35" t="n">
        <v>1279.5</v>
      </c>
      <c r="G29" s="35" t="n">
        <v>1175.1</v>
      </c>
      <c r="H29" s="35" t="n">
        <v>104.4</v>
      </c>
      <c r="I29" s="35" t="n">
        <v>23.43</v>
      </c>
      <c r="J29" s="36" t="n">
        <v>29978.69</v>
      </c>
      <c r="K29" s="35" t="n">
        <v>6.2</v>
      </c>
      <c r="L29" s="35" t="n">
        <v>0</v>
      </c>
      <c r="M29" s="16" t="inlineStr">
        <is>
          <t>无</t>
        </is>
      </c>
    </row>
    <row r="30">
      <c r="A30" s="16" t="inlineStr">
        <is>
          <t>XS-2508-00026</t>
        </is>
      </c>
      <c r="B30" s="34" t="n">
        <v>45940</v>
      </c>
      <c r="C30" s="16" t="inlineStr">
        <is>
          <t>NY-KW-2508-004</t>
        </is>
      </c>
      <c r="D30" s="16" t="inlineStr">
        <is>
          <t>社区电商</t>
        </is>
      </c>
      <c r="E30" s="16" t="inlineStr">
        <is>
          <t>广州</t>
        </is>
      </c>
      <c r="F30" s="35" t="n">
        <v>1385.8</v>
      </c>
      <c r="G30" s="35" t="n">
        <v>1203.2</v>
      </c>
      <c r="H30" s="35" t="n">
        <v>182.6</v>
      </c>
      <c r="I30" s="35" t="n">
        <v>19.22</v>
      </c>
      <c r="J30" s="36" t="n">
        <v>26635.08</v>
      </c>
      <c r="K30" s="35" t="n">
        <v>19.1</v>
      </c>
      <c r="L30" s="35" t="n">
        <v>1</v>
      </c>
      <c r="M30" s="16" t="inlineStr">
        <is>
          <t>风味一般</t>
        </is>
      </c>
    </row>
    <row r="31">
      <c r="A31" s="16" t="inlineStr">
        <is>
          <t>XS-2508-00027</t>
        </is>
      </c>
      <c r="B31" s="34" t="n">
        <v>45941</v>
      </c>
      <c r="C31" s="16" t="inlineStr">
        <is>
          <t>NY-KW-2508-004</t>
        </is>
      </c>
      <c r="D31" s="16" t="inlineStr">
        <is>
          <t>连锁门店</t>
        </is>
      </c>
      <c r="E31" s="16" t="inlineStr">
        <is>
          <t>佛山</t>
        </is>
      </c>
      <c r="F31" s="35" t="n">
        <v>1320.5</v>
      </c>
      <c r="G31" s="35" t="n">
        <v>1022</v>
      </c>
      <c r="H31" s="35" t="n">
        <v>298.5</v>
      </c>
      <c r="I31" s="35" t="n">
        <v>21.08</v>
      </c>
      <c r="J31" s="36" t="n">
        <v>27836.14</v>
      </c>
      <c r="K31" s="35" t="n">
        <v>23</v>
      </c>
      <c r="L31" s="35" t="n">
        <v>0</v>
      </c>
      <c r="M31" s="16" t="inlineStr">
        <is>
          <t>无</t>
        </is>
      </c>
    </row>
    <row r="32">
      <c r="A32" s="16" t="inlineStr">
        <is>
          <t>XS-2508-00028</t>
        </is>
      </c>
      <c r="B32" s="34" t="n">
        <v>45942</v>
      </c>
      <c r="C32" s="16" t="inlineStr">
        <is>
          <t>NY-KW-2508-004</t>
        </is>
      </c>
      <c r="D32" s="16" t="inlineStr">
        <is>
          <t>企业团购</t>
        </is>
      </c>
      <c r="E32" s="16" t="inlineStr">
        <is>
          <t>佛山</t>
        </is>
      </c>
      <c r="F32" s="35" t="n">
        <v>1120.2</v>
      </c>
      <c r="G32" s="35" t="n">
        <v>745.2</v>
      </c>
      <c r="H32" s="35" t="n">
        <v>375</v>
      </c>
      <c r="I32" s="35" t="n">
        <v>16.94</v>
      </c>
      <c r="J32" s="36" t="n">
        <v>18976.19</v>
      </c>
      <c r="K32" s="35" t="n">
        <v>10.2</v>
      </c>
      <c r="L32" s="35" t="n">
        <v>0</v>
      </c>
      <c r="M32" s="16" t="inlineStr">
        <is>
          <t>无</t>
        </is>
      </c>
    </row>
    <row r="33">
      <c r="A33" s="16" t="inlineStr">
        <is>
          <t>XS-2508-00029</t>
        </is>
      </c>
      <c r="B33" s="34" t="n">
        <v>45943</v>
      </c>
      <c r="C33" s="16" t="inlineStr">
        <is>
          <t>NY-KW-2508-004</t>
        </is>
      </c>
      <c r="D33" s="16" t="inlineStr">
        <is>
          <t>连锁门店</t>
        </is>
      </c>
      <c r="E33" s="16" t="inlineStr">
        <is>
          <t>深圳</t>
        </is>
      </c>
      <c r="F33" s="35" t="n">
        <v>473</v>
      </c>
      <c r="G33" s="35" t="n">
        <v>384.1</v>
      </c>
      <c r="H33" s="35" t="n">
        <v>88.90000000000001</v>
      </c>
      <c r="I33" s="35" t="n">
        <v>22.63</v>
      </c>
      <c r="J33" s="36" t="n">
        <v>10703.99</v>
      </c>
      <c r="K33" s="35" t="n">
        <v>1.1</v>
      </c>
      <c r="L33" s="35" t="n">
        <v>1</v>
      </c>
      <c r="M33" s="16" t="inlineStr">
        <is>
          <t>偏硬</t>
        </is>
      </c>
    </row>
    <row r="34">
      <c r="A34" s="16" t="inlineStr">
        <is>
          <t>XS-2508-00030</t>
        </is>
      </c>
      <c r="B34" s="34" t="n">
        <v>45944</v>
      </c>
      <c r="C34" s="16" t="inlineStr">
        <is>
          <t>NY-KW-2508-004</t>
        </is>
      </c>
      <c r="D34" s="16" t="inlineStr">
        <is>
          <t>社区电商</t>
        </is>
      </c>
      <c r="E34" s="16" t="inlineStr">
        <is>
          <t>佛山</t>
        </is>
      </c>
      <c r="F34" s="35" t="n">
        <v>1166.1</v>
      </c>
      <c r="G34" s="35" t="n">
        <v>799.3</v>
      </c>
      <c r="H34" s="35" t="n">
        <v>366.8</v>
      </c>
      <c r="I34" s="35" t="n">
        <v>20.47</v>
      </c>
      <c r="J34" s="36" t="n">
        <v>23870.07</v>
      </c>
      <c r="K34" s="35" t="n">
        <v>10.7</v>
      </c>
      <c r="L34" s="35" t="n">
        <v>0</v>
      </c>
      <c r="M34" s="16" t="inlineStr">
        <is>
          <t>无</t>
        </is>
      </c>
    </row>
    <row r="35">
      <c r="A35" s="16" t="inlineStr">
        <is>
          <t>XS-2508-00031</t>
        </is>
      </c>
      <c r="B35" s="34" t="n">
        <v>45931</v>
      </c>
      <c r="C35" s="16" t="inlineStr">
        <is>
          <t>NY-KW-2508-005</t>
        </is>
      </c>
      <c r="D35" s="16" t="inlineStr">
        <is>
          <t>社区电商</t>
        </is>
      </c>
      <c r="E35" s="16" t="inlineStr">
        <is>
          <t>广州</t>
        </is>
      </c>
      <c r="F35" s="35" t="n">
        <v>1539.8</v>
      </c>
      <c r="G35" s="35" t="n">
        <v>1412.9</v>
      </c>
      <c r="H35" s="35" t="n">
        <v>126.9</v>
      </c>
      <c r="I35" s="35" t="n">
        <v>29.27</v>
      </c>
      <c r="J35" s="36" t="n">
        <v>45069.95</v>
      </c>
      <c r="K35" s="35" t="n">
        <v>5.6</v>
      </c>
      <c r="L35" s="35" t="n">
        <v>1</v>
      </c>
      <c r="M35" s="16" t="inlineStr">
        <is>
          <t>偏软</t>
        </is>
      </c>
    </row>
    <row r="36">
      <c r="A36" s="16" t="inlineStr">
        <is>
          <t>XS-2508-00032</t>
        </is>
      </c>
      <c r="B36" s="34" t="n">
        <v>45932</v>
      </c>
      <c r="C36" s="16" t="inlineStr">
        <is>
          <t>NY-KW-2508-005</t>
        </is>
      </c>
      <c r="D36" s="16" t="inlineStr">
        <is>
          <t>连锁门店</t>
        </is>
      </c>
      <c r="E36" s="16" t="inlineStr">
        <is>
          <t>广州</t>
        </is>
      </c>
      <c r="F36" s="35" t="n">
        <v>963.6</v>
      </c>
      <c r="G36" s="35" t="n">
        <v>877.4</v>
      </c>
      <c r="H36" s="35" t="n">
        <v>86.2</v>
      </c>
      <c r="I36" s="35" t="n">
        <v>21.94</v>
      </c>
      <c r="J36" s="36" t="n">
        <v>21141.38</v>
      </c>
      <c r="K36" s="35" t="n">
        <v>13.7</v>
      </c>
      <c r="L36" s="35" t="n">
        <v>2</v>
      </c>
      <c r="M36" s="16" t="inlineStr">
        <is>
          <t>外观</t>
        </is>
      </c>
    </row>
    <row r="37">
      <c r="A37" s="16" t="inlineStr">
        <is>
          <t>XS-2508-00033</t>
        </is>
      </c>
      <c r="B37" s="34" t="n">
        <v>45933</v>
      </c>
      <c r="C37" s="16" t="inlineStr">
        <is>
          <t>NY-KW-2508-005</t>
        </is>
      </c>
      <c r="D37" s="16" t="inlineStr">
        <is>
          <t>批发客户</t>
        </is>
      </c>
      <c r="E37" s="16" t="inlineStr">
        <is>
          <t>深圳</t>
        </is>
      </c>
      <c r="F37" s="35" t="n">
        <v>1366.2</v>
      </c>
      <c r="G37" s="35" t="n">
        <v>1123.1</v>
      </c>
      <c r="H37" s="35" t="n">
        <v>243.1</v>
      </c>
      <c r="I37" s="35" t="n">
        <v>27.98</v>
      </c>
      <c r="J37" s="36" t="n">
        <v>38226.28</v>
      </c>
      <c r="K37" s="35" t="n">
        <v>22</v>
      </c>
      <c r="L37" s="35" t="n">
        <v>0</v>
      </c>
      <c r="M37" s="16" t="inlineStr">
        <is>
          <t>无</t>
        </is>
      </c>
    </row>
    <row r="38">
      <c r="A38" s="16" t="inlineStr">
        <is>
          <t>XS-2508-00034</t>
        </is>
      </c>
      <c r="B38" s="34" t="n">
        <v>45934</v>
      </c>
      <c r="C38" s="16" t="inlineStr">
        <is>
          <t>NY-KW-2508-005</t>
        </is>
      </c>
      <c r="D38" s="16" t="inlineStr">
        <is>
          <t>连锁门店</t>
        </is>
      </c>
      <c r="E38" s="16" t="inlineStr">
        <is>
          <t>南宁</t>
        </is>
      </c>
      <c r="F38" s="35" t="n">
        <v>1596.7</v>
      </c>
      <c r="G38" s="35" t="n">
        <v>1320.4</v>
      </c>
      <c r="H38" s="35" t="n">
        <v>276.3</v>
      </c>
      <c r="I38" s="35" t="n">
        <v>21.92</v>
      </c>
      <c r="J38" s="36" t="n">
        <v>34999.66</v>
      </c>
      <c r="K38" s="35" t="n">
        <v>11.8</v>
      </c>
      <c r="L38" s="35" t="n">
        <v>0</v>
      </c>
      <c r="M38" s="16" t="inlineStr">
        <is>
          <t>无</t>
        </is>
      </c>
    </row>
    <row r="39">
      <c r="A39" s="16" t="inlineStr">
        <is>
          <t>XS-2508-00035</t>
        </is>
      </c>
      <c r="B39" s="34" t="n">
        <v>45935</v>
      </c>
      <c r="C39" s="16" t="inlineStr">
        <is>
          <t>NY-KW-2508-005</t>
        </is>
      </c>
      <c r="D39" s="16" t="inlineStr">
        <is>
          <t>企业团购</t>
        </is>
      </c>
      <c r="E39" s="16" t="inlineStr">
        <is>
          <t>南宁</t>
        </is>
      </c>
      <c r="F39" s="35" t="n">
        <v>643.1</v>
      </c>
      <c r="G39" s="35" t="n">
        <v>488.8</v>
      </c>
      <c r="H39" s="35" t="n">
        <v>154.3</v>
      </c>
      <c r="I39" s="35" t="n">
        <v>20.35</v>
      </c>
      <c r="J39" s="36" t="n">
        <v>13087.09</v>
      </c>
      <c r="K39" s="35" t="n">
        <v>0.4</v>
      </c>
      <c r="L39" s="35" t="n">
        <v>0</v>
      </c>
      <c r="M39" s="16" t="inlineStr">
        <is>
          <t>无</t>
        </is>
      </c>
    </row>
    <row r="40">
      <c r="A40" s="16" t="inlineStr">
        <is>
          <t>XS-2508-00036</t>
        </is>
      </c>
      <c r="B40" s="34" t="n">
        <v>45936</v>
      </c>
      <c r="C40" s="16" t="inlineStr">
        <is>
          <t>NY-KW-2508-005</t>
        </is>
      </c>
      <c r="D40" s="16" t="inlineStr">
        <is>
          <t>连锁门店</t>
        </is>
      </c>
      <c r="E40" s="16" t="inlineStr">
        <is>
          <t>广州</t>
        </is>
      </c>
      <c r="F40" s="35" t="n">
        <v>1049.8</v>
      </c>
      <c r="G40" s="35" t="n">
        <v>819.2</v>
      </c>
      <c r="H40" s="35" t="n">
        <v>230.6</v>
      </c>
      <c r="I40" s="35" t="n">
        <v>22.33</v>
      </c>
      <c r="J40" s="36" t="n">
        <v>23442.03</v>
      </c>
      <c r="K40" s="35" t="n">
        <v>6</v>
      </c>
      <c r="L40" s="35" t="n">
        <v>1</v>
      </c>
      <c r="M40" s="16" t="inlineStr">
        <is>
          <t>偏硬</t>
        </is>
      </c>
    </row>
    <row r="41">
      <c r="A41" s="16" t="inlineStr">
        <is>
          <t>XS-2508-00037</t>
        </is>
      </c>
      <c r="B41" s="34" t="n">
        <v>45937</v>
      </c>
      <c r="C41" s="16" t="inlineStr">
        <is>
          <t>NY-KW-2508-005</t>
        </is>
      </c>
      <c r="D41" s="16" t="inlineStr">
        <is>
          <t>批发客户</t>
        </is>
      </c>
      <c r="E41" s="16" t="inlineStr">
        <is>
          <t>佛山</t>
        </is>
      </c>
      <c r="F41" s="35" t="n">
        <v>1492.4</v>
      </c>
      <c r="G41" s="35" t="n">
        <v>1178.4</v>
      </c>
      <c r="H41" s="35" t="n">
        <v>314</v>
      </c>
      <c r="I41" s="35" t="n">
        <v>28.92</v>
      </c>
      <c r="J41" s="36" t="n">
        <v>43160.21</v>
      </c>
      <c r="K41" s="35" t="n">
        <v>11</v>
      </c>
      <c r="L41" s="35" t="n">
        <v>0</v>
      </c>
      <c r="M41" s="16" t="inlineStr">
        <is>
          <t>无</t>
        </is>
      </c>
    </row>
    <row r="42">
      <c r="A42" s="16" t="inlineStr">
        <is>
          <t>XS-2508-00038</t>
        </is>
      </c>
      <c r="B42" s="34" t="n">
        <v>45904</v>
      </c>
      <c r="C42" s="16" t="inlineStr">
        <is>
          <t>NY-KW-2508-006</t>
        </is>
      </c>
      <c r="D42" s="16" t="inlineStr">
        <is>
          <t>社区电商</t>
        </is>
      </c>
      <c r="E42" s="16" t="inlineStr">
        <is>
          <t>东莞</t>
        </is>
      </c>
      <c r="F42" s="35" t="n">
        <v>1536</v>
      </c>
      <c r="G42" s="35" t="n">
        <v>1536</v>
      </c>
      <c r="H42" s="35" t="n">
        <v>0</v>
      </c>
      <c r="I42" s="35" t="n">
        <v>24.92</v>
      </c>
      <c r="J42" s="36" t="n">
        <v>38277.12</v>
      </c>
      <c r="K42" s="35" t="n">
        <v>8.6</v>
      </c>
      <c r="L42" s="35" t="n">
        <v>0</v>
      </c>
      <c r="M42" s="16" t="inlineStr">
        <is>
          <t>无</t>
        </is>
      </c>
    </row>
    <row r="43">
      <c r="A43" s="16" t="inlineStr">
        <is>
          <t>XS-2508-00039</t>
        </is>
      </c>
      <c r="B43" s="34" t="n">
        <v>45905</v>
      </c>
      <c r="C43" s="16" t="inlineStr">
        <is>
          <t>NY-KW-2508-006</t>
        </is>
      </c>
      <c r="D43" s="16" t="inlineStr">
        <is>
          <t>社区电商</t>
        </is>
      </c>
      <c r="E43" s="16" t="inlineStr">
        <is>
          <t>南宁</t>
        </is>
      </c>
      <c r="F43" s="35" t="n">
        <v>746.2</v>
      </c>
      <c r="G43" s="35" t="n">
        <v>682.5</v>
      </c>
      <c r="H43" s="35" t="n">
        <v>63.7</v>
      </c>
      <c r="I43" s="35" t="n">
        <v>20.39</v>
      </c>
      <c r="J43" s="36" t="n">
        <v>15215.02</v>
      </c>
      <c r="K43" s="35" t="n">
        <v>4.9</v>
      </c>
      <c r="L43" s="35" t="n">
        <v>1</v>
      </c>
      <c r="M43" s="16" t="inlineStr">
        <is>
          <t>偏软</t>
        </is>
      </c>
    </row>
    <row r="44">
      <c r="A44" s="16" t="inlineStr">
        <is>
          <t>XS-2508-00040</t>
        </is>
      </c>
      <c r="B44" s="34" t="n">
        <v>45906</v>
      </c>
      <c r="C44" s="16" t="inlineStr">
        <is>
          <t>NY-KW-2508-006</t>
        </is>
      </c>
      <c r="D44" s="16" t="inlineStr">
        <is>
          <t>社区电商</t>
        </is>
      </c>
      <c r="E44" s="16" t="inlineStr">
        <is>
          <t>深圳</t>
        </is>
      </c>
      <c r="F44" s="35" t="n">
        <v>390.9</v>
      </c>
      <c r="G44" s="35" t="n">
        <v>367.6</v>
      </c>
      <c r="H44" s="35" t="n">
        <v>23.3</v>
      </c>
      <c r="I44" s="35" t="n">
        <v>20.65</v>
      </c>
      <c r="J44" s="36" t="n">
        <v>8072.08</v>
      </c>
      <c r="K44" s="35" t="n">
        <v>5.5</v>
      </c>
      <c r="L44" s="35" t="n">
        <v>1</v>
      </c>
      <c r="M44" s="16" t="inlineStr">
        <is>
          <t>偏软</t>
        </is>
      </c>
    </row>
    <row r="45">
      <c r="A45" s="16" t="inlineStr">
        <is>
          <t>XS-2508-00041</t>
        </is>
      </c>
      <c r="B45" s="34" t="n">
        <v>45907</v>
      </c>
      <c r="C45" s="16" t="inlineStr">
        <is>
          <t>NY-KW-2508-006</t>
        </is>
      </c>
      <c r="D45" s="16" t="inlineStr">
        <is>
          <t>连锁门店</t>
        </is>
      </c>
      <c r="E45" s="16" t="inlineStr">
        <is>
          <t>南宁</t>
        </is>
      </c>
      <c r="F45" s="35" t="n">
        <v>1012.7</v>
      </c>
      <c r="G45" s="35" t="n">
        <v>838.2</v>
      </c>
      <c r="H45" s="35" t="n">
        <v>174.5</v>
      </c>
      <c r="I45" s="35" t="n">
        <v>23.49</v>
      </c>
      <c r="J45" s="36" t="n">
        <v>23788.32</v>
      </c>
      <c r="K45" s="35" t="n">
        <v>12.1</v>
      </c>
      <c r="L45" s="35" t="n">
        <v>0</v>
      </c>
      <c r="M45" s="16" t="inlineStr">
        <is>
          <t>无</t>
        </is>
      </c>
    </row>
    <row r="46">
      <c r="A46" s="16" t="inlineStr">
        <is>
          <t>XS-2508-00042</t>
        </is>
      </c>
      <c r="B46" s="34" t="n">
        <v>45908</v>
      </c>
      <c r="C46" s="16" t="inlineStr">
        <is>
          <t>NY-KW-2508-006</t>
        </is>
      </c>
      <c r="D46" s="16" t="inlineStr">
        <is>
          <t>批发客户</t>
        </is>
      </c>
      <c r="E46" s="16" t="inlineStr">
        <is>
          <t>东莞</t>
        </is>
      </c>
      <c r="F46" s="35" t="n">
        <v>424.4</v>
      </c>
      <c r="G46" s="35" t="n">
        <v>312.4</v>
      </c>
      <c r="H46" s="35" t="n">
        <v>112</v>
      </c>
      <c r="I46" s="35" t="n">
        <v>24</v>
      </c>
      <c r="J46" s="36" t="n">
        <v>10185.6</v>
      </c>
      <c r="K46" s="35" t="n">
        <v>1.6</v>
      </c>
      <c r="L46" s="35" t="n">
        <v>0</v>
      </c>
      <c r="M46" s="16" t="inlineStr">
        <is>
          <t>无</t>
        </is>
      </c>
    </row>
    <row r="47">
      <c r="A47" s="16" t="inlineStr">
        <is>
          <t>XS-2508-00043</t>
        </is>
      </c>
      <c r="B47" s="34" t="n">
        <v>45909</v>
      </c>
      <c r="C47" s="16" t="inlineStr">
        <is>
          <t>NY-KW-2508-006</t>
        </is>
      </c>
      <c r="D47" s="16" t="inlineStr">
        <is>
          <t>批发客户</t>
        </is>
      </c>
      <c r="E47" s="16" t="inlineStr">
        <is>
          <t>佛山</t>
        </is>
      </c>
      <c r="F47" s="35" t="n">
        <v>1229.6</v>
      </c>
      <c r="G47" s="35" t="n">
        <v>886.2</v>
      </c>
      <c r="H47" s="35" t="n">
        <v>343.4</v>
      </c>
      <c r="I47" s="35" t="n">
        <v>25.96</v>
      </c>
      <c r="J47" s="36" t="n">
        <v>31920.42</v>
      </c>
      <c r="K47" s="35" t="n">
        <v>19.7</v>
      </c>
      <c r="L47" s="35" t="n">
        <v>0</v>
      </c>
      <c r="M47" s="16" t="inlineStr">
        <is>
          <t>无</t>
        </is>
      </c>
    </row>
    <row r="48">
      <c r="A48" s="16" t="inlineStr">
        <is>
          <t>XS-2508-00044</t>
        </is>
      </c>
      <c r="B48" s="34" t="n">
        <v>45910</v>
      </c>
      <c r="C48" s="16" t="inlineStr">
        <is>
          <t>NY-KW-2508-006</t>
        </is>
      </c>
      <c r="D48" s="16" t="inlineStr">
        <is>
          <t>批发客户</t>
        </is>
      </c>
      <c r="E48" s="16" t="inlineStr">
        <is>
          <t>广州</t>
        </is>
      </c>
      <c r="F48" s="35" t="n">
        <v>359.1</v>
      </c>
      <c r="G48" s="35" t="n">
        <v>266.3</v>
      </c>
      <c r="H48" s="35" t="n">
        <v>92.8</v>
      </c>
      <c r="I48" s="35" t="n">
        <v>23.55</v>
      </c>
      <c r="J48" s="36" t="n">
        <v>8456.809999999999</v>
      </c>
      <c r="K48" s="35" t="n">
        <v>2.9</v>
      </c>
      <c r="L48" s="35" t="n">
        <v>0</v>
      </c>
      <c r="M48" s="16" t="inlineStr">
        <is>
          <t>无</t>
        </is>
      </c>
    </row>
    <row r="49">
      <c r="A49" s="16" t="inlineStr">
        <is>
          <t>XS-2508-00045</t>
        </is>
      </c>
      <c r="B49" s="34" t="n">
        <v>45911</v>
      </c>
      <c r="C49" s="16" t="inlineStr">
        <is>
          <t>NY-KW-2508-006</t>
        </is>
      </c>
      <c r="D49" s="16" t="inlineStr">
        <is>
          <t>批发客户</t>
        </is>
      </c>
      <c r="E49" s="16" t="inlineStr">
        <is>
          <t>深圳</t>
        </is>
      </c>
      <c r="F49" s="35" t="n">
        <v>1141.8</v>
      </c>
      <c r="G49" s="35" t="n">
        <v>886.4</v>
      </c>
      <c r="H49" s="35" t="n">
        <v>255.4</v>
      </c>
      <c r="I49" s="35" t="n">
        <v>20.04</v>
      </c>
      <c r="J49" s="36" t="n">
        <v>22881.67</v>
      </c>
      <c r="K49" s="35" t="n">
        <v>11.6</v>
      </c>
      <c r="L49" s="35" t="n">
        <v>0</v>
      </c>
      <c r="M49" s="16" t="inlineStr">
        <is>
          <t>无</t>
        </is>
      </c>
    </row>
    <row r="50">
      <c r="A50" s="16" t="inlineStr">
        <is>
          <t>XS-2508-00046</t>
        </is>
      </c>
      <c r="B50" s="34" t="n">
        <v>45925</v>
      </c>
      <c r="C50" s="16" t="inlineStr">
        <is>
          <t>NY-KW-2508-007</t>
        </is>
      </c>
      <c r="D50" s="16" t="inlineStr">
        <is>
          <t>社区电商</t>
        </is>
      </c>
      <c r="E50" s="16" t="inlineStr">
        <is>
          <t>南宁</t>
        </is>
      </c>
      <c r="F50" s="35" t="n">
        <v>994.9</v>
      </c>
      <c r="G50" s="35" t="n">
        <v>824.4</v>
      </c>
      <c r="H50" s="35" t="n">
        <v>170.5</v>
      </c>
      <c r="I50" s="35" t="n">
        <v>27.69</v>
      </c>
      <c r="J50" s="36" t="n">
        <v>27548.78</v>
      </c>
      <c r="K50" s="35" t="n">
        <v>5.7</v>
      </c>
      <c r="L50" s="35" t="n">
        <v>0</v>
      </c>
      <c r="M50" s="16" t="inlineStr">
        <is>
          <t>无</t>
        </is>
      </c>
    </row>
    <row r="51">
      <c r="A51" s="16" t="inlineStr">
        <is>
          <t>XS-2508-00047</t>
        </is>
      </c>
      <c r="B51" s="34" t="n">
        <v>45926</v>
      </c>
      <c r="C51" s="16" t="inlineStr">
        <is>
          <t>NY-KW-2508-007</t>
        </is>
      </c>
      <c r="D51" s="16" t="inlineStr">
        <is>
          <t>社区电商</t>
        </is>
      </c>
      <c r="E51" s="16" t="inlineStr">
        <is>
          <t>深圳</t>
        </is>
      </c>
      <c r="F51" s="35" t="n">
        <v>915</v>
      </c>
      <c r="G51" s="35" t="n">
        <v>915</v>
      </c>
      <c r="H51" s="35" t="n">
        <v>0</v>
      </c>
      <c r="I51" s="35" t="n">
        <v>33.53</v>
      </c>
      <c r="J51" s="36" t="n">
        <v>30679.95</v>
      </c>
      <c r="K51" s="35" t="n">
        <v>15</v>
      </c>
      <c r="L51" s="35" t="n">
        <v>0</v>
      </c>
      <c r="M51" s="16" t="inlineStr">
        <is>
          <t>无</t>
        </is>
      </c>
    </row>
    <row r="52">
      <c r="A52" s="16" t="inlineStr">
        <is>
          <t>XS-2508-00048</t>
        </is>
      </c>
      <c r="B52" s="34" t="n">
        <v>45927</v>
      </c>
      <c r="C52" s="16" t="inlineStr">
        <is>
          <t>NY-KW-2508-007</t>
        </is>
      </c>
      <c r="D52" s="16" t="inlineStr">
        <is>
          <t>企业团购</t>
        </is>
      </c>
      <c r="E52" s="16" t="inlineStr">
        <is>
          <t>广州</t>
        </is>
      </c>
      <c r="F52" s="35" t="n">
        <v>914</v>
      </c>
      <c r="G52" s="35" t="n">
        <v>806.8</v>
      </c>
      <c r="H52" s="35" t="n">
        <v>107.2</v>
      </c>
      <c r="I52" s="35" t="n">
        <v>23.98</v>
      </c>
      <c r="J52" s="36" t="n">
        <v>21917.72</v>
      </c>
      <c r="K52" s="35" t="n">
        <v>8.4</v>
      </c>
      <c r="L52" s="35" t="n">
        <v>0</v>
      </c>
      <c r="M52" s="16" t="inlineStr">
        <is>
          <t>无</t>
        </is>
      </c>
    </row>
    <row r="53">
      <c r="A53" s="16" t="inlineStr">
        <is>
          <t>XS-2508-00049</t>
        </is>
      </c>
      <c r="B53" s="34" t="n">
        <v>45928</v>
      </c>
      <c r="C53" s="16" t="inlineStr">
        <is>
          <t>NY-KW-2508-007</t>
        </is>
      </c>
      <c r="D53" s="16" t="inlineStr">
        <is>
          <t>连锁门店</t>
        </is>
      </c>
      <c r="E53" s="16" t="inlineStr">
        <is>
          <t>深圳</t>
        </is>
      </c>
      <c r="F53" s="35" t="n">
        <v>1120.3</v>
      </c>
      <c r="G53" s="35" t="n">
        <v>1003.1</v>
      </c>
      <c r="H53" s="35" t="n">
        <v>117.2</v>
      </c>
      <c r="I53" s="35" t="n">
        <v>32.55</v>
      </c>
      <c r="J53" s="36" t="n">
        <v>36465.76</v>
      </c>
      <c r="K53" s="35" t="n">
        <v>15.7</v>
      </c>
      <c r="L53" s="35" t="n">
        <v>0</v>
      </c>
      <c r="M53" s="16" t="inlineStr">
        <is>
          <t>无</t>
        </is>
      </c>
    </row>
    <row r="54">
      <c r="A54" s="16" t="inlineStr">
        <is>
          <t>XS-2508-00050</t>
        </is>
      </c>
      <c r="B54" s="34" t="n">
        <v>45929</v>
      </c>
      <c r="C54" s="16" t="inlineStr">
        <is>
          <t>NY-KW-2508-007</t>
        </is>
      </c>
      <c r="D54" s="16" t="inlineStr">
        <is>
          <t>连锁门店</t>
        </is>
      </c>
      <c r="E54" s="16" t="inlineStr">
        <is>
          <t>深圳</t>
        </is>
      </c>
      <c r="F54" s="35" t="n">
        <v>471.9</v>
      </c>
      <c r="G54" s="35" t="n">
        <v>391.1</v>
      </c>
      <c r="H54" s="35" t="n">
        <v>80.8</v>
      </c>
      <c r="I54" s="35" t="n">
        <v>24.69</v>
      </c>
      <c r="J54" s="36" t="n">
        <v>11651.21</v>
      </c>
      <c r="K54" s="35" t="n">
        <v>7.7</v>
      </c>
      <c r="L54" s="35" t="n">
        <v>3</v>
      </c>
      <c r="M54" s="16" t="inlineStr">
        <is>
          <t>风味一般</t>
        </is>
      </c>
    </row>
    <row r="55">
      <c r="A55" s="16" t="inlineStr">
        <is>
          <t>XS-2508-00051</t>
        </is>
      </c>
      <c r="B55" s="34" t="n">
        <v>45930</v>
      </c>
      <c r="C55" s="16" t="inlineStr">
        <is>
          <t>NY-KW-2508-007</t>
        </is>
      </c>
      <c r="D55" s="16" t="inlineStr">
        <is>
          <t>社区电商</t>
        </is>
      </c>
      <c r="E55" s="16" t="inlineStr">
        <is>
          <t>深圳</t>
        </is>
      </c>
      <c r="F55" s="35" t="n">
        <v>1503</v>
      </c>
      <c r="G55" s="35" t="n">
        <v>1123.5</v>
      </c>
      <c r="H55" s="35" t="n">
        <v>379.5</v>
      </c>
      <c r="I55" s="35" t="n">
        <v>25.9</v>
      </c>
      <c r="J55" s="36" t="n">
        <v>38927.7</v>
      </c>
      <c r="K55" s="35" t="n">
        <v>6.6</v>
      </c>
      <c r="L55" s="35" t="n">
        <v>0</v>
      </c>
      <c r="M55" s="16" t="inlineStr">
        <is>
          <t>无</t>
        </is>
      </c>
    </row>
    <row r="56">
      <c r="A56" s="16" t="inlineStr">
        <is>
          <t>XS-2508-00052</t>
        </is>
      </c>
      <c r="B56" s="34" t="n">
        <v>45937</v>
      </c>
      <c r="C56" s="16" t="inlineStr">
        <is>
          <t>NY-KW-2508-008</t>
        </is>
      </c>
      <c r="D56" s="16" t="inlineStr">
        <is>
          <t>企业团购</t>
        </is>
      </c>
      <c r="E56" s="16" t="inlineStr">
        <is>
          <t>东莞</t>
        </is>
      </c>
      <c r="F56" s="35" t="n">
        <v>1375.1</v>
      </c>
      <c r="G56" s="35" t="n">
        <v>1276.6</v>
      </c>
      <c r="H56" s="35" t="n">
        <v>98.5</v>
      </c>
      <c r="I56" s="35" t="n">
        <v>29.18</v>
      </c>
      <c r="J56" s="36" t="n">
        <v>40125.42</v>
      </c>
      <c r="K56" s="35" t="n">
        <v>6</v>
      </c>
      <c r="L56" s="35" t="n">
        <v>0</v>
      </c>
      <c r="M56" s="16" t="inlineStr">
        <is>
          <t>无</t>
        </is>
      </c>
    </row>
    <row r="57">
      <c r="A57" s="16" t="inlineStr">
        <is>
          <t>XS-2508-00053</t>
        </is>
      </c>
      <c r="B57" s="34" t="n">
        <v>45938</v>
      </c>
      <c r="C57" s="16" t="inlineStr">
        <is>
          <t>NY-KW-2508-008</t>
        </is>
      </c>
      <c r="D57" s="16" t="inlineStr">
        <is>
          <t>批发客户</t>
        </is>
      </c>
      <c r="E57" s="16" t="inlineStr">
        <is>
          <t>东莞</t>
        </is>
      </c>
      <c r="F57" s="35" t="n">
        <v>1511.8</v>
      </c>
      <c r="G57" s="35" t="n">
        <v>1263.7</v>
      </c>
      <c r="H57" s="35" t="n">
        <v>248.1</v>
      </c>
      <c r="I57" s="35" t="n">
        <v>26.33</v>
      </c>
      <c r="J57" s="36" t="n">
        <v>39805.69</v>
      </c>
      <c r="K57" s="35" t="n">
        <v>16.3</v>
      </c>
      <c r="L57" s="35" t="n">
        <v>0</v>
      </c>
      <c r="M57" s="16" t="inlineStr">
        <is>
          <t>无</t>
        </is>
      </c>
    </row>
    <row r="58">
      <c r="A58" s="16" t="inlineStr">
        <is>
          <t>XS-2508-00054</t>
        </is>
      </c>
      <c r="B58" s="34" t="n">
        <v>45939</v>
      </c>
      <c r="C58" s="16" t="inlineStr">
        <is>
          <t>NY-KW-2508-008</t>
        </is>
      </c>
      <c r="D58" s="16" t="inlineStr">
        <is>
          <t>连锁门店</t>
        </is>
      </c>
      <c r="E58" s="16" t="inlineStr">
        <is>
          <t>佛山</t>
        </is>
      </c>
      <c r="F58" s="35" t="n">
        <v>967.9</v>
      </c>
      <c r="G58" s="35" t="n">
        <v>806.8</v>
      </c>
      <c r="H58" s="35" t="n">
        <v>161.1</v>
      </c>
      <c r="I58" s="35" t="n">
        <v>33.12</v>
      </c>
      <c r="J58" s="36" t="n">
        <v>32056.85</v>
      </c>
      <c r="K58" s="35" t="n">
        <v>16.6</v>
      </c>
      <c r="L58" s="35" t="n">
        <v>0</v>
      </c>
      <c r="M58" s="16" t="inlineStr">
        <is>
          <t>无</t>
        </is>
      </c>
    </row>
    <row r="59">
      <c r="A59" s="16" t="inlineStr">
        <is>
          <t>XS-2508-00055</t>
        </is>
      </c>
      <c r="B59" s="34" t="n">
        <v>45940</v>
      </c>
      <c r="C59" s="16" t="inlineStr">
        <is>
          <t>NY-KW-2508-008</t>
        </is>
      </c>
      <c r="D59" s="16" t="inlineStr">
        <is>
          <t>连锁门店</t>
        </is>
      </c>
      <c r="E59" s="16" t="inlineStr">
        <is>
          <t>深圳</t>
        </is>
      </c>
      <c r="F59" s="35" t="n">
        <v>1227</v>
      </c>
      <c r="G59" s="35" t="n">
        <v>997.4</v>
      </c>
      <c r="H59" s="35" t="n">
        <v>229.6</v>
      </c>
      <c r="I59" s="35" t="n">
        <v>32.1</v>
      </c>
      <c r="J59" s="36" t="n">
        <v>39386.7</v>
      </c>
      <c r="K59" s="35" t="n">
        <v>16.9</v>
      </c>
      <c r="L59" s="35" t="n">
        <v>0</v>
      </c>
      <c r="M59" s="16" t="inlineStr">
        <is>
          <t>无</t>
        </is>
      </c>
    </row>
    <row r="60">
      <c r="A60" s="16" t="inlineStr">
        <is>
          <t>XS-2508-00056</t>
        </is>
      </c>
      <c r="B60" s="34" t="n">
        <v>45941</v>
      </c>
      <c r="C60" s="16" t="inlineStr">
        <is>
          <t>NY-KW-2508-008</t>
        </is>
      </c>
      <c r="D60" s="16" t="inlineStr">
        <is>
          <t>批发客户</t>
        </is>
      </c>
      <c r="E60" s="16" t="inlineStr">
        <is>
          <t>广州</t>
        </is>
      </c>
      <c r="F60" s="35" t="n">
        <v>599.6</v>
      </c>
      <c r="G60" s="35" t="n">
        <v>562.1</v>
      </c>
      <c r="H60" s="35" t="n">
        <v>37.5</v>
      </c>
      <c r="I60" s="35" t="n">
        <v>27.71</v>
      </c>
      <c r="J60" s="36" t="n">
        <v>16614.92</v>
      </c>
      <c r="K60" s="35" t="n">
        <v>0.7</v>
      </c>
      <c r="L60" s="35" t="n">
        <v>0</v>
      </c>
      <c r="M60" s="16" t="inlineStr">
        <is>
          <t>无</t>
        </is>
      </c>
    </row>
    <row r="61">
      <c r="A61" s="16" t="inlineStr">
        <is>
          <t>XS-2508-00057</t>
        </is>
      </c>
      <c r="B61" s="34" t="n">
        <v>45942</v>
      </c>
      <c r="C61" s="16" t="inlineStr">
        <is>
          <t>NY-KW-2508-008</t>
        </is>
      </c>
      <c r="D61" s="16" t="inlineStr">
        <is>
          <t>连锁门店</t>
        </is>
      </c>
      <c r="E61" s="16" t="inlineStr">
        <is>
          <t>南宁</t>
        </is>
      </c>
      <c r="F61" s="35" t="n">
        <v>573.6</v>
      </c>
      <c r="G61" s="35" t="n">
        <v>409.3</v>
      </c>
      <c r="H61" s="35" t="n">
        <v>164.3</v>
      </c>
      <c r="I61" s="35" t="n">
        <v>22.49</v>
      </c>
      <c r="J61" s="36" t="n">
        <v>12900.26</v>
      </c>
      <c r="K61" s="35" t="n">
        <v>7.6</v>
      </c>
      <c r="L61" s="35" t="n">
        <v>0</v>
      </c>
      <c r="M61" s="16" t="inlineStr">
        <is>
          <t>无</t>
        </is>
      </c>
    </row>
    <row r="62">
      <c r="A62" s="16" t="inlineStr">
        <is>
          <t>XS-2508-00058</t>
        </is>
      </c>
      <c r="B62" s="34" t="n">
        <v>45943</v>
      </c>
      <c r="C62" s="16" t="inlineStr">
        <is>
          <t>NY-KW-2508-008</t>
        </is>
      </c>
      <c r="D62" s="16" t="inlineStr">
        <is>
          <t>社区电商</t>
        </is>
      </c>
      <c r="E62" s="16" t="inlineStr">
        <is>
          <t>广州</t>
        </is>
      </c>
      <c r="F62" s="35" t="n">
        <v>771.1</v>
      </c>
      <c r="G62" s="35" t="n">
        <v>548.1</v>
      </c>
      <c r="H62" s="35" t="n">
        <v>223</v>
      </c>
      <c r="I62" s="35" t="n">
        <v>31.67</v>
      </c>
      <c r="J62" s="36" t="n">
        <v>24420.74</v>
      </c>
      <c r="K62" s="35" t="n">
        <v>3.3</v>
      </c>
      <c r="L62" s="35" t="n">
        <v>0</v>
      </c>
      <c r="M62" s="16" t="inlineStr">
        <is>
          <t>无</t>
        </is>
      </c>
    </row>
    <row r="63">
      <c r="A63" s="16" t="inlineStr">
        <is>
          <t>XS-2508-00059</t>
        </is>
      </c>
      <c r="B63" s="34" t="n">
        <v>45944</v>
      </c>
      <c r="C63" s="16" t="inlineStr">
        <is>
          <t>NY-KW-2508-008</t>
        </is>
      </c>
      <c r="D63" s="16" t="inlineStr">
        <is>
          <t>社区电商</t>
        </is>
      </c>
      <c r="E63" s="16" t="inlineStr">
        <is>
          <t>惠州</t>
        </is>
      </c>
      <c r="F63" s="35" t="n">
        <v>1466.2</v>
      </c>
      <c r="G63" s="35" t="n">
        <v>925.5</v>
      </c>
      <c r="H63" s="35" t="n">
        <v>540.7</v>
      </c>
      <c r="I63" s="35" t="n">
        <v>22.59</v>
      </c>
      <c r="J63" s="36" t="n">
        <v>33121.46</v>
      </c>
      <c r="K63" s="35" t="n">
        <v>3.1</v>
      </c>
      <c r="L63" s="35" t="n">
        <v>0</v>
      </c>
      <c r="M63" s="16" t="inlineStr">
        <is>
          <t>无</t>
        </is>
      </c>
    </row>
    <row r="64">
      <c r="A64" s="16" t="inlineStr">
        <is>
          <t>XS-2508-00060</t>
        </is>
      </c>
      <c r="B64" s="34" t="n">
        <v>45926</v>
      </c>
      <c r="C64" s="16" t="inlineStr">
        <is>
          <t>NY-KW-2508-009</t>
        </is>
      </c>
      <c r="D64" s="16" t="inlineStr">
        <is>
          <t>企业团购</t>
        </is>
      </c>
      <c r="E64" s="16" t="inlineStr">
        <is>
          <t>广州</t>
        </is>
      </c>
      <c r="F64" s="35" t="n">
        <v>860.3</v>
      </c>
      <c r="G64" s="35" t="n">
        <v>860.3</v>
      </c>
      <c r="H64" s="35" t="n">
        <v>0</v>
      </c>
      <c r="I64" s="35" t="n">
        <v>26.2</v>
      </c>
      <c r="J64" s="36" t="n">
        <v>22539.86</v>
      </c>
      <c r="K64" s="35" t="n">
        <v>7.7</v>
      </c>
      <c r="L64" s="35" t="n">
        <v>0</v>
      </c>
      <c r="M64" s="16" t="inlineStr">
        <is>
          <t>无</t>
        </is>
      </c>
    </row>
    <row r="65">
      <c r="A65" s="16" t="inlineStr">
        <is>
          <t>XS-2508-00061</t>
        </is>
      </c>
      <c r="B65" s="34" t="n">
        <v>45927</v>
      </c>
      <c r="C65" s="16" t="inlineStr">
        <is>
          <t>NY-KW-2508-009</t>
        </is>
      </c>
      <c r="D65" s="16" t="inlineStr">
        <is>
          <t>社区电商</t>
        </is>
      </c>
      <c r="E65" s="16" t="inlineStr">
        <is>
          <t>深圳</t>
        </is>
      </c>
      <c r="F65" s="35" t="n">
        <v>643.6</v>
      </c>
      <c r="G65" s="35" t="n">
        <v>614.4</v>
      </c>
      <c r="H65" s="35" t="n">
        <v>29.2</v>
      </c>
      <c r="I65" s="35" t="n">
        <v>24.37</v>
      </c>
      <c r="J65" s="36" t="n">
        <v>15684.53</v>
      </c>
      <c r="K65" s="35" t="n">
        <v>2.6</v>
      </c>
      <c r="L65" s="35" t="n">
        <v>0</v>
      </c>
      <c r="M65" s="16" t="inlineStr">
        <is>
          <t>无</t>
        </is>
      </c>
    </row>
    <row r="66">
      <c r="A66" s="16" t="inlineStr">
        <is>
          <t>XS-2508-00062</t>
        </is>
      </c>
      <c r="B66" s="34" t="n">
        <v>45928</v>
      </c>
      <c r="C66" s="16" t="inlineStr">
        <is>
          <t>NY-KW-2508-009</t>
        </is>
      </c>
      <c r="D66" s="16" t="inlineStr">
        <is>
          <t>批发客户</t>
        </is>
      </c>
      <c r="E66" s="16" t="inlineStr">
        <is>
          <t>广州</t>
        </is>
      </c>
      <c r="F66" s="35" t="n">
        <v>181.7</v>
      </c>
      <c r="G66" s="35" t="n">
        <v>150.9</v>
      </c>
      <c r="H66" s="35" t="n">
        <v>30.8</v>
      </c>
      <c r="I66" s="35" t="n">
        <v>30.47</v>
      </c>
      <c r="J66" s="36" t="n">
        <v>5536.4</v>
      </c>
      <c r="K66" s="35" t="n">
        <v>2.8</v>
      </c>
      <c r="L66" s="35" t="n">
        <v>2</v>
      </c>
      <c r="M66" s="16" t="inlineStr">
        <is>
          <t>偏硬</t>
        </is>
      </c>
    </row>
    <row r="67">
      <c r="A67" s="16" t="inlineStr">
        <is>
          <t>XS-2508-00063</t>
        </is>
      </c>
      <c r="B67" s="34" t="n">
        <v>45929</v>
      </c>
      <c r="C67" s="16" t="inlineStr">
        <is>
          <t>NY-KW-2508-009</t>
        </is>
      </c>
      <c r="D67" s="16" t="inlineStr">
        <is>
          <t>企业团购</t>
        </is>
      </c>
      <c r="E67" s="16" t="inlineStr">
        <is>
          <t>深圳</t>
        </is>
      </c>
      <c r="F67" s="35" t="n">
        <v>286.4</v>
      </c>
      <c r="G67" s="35" t="n">
        <v>219.6</v>
      </c>
      <c r="H67" s="35" t="n">
        <v>66.8</v>
      </c>
      <c r="I67" s="35" t="n">
        <v>27.27</v>
      </c>
      <c r="J67" s="36" t="n">
        <v>7810.13</v>
      </c>
      <c r="K67" s="35" t="n">
        <v>2.5</v>
      </c>
      <c r="L67" s="35" t="n">
        <v>0</v>
      </c>
      <c r="M67" s="16" t="inlineStr">
        <is>
          <t>无</t>
        </is>
      </c>
    </row>
    <row r="68">
      <c r="A68" s="16" t="inlineStr">
        <is>
          <t>XS-2508-00064</t>
        </is>
      </c>
      <c r="B68" s="34" t="n">
        <v>45930</v>
      </c>
      <c r="C68" s="16" t="inlineStr">
        <is>
          <t>NY-KW-2508-009</t>
        </is>
      </c>
      <c r="D68" s="16" t="inlineStr">
        <is>
          <t>社区电商</t>
        </is>
      </c>
      <c r="E68" s="16" t="inlineStr">
        <is>
          <t>深圳</t>
        </is>
      </c>
      <c r="F68" s="35" t="n">
        <v>1050.2</v>
      </c>
      <c r="G68" s="35" t="n">
        <v>851.6</v>
      </c>
      <c r="H68" s="35" t="n">
        <v>198.6</v>
      </c>
      <c r="I68" s="35" t="n">
        <v>31.71</v>
      </c>
      <c r="J68" s="36" t="n">
        <v>33301.84</v>
      </c>
      <c r="K68" s="35" t="n">
        <v>1.6</v>
      </c>
      <c r="L68" s="35" t="n">
        <v>0</v>
      </c>
      <c r="M68" s="16" t="inlineStr">
        <is>
          <t>无</t>
        </is>
      </c>
    </row>
    <row r="69">
      <c r="A69" s="16" t="inlineStr">
        <is>
          <t>XS-2508-00065</t>
        </is>
      </c>
      <c r="B69" s="34" t="n">
        <v>45950</v>
      </c>
      <c r="C69" s="16" t="inlineStr">
        <is>
          <t>NY-KW-2508-010</t>
        </is>
      </c>
      <c r="D69" s="16" t="inlineStr">
        <is>
          <t>连锁门店</t>
        </is>
      </c>
      <c r="E69" s="16" t="inlineStr">
        <is>
          <t>广州</t>
        </is>
      </c>
      <c r="F69" s="35" t="n">
        <v>591.1</v>
      </c>
      <c r="G69" s="35" t="n">
        <v>591.1</v>
      </c>
      <c r="H69" s="35" t="n">
        <v>0</v>
      </c>
      <c r="I69" s="35" t="n">
        <v>27.33</v>
      </c>
      <c r="J69" s="36" t="n">
        <v>16154.76</v>
      </c>
      <c r="K69" s="35" t="n">
        <v>0.5</v>
      </c>
      <c r="L69" s="35" t="n">
        <v>0</v>
      </c>
      <c r="M69" s="16" t="inlineStr">
        <is>
          <t>无</t>
        </is>
      </c>
    </row>
    <row r="70">
      <c r="A70" s="16" t="inlineStr">
        <is>
          <t>XS-2508-00066</t>
        </is>
      </c>
      <c r="B70" s="34" t="n">
        <v>45951</v>
      </c>
      <c r="C70" s="16" t="inlineStr">
        <is>
          <t>NY-KW-2508-010</t>
        </is>
      </c>
      <c r="D70" s="16" t="inlineStr">
        <is>
          <t>社区电商</t>
        </is>
      </c>
      <c r="E70" s="16" t="inlineStr">
        <is>
          <t>广州</t>
        </is>
      </c>
      <c r="F70" s="35" t="n">
        <v>364</v>
      </c>
      <c r="G70" s="35" t="n">
        <v>317.5</v>
      </c>
      <c r="H70" s="35" t="n">
        <v>46.5</v>
      </c>
      <c r="I70" s="35" t="n">
        <v>27.84</v>
      </c>
      <c r="J70" s="36" t="n">
        <v>10133.76</v>
      </c>
      <c r="K70" s="35" t="n">
        <v>2.8</v>
      </c>
      <c r="L70" s="35" t="n">
        <v>0</v>
      </c>
      <c r="M70" s="16" t="inlineStr">
        <is>
          <t>无</t>
        </is>
      </c>
    </row>
    <row r="71">
      <c r="A71" s="16" t="inlineStr">
        <is>
          <t>XS-2508-00067</t>
        </is>
      </c>
      <c r="B71" s="34" t="n">
        <v>45952</v>
      </c>
      <c r="C71" s="16" t="inlineStr">
        <is>
          <t>NY-KW-2508-010</t>
        </is>
      </c>
      <c r="D71" s="16" t="inlineStr">
        <is>
          <t>批发客户</t>
        </is>
      </c>
      <c r="E71" s="16" t="inlineStr">
        <is>
          <t>深圳</t>
        </is>
      </c>
      <c r="F71" s="35" t="n">
        <v>1422.8</v>
      </c>
      <c r="G71" s="35" t="n">
        <v>1220.4</v>
      </c>
      <c r="H71" s="35" t="n">
        <v>202.4</v>
      </c>
      <c r="I71" s="35" t="n">
        <v>27.9</v>
      </c>
      <c r="J71" s="36" t="n">
        <v>39696.12</v>
      </c>
      <c r="K71" s="35" t="n">
        <v>18.5</v>
      </c>
      <c r="L71" s="35" t="n">
        <v>0</v>
      </c>
      <c r="M71" s="16" t="inlineStr">
        <is>
          <t>无</t>
        </is>
      </c>
    </row>
    <row r="72">
      <c r="A72" s="16" t="inlineStr">
        <is>
          <t>XS-2508-00068</t>
        </is>
      </c>
      <c r="B72" s="34" t="n">
        <v>45953</v>
      </c>
      <c r="C72" s="16" t="inlineStr">
        <is>
          <t>NY-KW-2508-010</t>
        </is>
      </c>
      <c r="D72" s="16" t="inlineStr">
        <is>
          <t>批发客户</t>
        </is>
      </c>
      <c r="E72" s="16" t="inlineStr">
        <is>
          <t>深圳</t>
        </is>
      </c>
      <c r="F72" s="35" t="n">
        <v>1335.3</v>
      </c>
      <c r="G72" s="35" t="n">
        <v>1109.9</v>
      </c>
      <c r="H72" s="35" t="n">
        <v>225.4</v>
      </c>
      <c r="I72" s="35" t="n">
        <v>27</v>
      </c>
      <c r="J72" s="36" t="n">
        <v>36053.1</v>
      </c>
      <c r="K72" s="35" t="n">
        <v>13</v>
      </c>
      <c r="L72" s="35" t="n">
        <v>0</v>
      </c>
      <c r="M72" s="16" t="inlineStr">
        <is>
          <t>无</t>
        </is>
      </c>
    </row>
    <row r="73">
      <c r="A73" s="16" t="inlineStr">
        <is>
          <t>XS-2508-00069</t>
        </is>
      </c>
      <c r="B73" s="34" t="n">
        <v>45954</v>
      </c>
      <c r="C73" s="16" t="inlineStr">
        <is>
          <t>NY-KW-2508-010</t>
        </is>
      </c>
      <c r="D73" s="16" t="inlineStr">
        <is>
          <t>批发客户</t>
        </is>
      </c>
      <c r="E73" s="16" t="inlineStr">
        <is>
          <t>广州</t>
        </is>
      </c>
      <c r="F73" s="35" t="n">
        <v>1550.7</v>
      </c>
      <c r="G73" s="35" t="n">
        <v>954.1</v>
      </c>
      <c r="H73" s="35" t="n">
        <v>596.6</v>
      </c>
      <c r="I73" s="35" t="n">
        <v>23.98</v>
      </c>
      <c r="J73" s="36" t="n">
        <v>37185.79</v>
      </c>
      <c r="K73" s="35" t="n">
        <v>4</v>
      </c>
      <c r="L73" s="35" t="n">
        <v>0</v>
      </c>
      <c r="M73" s="16" t="inlineStr">
        <is>
          <t>无</t>
        </is>
      </c>
    </row>
    <row r="74">
      <c r="A74" s="16" t="inlineStr">
        <is>
          <t>XS-2508-00070</t>
        </is>
      </c>
      <c r="B74" s="34" t="n">
        <v>45955</v>
      </c>
      <c r="C74" s="16" t="inlineStr">
        <is>
          <t>NY-KW-2508-010</t>
        </is>
      </c>
      <c r="D74" s="16" t="inlineStr">
        <is>
          <t>批发客户</t>
        </is>
      </c>
      <c r="E74" s="16" t="inlineStr">
        <is>
          <t>深圳</t>
        </is>
      </c>
      <c r="F74" s="35" t="n">
        <v>977</v>
      </c>
      <c r="G74" s="35" t="n">
        <v>713.9</v>
      </c>
      <c r="H74" s="35" t="n">
        <v>263.1</v>
      </c>
      <c r="I74" s="35" t="n">
        <v>27.57</v>
      </c>
      <c r="J74" s="36" t="n">
        <v>26935.89</v>
      </c>
      <c r="K74" s="35" t="n">
        <v>4.2</v>
      </c>
      <c r="L74" s="35" t="n">
        <v>3</v>
      </c>
      <c r="M74" s="16" t="inlineStr">
        <is>
          <t>偏硬</t>
        </is>
      </c>
    </row>
    <row r="75">
      <c r="A75" s="16" t="inlineStr">
        <is>
          <t>XS-2508-00071</t>
        </is>
      </c>
      <c r="B75" s="34" t="n">
        <v>45956</v>
      </c>
      <c r="C75" s="16" t="inlineStr">
        <is>
          <t>NY-KW-2508-010</t>
        </is>
      </c>
      <c r="D75" s="16" t="inlineStr">
        <is>
          <t>连锁门店</t>
        </is>
      </c>
      <c r="E75" s="16" t="inlineStr">
        <is>
          <t>佛山</t>
        </is>
      </c>
      <c r="F75" s="35" t="n">
        <v>1370.8</v>
      </c>
      <c r="G75" s="35" t="n">
        <v>846</v>
      </c>
      <c r="H75" s="35" t="n">
        <v>524.8</v>
      </c>
      <c r="I75" s="35" t="n">
        <v>25.51</v>
      </c>
      <c r="J75" s="36" t="n">
        <v>34969.11</v>
      </c>
      <c r="K75" s="35" t="n">
        <v>19.7</v>
      </c>
      <c r="L75" s="35" t="n">
        <v>1</v>
      </c>
      <c r="M75" s="16" t="inlineStr">
        <is>
          <t>风味一般</t>
        </is>
      </c>
    </row>
    <row r="76">
      <c r="A76" s="16" t="inlineStr">
        <is>
          <t>XS-2508-00072</t>
        </is>
      </c>
      <c r="B76" s="34" t="n">
        <v>45957</v>
      </c>
      <c r="C76" s="16" t="inlineStr">
        <is>
          <t>NY-KW-2508-010</t>
        </is>
      </c>
      <c r="D76" s="16" t="inlineStr">
        <is>
          <t>批发客户</t>
        </is>
      </c>
      <c r="E76" s="16" t="inlineStr">
        <is>
          <t>广州</t>
        </is>
      </c>
      <c r="F76" s="35" t="n">
        <v>307.3</v>
      </c>
      <c r="G76" s="35" t="n">
        <v>201.1</v>
      </c>
      <c r="H76" s="35" t="n">
        <v>106.2</v>
      </c>
      <c r="I76" s="35" t="n">
        <v>30.23</v>
      </c>
      <c r="J76" s="36" t="n">
        <v>9289.68</v>
      </c>
      <c r="K76" s="35" t="n">
        <v>2.6</v>
      </c>
      <c r="L76" s="35" t="n">
        <v>0</v>
      </c>
      <c r="M76" s="16" t="inlineStr">
        <is>
          <t>无</t>
        </is>
      </c>
    </row>
    <row r="77">
      <c r="A77" s="16" t="inlineStr">
        <is>
          <t>XS-2508-00073</t>
        </is>
      </c>
      <c r="B77" s="34" t="n">
        <v>45925</v>
      </c>
      <c r="C77" s="16" t="inlineStr">
        <is>
          <t>NY-KW-2508-011</t>
        </is>
      </c>
      <c r="D77" s="16" t="inlineStr">
        <is>
          <t>批发客户</t>
        </is>
      </c>
      <c r="E77" s="16" t="inlineStr">
        <is>
          <t>佛山</t>
        </is>
      </c>
      <c r="F77" s="35" t="n">
        <v>804.2</v>
      </c>
      <c r="G77" s="35" t="n">
        <v>758.3</v>
      </c>
      <c r="H77" s="35" t="n">
        <v>45.9</v>
      </c>
      <c r="I77" s="35" t="n">
        <v>22.71</v>
      </c>
      <c r="J77" s="36" t="n">
        <v>18263.38</v>
      </c>
      <c r="K77" s="35" t="n">
        <v>2.1</v>
      </c>
      <c r="L77" s="35" t="n">
        <v>2</v>
      </c>
      <c r="M77" s="16" t="inlineStr">
        <is>
          <t>外观</t>
        </is>
      </c>
    </row>
    <row r="78">
      <c r="A78" s="16" t="inlineStr">
        <is>
          <t>XS-2508-00074</t>
        </is>
      </c>
      <c r="B78" s="34" t="n">
        <v>45926</v>
      </c>
      <c r="C78" s="16" t="inlineStr">
        <is>
          <t>NY-KW-2508-011</t>
        </is>
      </c>
      <c r="D78" s="16" t="inlineStr">
        <is>
          <t>社区电商</t>
        </is>
      </c>
      <c r="E78" s="16" t="inlineStr">
        <is>
          <t>东莞</t>
        </is>
      </c>
      <c r="F78" s="35" t="n">
        <v>1532.8</v>
      </c>
      <c r="G78" s="35" t="n">
        <v>1410.8</v>
      </c>
      <c r="H78" s="35" t="n">
        <v>122</v>
      </c>
      <c r="I78" s="35" t="n">
        <v>25.49</v>
      </c>
      <c r="J78" s="36" t="n">
        <v>39071.07</v>
      </c>
      <c r="K78" s="35" t="n">
        <v>8.4</v>
      </c>
      <c r="L78" s="35" t="n">
        <v>0</v>
      </c>
      <c r="M78" s="16" t="inlineStr">
        <is>
          <t>无</t>
        </is>
      </c>
    </row>
    <row r="79">
      <c r="A79" s="16" t="inlineStr">
        <is>
          <t>XS-2508-00075</t>
        </is>
      </c>
      <c r="B79" s="34" t="n">
        <v>45927</v>
      </c>
      <c r="C79" s="16" t="inlineStr">
        <is>
          <t>NY-KW-2508-011</t>
        </is>
      </c>
      <c r="D79" s="16" t="inlineStr">
        <is>
          <t>连锁门店</t>
        </is>
      </c>
      <c r="E79" s="16" t="inlineStr">
        <is>
          <t>佛山</t>
        </is>
      </c>
      <c r="F79" s="35" t="n">
        <v>401.3</v>
      </c>
      <c r="G79" s="35" t="n">
        <v>353.3</v>
      </c>
      <c r="H79" s="35" t="n">
        <v>48</v>
      </c>
      <c r="I79" s="35" t="n">
        <v>24.98</v>
      </c>
      <c r="J79" s="36" t="n">
        <v>10024.47</v>
      </c>
      <c r="K79" s="35" t="n">
        <v>7.1</v>
      </c>
      <c r="L79" s="35" t="n">
        <v>0</v>
      </c>
      <c r="M79" s="16" t="inlineStr">
        <is>
          <t>无</t>
        </is>
      </c>
    </row>
    <row r="80">
      <c r="A80" s="16" t="inlineStr">
        <is>
          <t>XS-2508-00076</t>
        </is>
      </c>
      <c r="B80" s="34" t="n">
        <v>45928</v>
      </c>
      <c r="C80" s="16" t="inlineStr">
        <is>
          <t>NY-KW-2508-011</t>
        </is>
      </c>
      <c r="D80" s="16" t="inlineStr">
        <is>
          <t>企业团购</t>
        </is>
      </c>
      <c r="E80" s="16" t="inlineStr">
        <is>
          <t>惠州</t>
        </is>
      </c>
      <c r="F80" s="35" t="n">
        <v>969.1</v>
      </c>
      <c r="G80" s="35" t="n">
        <v>788.8</v>
      </c>
      <c r="H80" s="35" t="n">
        <v>180.3</v>
      </c>
      <c r="I80" s="35" t="n">
        <v>29.16</v>
      </c>
      <c r="J80" s="36" t="n">
        <v>28258.96</v>
      </c>
      <c r="K80" s="35" t="n">
        <v>0.2</v>
      </c>
      <c r="L80" s="35" t="n">
        <v>0</v>
      </c>
      <c r="M80" s="16" t="inlineStr">
        <is>
          <t>无</t>
        </is>
      </c>
    </row>
    <row r="81">
      <c r="A81" s="16" t="inlineStr">
        <is>
          <t>XS-2508-00077</t>
        </is>
      </c>
      <c r="B81" s="34" t="n">
        <v>45929</v>
      </c>
      <c r="C81" s="16" t="inlineStr">
        <is>
          <t>NY-KW-2508-011</t>
        </is>
      </c>
      <c r="D81" s="16" t="inlineStr">
        <is>
          <t>社区电商</t>
        </is>
      </c>
      <c r="E81" s="16" t="inlineStr">
        <is>
          <t>深圳</t>
        </is>
      </c>
      <c r="F81" s="35" t="n">
        <v>561.4</v>
      </c>
      <c r="G81" s="35" t="n">
        <v>490.4</v>
      </c>
      <c r="H81" s="35" t="n">
        <v>71</v>
      </c>
      <c r="I81" s="35" t="n">
        <v>25.69</v>
      </c>
      <c r="J81" s="36" t="n">
        <v>14422.37</v>
      </c>
      <c r="K81" s="35" t="n">
        <v>2.1</v>
      </c>
      <c r="L81" s="35" t="n">
        <v>1</v>
      </c>
      <c r="M81" s="16" t="inlineStr">
        <is>
          <t>偏软</t>
        </is>
      </c>
    </row>
    <row r="82">
      <c r="A82" s="16" t="inlineStr">
        <is>
          <t>XS-2508-00078</t>
        </is>
      </c>
      <c r="B82" s="34" t="n">
        <v>45930</v>
      </c>
      <c r="C82" s="16" t="inlineStr">
        <is>
          <t>NY-KW-2508-011</t>
        </is>
      </c>
      <c r="D82" s="16" t="inlineStr">
        <is>
          <t>社区电商</t>
        </is>
      </c>
      <c r="E82" s="16" t="inlineStr">
        <is>
          <t>广州</t>
        </is>
      </c>
      <c r="F82" s="35" t="n">
        <v>448.3</v>
      </c>
      <c r="G82" s="35" t="n">
        <v>394.4</v>
      </c>
      <c r="H82" s="35" t="n">
        <v>53.9</v>
      </c>
      <c r="I82" s="35" t="n">
        <v>25.55</v>
      </c>
      <c r="J82" s="36" t="n">
        <v>11454.07</v>
      </c>
      <c r="K82" s="35" t="n">
        <v>2.4</v>
      </c>
      <c r="L82" s="35" t="n">
        <v>0</v>
      </c>
      <c r="M82" s="16" t="inlineStr">
        <is>
          <t>无</t>
        </is>
      </c>
    </row>
    <row r="83">
      <c r="A83" s="16" t="inlineStr">
        <is>
          <t>XS-2508-00079</t>
        </is>
      </c>
      <c r="B83" s="34" t="n">
        <v>45931</v>
      </c>
      <c r="C83" s="16" t="inlineStr">
        <is>
          <t>NY-KW-2508-011</t>
        </is>
      </c>
      <c r="D83" s="16" t="inlineStr">
        <is>
          <t>批发客户</t>
        </is>
      </c>
      <c r="E83" s="16" t="inlineStr">
        <is>
          <t>佛山</t>
        </is>
      </c>
      <c r="F83" s="35" t="n">
        <v>323.1</v>
      </c>
      <c r="G83" s="35" t="n">
        <v>266.3</v>
      </c>
      <c r="H83" s="35" t="n">
        <v>56.8</v>
      </c>
      <c r="I83" s="35" t="n">
        <v>29.76</v>
      </c>
      <c r="J83" s="36" t="n">
        <v>9615.459999999999</v>
      </c>
      <c r="K83" s="35" t="n">
        <v>1.5</v>
      </c>
      <c r="L83" s="35" t="n">
        <v>2</v>
      </c>
      <c r="M83" s="16" t="inlineStr">
        <is>
          <t>偏软</t>
        </is>
      </c>
    </row>
    <row r="84">
      <c r="A84" s="16" t="inlineStr">
        <is>
          <t>XS-2508-00080</t>
        </is>
      </c>
      <c r="B84" s="34" t="n">
        <v>45919</v>
      </c>
      <c r="C84" s="16" t="inlineStr">
        <is>
          <t>NY-KW-2508-012</t>
        </is>
      </c>
      <c r="D84" s="16" t="inlineStr">
        <is>
          <t>社区电商</t>
        </is>
      </c>
      <c r="E84" s="16" t="inlineStr">
        <is>
          <t>佛山</t>
        </is>
      </c>
      <c r="F84" s="35" t="n">
        <v>663.7</v>
      </c>
      <c r="G84" s="35" t="n">
        <v>571.1</v>
      </c>
      <c r="H84" s="35" t="n">
        <v>92.59999999999999</v>
      </c>
      <c r="I84" s="35" t="n">
        <v>31.49</v>
      </c>
      <c r="J84" s="36" t="n">
        <v>20899.91</v>
      </c>
      <c r="K84" s="35" t="n">
        <v>11.7</v>
      </c>
      <c r="L84" s="35" t="n">
        <v>1</v>
      </c>
      <c r="M84" s="16" t="inlineStr">
        <is>
          <t>偏硬</t>
        </is>
      </c>
    </row>
    <row r="85">
      <c r="A85" s="16" t="inlineStr">
        <is>
          <t>XS-2508-00081</t>
        </is>
      </c>
      <c r="B85" s="34" t="n">
        <v>45920</v>
      </c>
      <c r="C85" s="16" t="inlineStr">
        <is>
          <t>NY-KW-2508-012</t>
        </is>
      </c>
      <c r="D85" s="16" t="inlineStr">
        <is>
          <t>批发客户</t>
        </is>
      </c>
      <c r="E85" s="16" t="inlineStr">
        <is>
          <t>深圳</t>
        </is>
      </c>
      <c r="F85" s="35" t="n">
        <v>865.5</v>
      </c>
      <c r="G85" s="35" t="n">
        <v>734.6</v>
      </c>
      <c r="H85" s="35" t="n">
        <v>130.9</v>
      </c>
      <c r="I85" s="35" t="n">
        <v>26.49</v>
      </c>
      <c r="J85" s="36" t="n">
        <v>22927.09</v>
      </c>
      <c r="K85" s="35" t="n">
        <v>2.9</v>
      </c>
      <c r="L85" s="35" t="n">
        <v>0</v>
      </c>
      <c r="M85" s="16" t="inlineStr">
        <is>
          <t>无</t>
        </is>
      </c>
    </row>
    <row r="86">
      <c r="A86" s="16" t="inlineStr">
        <is>
          <t>XS-2508-00082</t>
        </is>
      </c>
      <c r="B86" s="34" t="n">
        <v>45921</v>
      </c>
      <c r="C86" s="16" t="inlineStr">
        <is>
          <t>NY-KW-2508-012</t>
        </is>
      </c>
      <c r="D86" s="16" t="inlineStr">
        <is>
          <t>社区电商</t>
        </is>
      </c>
      <c r="E86" s="16" t="inlineStr">
        <is>
          <t>东莞</t>
        </is>
      </c>
      <c r="F86" s="35" t="n">
        <v>620.9</v>
      </c>
      <c r="G86" s="35" t="n">
        <v>571.3</v>
      </c>
      <c r="H86" s="35" t="n">
        <v>49.6</v>
      </c>
      <c r="I86" s="35" t="n">
        <v>30.2</v>
      </c>
      <c r="J86" s="36" t="n">
        <v>18751.18</v>
      </c>
      <c r="K86" s="35" t="n">
        <v>0.9</v>
      </c>
      <c r="L86" s="35" t="n">
        <v>0</v>
      </c>
      <c r="M86" s="16" t="inlineStr">
        <is>
          <t>无</t>
        </is>
      </c>
    </row>
    <row r="87">
      <c r="A87" s="16" t="inlineStr">
        <is>
          <t>XS-2508-00083</t>
        </is>
      </c>
      <c r="B87" s="34" t="n">
        <v>45922</v>
      </c>
      <c r="C87" s="16" t="inlineStr">
        <is>
          <t>NY-KW-2508-012</t>
        </is>
      </c>
      <c r="D87" s="16" t="inlineStr">
        <is>
          <t>批发客户</t>
        </is>
      </c>
      <c r="E87" s="16" t="inlineStr">
        <is>
          <t>惠州</t>
        </is>
      </c>
      <c r="F87" s="35" t="n">
        <v>667.5</v>
      </c>
      <c r="G87" s="35" t="n">
        <v>564.6</v>
      </c>
      <c r="H87" s="35" t="n">
        <v>102.9</v>
      </c>
      <c r="I87" s="35" t="n">
        <v>28.88</v>
      </c>
      <c r="J87" s="36" t="n">
        <v>19277.4</v>
      </c>
      <c r="K87" s="35" t="n">
        <v>10.8</v>
      </c>
      <c r="L87" s="35" t="n">
        <v>0</v>
      </c>
      <c r="M87" s="16" t="inlineStr">
        <is>
          <t>无</t>
        </is>
      </c>
    </row>
    <row r="88">
      <c r="A88" s="16" t="inlineStr">
        <is>
          <t>XS-2508-00084</t>
        </is>
      </c>
      <c r="B88" s="34" t="n">
        <v>45923</v>
      </c>
      <c r="C88" s="16" t="inlineStr">
        <is>
          <t>NY-KW-2508-012</t>
        </is>
      </c>
      <c r="D88" s="16" t="inlineStr">
        <is>
          <t>社区电商</t>
        </is>
      </c>
      <c r="E88" s="16" t="inlineStr">
        <is>
          <t>深圳</t>
        </is>
      </c>
      <c r="F88" s="35" t="n">
        <v>1217.6</v>
      </c>
      <c r="G88" s="35" t="n">
        <v>787.4</v>
      </c>
      <c r="H88" s="35" t="n">
        <v>430.2</v>
      </c>
      <c r="I88" s="35" t="n">
        <v>23.43</v>
      </c>
      <c r="J88" s="36" t="n">
        <v>28528.37</v>
      </c>
      <c r="K88" s="35" t="n">
        <v>14.4</v>
      </c>
      <c r="L88" s="35" t="n">
        <v>0</v>
      </c>
      <c r="M88" s="16" t="inlineStr">
        <is>
          <t>无</t>
        </is>
      </c>
    </row>
    <row r="89">
      <c r="A89" s="16" t="inlineStr">
        <is>
          <t>XS-2508-00085</t>
        </is>
      </c>
      <c r="B89" s="34" t="n">
        <v>45924</v>
      </c>
      <c r="C89" s="16" t="inlineStr">
        <is>
          <t>NY-KW-2508-012</t>
        </is>
      </c>
      <c r="D89" s="16" t="inlineStr">
        <is>
          <t>社区电商</t>
        </is>
      </c>
      <c r="E89" s="16" t="inlineStr">
        <is>
          <t>广州</t>
        </is>
      </c>
      <c r="F89" s="35" t="n">
        <v>269.6</v>
      </c>
      <c r="G89" s="35" t="n">
        <v>197.7</v>
      </c>
      <c r="H89" s="35" t="n">
        <v>71.90000000000001</v>
      </c>
      <c r="I89" s="35" t="n">
        <v>24.37</v>
      </c>
      <c r="J89" s="36" t="n">
        <v>6570.15</v>
      </c>
      <c r="K89" s="35" t="n">
        <v>4</v>
      </c>
      <c r="L89" s="35" t="n">
        <v>0</v>
      </c>
      <c r="M89" s="16" t="inlineStr">
        <is>
          <t>无</t>
        </is>
      </c>
    </row>
    <row r="90">
      <c r="A90" s="16" t="inlineStr">
        <is>
          <t>XS-2508-00086</t>
        </is>
      </c>
      <c r="B90" s="34" t="n">
        <v>45925</v>
      </c>
      <c r="C90" s="16" t="inlineStr">
        <is>
          <t>NY-KW-2508-012</t>
        </is>
      </c>
      <c r="D90" s="16" t="inlineStr">
        <is>
          <t>企业团购</t>
        </is>
      </c>
      <c r="E90" s="16" t="inlineStr">
        <is>
          <t>东莞</t>
        </is>
      </c>
      <c r="F90" s="35" t="n">
        <v>1084.7</v>
      </c>
      <c r="G90" s="35" t="n">
        <v>912</v>
      </c>
      <c r="H90" s="35" t="n">
        <v>172.7</v>
      </c>
      <c r="I90" s="35" t="n">
        <v>26.04</v>
      </c>
      <c r="J90" s="36" t="n">
        <v>28245.59</v>
      </c>
      <c r="K90" s="35" t="n">
        <v>12.6</v>
      </c>
      <c r="L90" s="35" t="n">
        <v>0</v>
      </c>
      <c r="M90" s="16" t="inlineStr">
        <is>
          <t>无</t>
        </is>
      </c>
    </row>
    <row r="91">
      <c r="A91" s="16" t="inlineStr">
        <is>
          <t>XS-2508-00087</t>
        </is>
      </c>
      <c r="B91" s="34" t="n">
        <v>45939</v>
      </c>
      <c r="C91" s="16" t="inlineStr">
        <is>
          <t>NY-KW-2508-013</t>
        </is>
      </c>
      <c r="D91" s="16" t="inlineStr">
        <is>
          <t>连锁门店</t>
        </is>
      </c>
      <c r="E91" s="16" t="inlineStr">
        <is>
          <t>佛山</t>
        </is>
      </c>
      <c r="F91" s="35" t="n">
        <v>814.9</v>
      </c>
      <c r="G91" s="35" t="n">
        <v>760.1</v>
      </c>
      <c r="H91" s="35" t="n">
        <v>54.8</v>
      </c>
      <c r="I91" s="35" t="n">
        <v>22.37</v>
      </c>
      <c r="J91" s="36" t="n">
        <v>18229.31</v>
      </c>
      <c r="K91" s="35" t="n">
        <v>9.4</v>
      </c>
      <c r="L91" s="35" t="n">
        <v>0</v>
      </c>
      <c r="M91" s="16" t="inlineStr">
        <is>
          <t>无</t>
        </is>
      </c>
    </row>
    <row r="92">
      <c r="A92" s="16" t="inlineStr">
        <is>
          <t>XS-2508-00088</t>
        </is>
      </c>
      <c r="B92" s="34" t="n">
        <v>45940</v>
      </c>
      <c r="C92" s="16" t="inlineStr">
        <is>
          <t>NY-KW-2508-013</t>
        </is>
      </c>
      <c r="D92" s="16" t="inlineStr">
        <is>
          <t>企业团购</t>
        </is>
      </c>
      <c r="E92" s="16" t="inlineStr">
        <is>
          <t>南宁</t>
        </is>
      </c>
      <c r="F92" s="35" t="n">
        <v>416.1</v>
      </c>
      <c r="G92" s="35" t="n">
        <v>387</v>
      </c>
      <c r="H92" s="35" t="n">
        <v>29.1</v>
      </c>
      <c r="I92" s="35" t="n">
        <v>27.61</v>
      </c>
      <c r="J92" s="36" t="n">
        <v>11488.52</v>
      </c>
      <c r="K92" s="35" t="n">
        <v>5.7</v>
      </c>
      <c r="L92" s="35" t="n">
        <v>1</v>
      </c>
      <c r="M92" s="16" t="inlineStr">
        <is>
          <t>偏硬</t>
        </is>
      </c>
    </row>
    <row r="93">
      <c r="A93" s="16" t="inlineStr">
        <is>
          <t>XS-2508-00089</t>
        </is>
      </c>
      <c r="B93" s="34" t="n">
        <v>45941</v>
      </c>
      <c r="C93" s="16" t="inlineStr">
        <is>
          <t>NY-KW-2508-013</t>
        </is>
      </c>
      <c r="D93" s="16" t="inlineStr">
        <is>
          <t>社区电商</t>
        </is>
      </c>
      <c r="E93" s="16" t="inlineStr">
        <is>
          <t>惠州</t>
        </is>
      </c>
      <c r="F93" s="35" t="n">
        <v>1137</v>
      </c>
      <c r="G93" s="35" t="n">
        <v>955.7</v>
      </c>
      <c r="H93" s="35" t="n">
        <v>181.3</v>
      </c>
      <c r="I93" s="35" t="n">
        <v>24.14</v>
      </c>
      <c r="J93" s="36" t="n">
        <v>27447.18</v>
      </c>
      <c r="K93" s="35" t="n">
        <v>13</v>
      </c>
      <c r="L93" s="35" t="n">
        <v>0</v>
      </c>
      <c r="M93" s="16" t="inlineStr">
        <is>
          <t>无</t>
        </is>
      </c>
    </row>
    <row r="94">
      <c r="A94" s="16" t="inlineStr">
        <is>
          <t>XS-2508-00090</t>
        </is>
      </c>
      <c r="B94" s="34" t="n">
        <v>45942</v>
      </c>
      <c r="C94" s="16" t="inlineStr">
        <is>
          <t>NY-KW-2508-013</t>
        </is>
      </c>
      <c r="D94" s="16" t="inlineStr">
        <is>
          <t>社区电商</t>
        </is>
      </c>
      <c r="E94" s="16" t="inlineStr">
        <is>
          <t>佛山</t>
        </is>
      </c>
      <c r="F94" s="35" t="n">
        <v>942.9</v>
      </c>
      <c r="G94" s="35" t="n">
        <v>761.3</v>
      </c>
      <c r="H94" s="35" t="n">
        <v>181.6</v>
      </c>
      <c r="I94" s="35" t="n">
        <v>24.88</v>
      </c>
      <c r="J94" s="36" t="n">
        <v>23459.35</v>
      </c>
      <c r="K94" s="35" t="n">
        <v>0.6</v>
      </c>
      <c r="L94" s="35" t="n">
        <v>0</v>
      </c>
      <c r="M94" s="16" t="inlineStr">
        <is>
          <t>无</t>
        </is>
      </c>
    </row>
    <row r="95">
      <c r="A95" s="16" t="inlineStr">
        <is>
          <t>XS-2508-00091</t>
        </is>
      </c>
      <c r="B95" s="34" t="n">
        <v>45943</v>
      </c>
      <c r="C95" s="16" t="inlineStr">
        <is>
          <t>NY-KW-2508-013</t>
        </is>
      </c>
      <c r="D95" s="16" t="inlineStr">
        <is>
          <t>连锁门店</t>
        </is>
      </c>
      <c r="E95" s="16" t="inlineStr">
        <is>
          <t>惠州</t>
        </is>
      </c>
      <c r="F95" s="35" t="n">
        <v>450.4</v>
      </c>
      <c r="G95" s="35" t="n">
        <v>347.2</v>
      </c>
      <c r="H95" s="35" t="n">
        <v>103.2</v>
      </c>
      <c r="I95" s="35" t="n">
        <v>23.59</v>
      </c>
      <c r="J95" s="36" t="n">
        <v>10624.94</v>
      </c>
      <c r="K95" s="35" t="n">
        <v>1</v>
      </c>
      <c r="L95" s="35" t="n">
        <v>0</v>
      </c>
      <c r="M95" s="16" t="inlineStr">
        <is>
          <t>无</t>
        </is>
      </c>
    </row>
    <row r="96">
      <c r="A96" s="16" t="inlineStr">
        <is>
          <t>XS-2508-00092</t>
        </is>
      </c>
      <c r="B96" s="34" t="n">
        <v>45934</v>
      </c>
      <c r="C96" s="16" t="inlineStr">
        <is>
          <t>NY-KW-2508-014</t>
        </is>
      </c>
      <c r="D96" s="16" t="inlineStr">
        <is>
          <t>企业团购</t>
        </is>
      </c>
      <c r="E96" s="16" t="inlineStr">
        <is>
          <t>东莞</t>
        </is>
      </c>
      <c r="F96" s="35" t="n">
        <v>705.6</v>
      </c>
      <c r="G96" s="35" t="n">
        <v>610.7</v>
      </c>
      <c r="H96" s="35" t="n">
        <v>94.90000000000001</v>
      </c>
      <c r="I96" s="35" t="n">
        <v>21.29</v>
      </c>
      <c r="J96" s="36" t="n">
        <v>15022.22</v>
      </c>
      <c r="K96" s="35" t="n">
        <v>12.1</v>
      </c>
      <c r="L96" s="35" t="n">
        <v>0</v>
      </c>
      <c r="M96" s="16" t="inlineStr">
        <is>
          <t>无</t>
        </is>
      </c>
    </row>
    <row r="97">
      <c r="A97" s="16" t="inlineStr">
        <is>
          <t>XS-2508-00093</t>
        </is>
      </c>
      <c r="B97" s="34" t="n">
        <v>45935</v>
      </c>
      <c r="C97" s="16" t="inlineStr">
        <is>
          <t>NY-KW-2508-014</t>
        </is>
      </c>
      <c r="D97" s="16" t="inlineStr">
        <is>
          <t>批发客户</t>
        </is>
      </c>
      <c r="E97" s="16" t="inlineStr">
        <is>
          <t>深圳</t>
        </is>
      </c>
      <c r="F97" s="35" t="n">
        <v>338.9</v>
      </c>
      <c r="G97" s="35" t="n">
        <v>281.3</v>
      </c>
      <c r="H97" s="35" t="n">
        <v>57.6</v>
      </c>
      <c r="I97" s="35" t="n">
        <v>20.27</v>
      </c>
      <c r="J97" s="36" t="n">
        <v>6869.5</v>
      </c>
      <c r="K97" s="35" t="n">
        <v>3.1</v>
      </c>
      <c r="L97" s="35" t="n">
        <v>0</v>
      </c>
      <c r="M97" s="16" t="inlineStr">
        <is>
          <t>无</t>
        </is>
      </c>
    </row>
    <row r="98">
      <c r="A98" s="16" t="inlineStr">
        <is>
          <t>XS-2508-00094</t>
        </is>
      </c>
      <c r="B98" s="34" t="n">
        <v>45936</v>
      </c>
      <c r="C98" s="16" t="inlineStr">
        <is>
          <t>NY-KW-2508-014</t>
        </is>
      </c>
      <c r="D98" s="16" t="inlineStr">
        <is>
          <t>连锁门店</t>
        </is>
      </c>
      <c r="E98" s="16" t="inlineStr">
        <is>
          <t>广州</t>
        </is>
      </c>
      <c r="F98" s="35" t="n">
        <v>1030.4</v>
      </c>
      <c r="G98" s="35" t="n">
        <v>937.8</v>
      </c>
      <c r="H98" s="35" t="n">
        <v>92.59999999999999</v>
      </c>
      <c r="I98" s="35" t="n">
        <v>23.33</v>
      </c>
      <c r="J98" s="36" t="n">
        <v>24039.23</v>
      </c>
      <c r="K98" s="35" t="n">
        <v>12.5</v>
      </c>
      <c r="L98" s="35" t="n">
        <v>0</v>
      </c>
      <c r="M98" s="16" t="inlineStr">
        <is>
          <t>无</t>
        </is>
      </c>
    </row>
    <row r="99">
      <c r="A99" s="16" t="inlineStr">
        <is>
          <t>XS-2508-00095</t>
        </is>
      </c>
      <c r="B99" s="34" t="n">
        <v>45937</v>
      </c>
      <c r="C99" s="16" t="inlineStr">
        <is>
          <t>NY-KW-2508-014</t>
        </is>
      </c>
      <c r="D99" s="16" t="inlineStr">
        <is>
          <t>批发客户</t>
        </is>
      </c>
      <c r="E99" s="16" t="inlineStr">
        <is>
          <t>东莞</t>
        </is>
      </c>
      <c r="F99" s="35" t="n">
        <v>1367.4</v>
      </c>
      <c r="G99" s="35" t="n">
        <v>1012.8</v>
      </c>
      <c r="H99" s="35" t="n">
        <v>354.6</v>
      </c>
      <c r="I99" s="35" t="n">
        <v>22.53</v>
      </c>
      <c r="J99" s="36" t="n">
        <v>30807.52</v>
      </c>
      <c r="K99" s="35" t="n">
        <v>23.4</v>
      </c>
      <c r="L99" s="35" t="n">
        <v>0</v>
      </c>
      <c r="M99" s="16" t="inlineStr">
        <is>
          <t>无</t>
        </is>
      </c>
    </row>
    <row r="100">
      <c r="A100" s="16" t="inlineStr">
        <is>
          <t>XS-2508-00096</t>
        </is>
      </c>
      <c r="B100" s="34" t="n">
        <v>45938</v>
      </c>
      <c r="C100" s="16" t="inlineStr">
        <is>
          <t>NY-KW-2508-014</t>
        </is>
      </c>
      <c r="D100" s="16" t="inlineStr">
        <is>
          <t>社区电商</t>
        </is>
      </c>
      <c r="E100" s="16" t="inlineStr">
        <is>
          <t>东莞</t>
        </is>
      </c>
      <c r="F100" s="35" t="n">
        <v>694</v>
      </c>
      <c r="G100" s="35" t="n">
        <v>529.2</v>
      </c>
      <c r="H100" s="35" t="n">
        <v>164.8</v>
      </c>
      <c r="I100" s="35" t="n">
        <v>17.25</v>
      </c>
      <c r="J100" s="36" t="n">
        <v>11971.5</v>
      </c>
      <c r="K100" s="35" t="n">
        <v>10.9</v>
      </c>
      <c r="L100" s="35" t="n">
        <v>0</v>
      </c>
      <c r="M100" s="16" t="inlineStr">
        <is>
          <t>无</t>
        </is>
      </c>
    </row>
    <row r="101">
      <c r="A101" s="16" t="inlineStr">
        <is>
          <t>XS-2508-00097</t>
        </is>
      </c>
      <c r="B101" s="34" t="n">
        <v>45939</v>
      </c>
      <c r="C101" s="16" t="inlineStr">
        <is>
          <t>NY-KW-2508-014</t>
        </is>
      </c>
      <c r="D101" s="16" t="inlineStr">
        <is>
          <t>连锁门店</t>
        </is>
      </c>
      <c r="E101" s="16" t="inlineStr">
        <is>
          <t>广州</t>
        </is>
      </c>
      <c r="F101" s="35" t="n">
        <v>450.3</v>
      </c>
      <c r="G101" s="35" t="n">
        <v>374</v>
      </c>
      <c r="H101" s="35" t="n">
        <v>76.3</v>
      </c>
      <c r="I101" s="35" t="n">
        <v>24.39</v>
      </c>
      <c r="J101" s="36" t="n">
        <v>10982.82</v>
      </c>
      <c r="K101" s="35" t="n">
        <v>3.1</v>
      </c>
      <c r="L101" s="35" t="n">
        <v>0</v>
      </c>
      <c r="M101" s="16" t="inlineStr">
        <is>
          <t>无</t>
        </is>
      </c>
    </row>
    <row r="102">
      <c r="A102" s="16" t="inlineStr">
        <is>
          <t>XS-2508-00098</t>
        </is>
      </c>
      <c r="B102" s="34" t="n">
        <v>45940</v>
      </c>
      <c r="C102" s="16" t="inlineStr">
        <is>
          <t>NY-KW-2508-014</t>
        </is>
      </c>
      <c r="D102" s="16" t="inlineStr">
        <is>
          <t>社区电商</t>
        </is>
      </c>
      <c r="E102" s="16" t="inlineStr">
        <is>
          <t>东莞</t>
        </is>
      </c>
      <c r="F102" s="35" t="n">
        <v>892.5</v>
      </c>
      <c r="G102" s="35" t="n">
        <v>720.9</v>
      </c>
      <c r="H102" s="35" t="n">
        <v>171.6</v>
      </c>
      <c r="I102" s="35" t="n">
        <v>20.9</v>
      </c>
      <c r="J102" s="36" t="n">
        <v>18653.25</v>
      </c>
      <c r="K102" s="35" t="n">
        <v>10.6</v>
      </c>
      <c r="L102" s="35" t="n">
        <v>0</v>
      </c>
      <c r="M102" s="16" t="inlineStr">
        <is>
          <t>无</t>
        </is>
      </c>
    </row>
    <row r="103">
      <c r="A103" s="16" t="inlineStr">
        <is>
          <t>XS-2508-00099</t>
        </is>
      </c>
      <c r="B103" s="34" t="n">
        <v>45941</v>
      </c>
      <c r="C103" s="16" t="inlineStr">
        <is>
          <t>NY-KW-2508-014</t>
        </is>
      </c>
      <c r="D103" s="16" t="inlineStr">
        <is>
          <t>社区电商</t>
        </is>
      </c>
      <c r="E103" s="16" t="inlineStr">
        <is>
          <t>深圳</t>
        </is>
      </c>
      <c r="F103" s="35" t="n">
        <v>1108.4</v>
      </c>
      <c r="G103" s="35" t="n">
        <v>776</v>
      </c>
      <c r="H103" s="35" t="n">
        <v>332.4</v>
      </c>
      <c r="I103" s="35" t="n">
        <v>19.57</v>
      </c>
      <c r="J103" s="36" t="n">
        <v>21691.39</v>
      </c>
      <c r="K103" s="35" t="n">
        <v>7.8</v>
      </c>
      <c r="L103" s="35" t="n">
        <v>0</v>
      </c>
      <c r="M103" s="16" t="inlineStr">
        <is>
          <t>无</t>
        </is>
      </c>
    </row>
    <row r="104">
      <c r="A104" s="16" t="inlineStr">
        <is>
          <t>XS-2508-00100</t>
        </is>
      </c>
      <c r="B104" s="34" t="n">
        <v>45949</v>
      </c>
      <c r="C104" s="16" t="inlineStr">
        <is>
          <t>NY-KW-2508-015</t>
        </is>
      </c>
      <c r="D104" s="16" t="inlineStr">
        <is>
          <t>社区电商</t>
        </is>
      </c>
      <c r="E104" s="16" t="inlineStr">
        <is>
          <t>惠州</t>
        </is>
      </c>
      <c r="F104" s="35" t="n">
        <v>1377.8</v>
      </c>
      <c r="G104" s="35" t="n">
        <v>1315.5</v>
      </c>
      <c r="H104" s="35" t="n">
        <v>62.3</v>
      </c>
      <c r="I104" s="35" t="n">
        <v>23.76</v>
      </c>
      <c r="J104" s="36" t="n">
        <v>32736.53</v>
      </c>
      <c r="K104" s="35" t="n">
        <v>6.1</v>
      </c>
      <c r="L104" s="35" t="n">
        <v>0</v>
      </c>
      <c r="M104" s="16" t="inlineStr">
        <is>
          <t>无</t>
        </is>
      </c>
    </row>
    <row r="105">
      <c r="A105" s="16" t="inlineStr">
        <is>
          <t>XS-2508-00101</t>
        </is>
      </c>
      <c r="B105" s="34" t="n">
        <v>45950</v>
      </c>
      <c r="C105" s="16" t="inlineStr">
        <is>
          <t>NY-KW-2508-015</t>
        </is>
      </c>
      <c r="D105" s="16" t="inlineStr">
        <is>
          <t>社区电商</t>
        </is>
      </c>
      <c r="E105" s="16" t="inlineStr">
        <is>
          <t>东莞</t>
        </is>
      </c>
      <c r="F105" s="35" t="n">
        <v>1219.3</v>
      </c>
      <c r="G105" s="35" t="n">
        <v>1155.6</v>
      </c>
      <c r="H105" s="35" t="n">
        <v>63.7</v>
      </c>
      <c r="I105" s="35" t="n">
        <v>19.14</v>
      </c>
      <c r="J105" s="36" t="n">
        <v>23337.4</v>
      </c>
      <c r="K105" s="35" t="n">
        <v>15.1</v>
      </c>
      <c r="L105" s="35" t="n">
        <v>0</v>
      </c>
      <c r="M105" s="16" t="inlineStr">
        <is>
          <t>无</t>
        </is>
      </c>
    </row>
    <row r="106">
      <c r="A106" s="16" t="inlineStr">
        <is>
          <t>XS-2508-00102</t>
        </is>
      </c>
      <c r="B106" s="34" t="n">
        <v>45951</v>
      </c>
      <c r="C106" s="16" t="inlineStr">
        <is>
          <t>NY-KW-2508-015</t>
        </is>
      </c>
      <c r="D106" s="16" t="inlineStr">
        <is>
          <t>社区电商</t>
        </is>
      </c>
      <c r="E106" s="16" t="inlineStr">
        <is>
          <t>南宁</t>
        </is>
      </c>
      <c r="F106" s="35" t="n">
        <v>1513.7</v>
      </c>
      <c r="G106" s="35" t="n">
        <v>1430.3</v>
      </c>
      <c r="H106" s="35" t="n">
        <v>83.40000000000001</v>
      </c>
      <c r="I106" s="35" t="n">
        <v>20.31</v>
      </c>
      <c r="J106" s="36" t="n">
        <v>30743.25</v>
      </c>
      <c r="K106" s="35" t="n">
        <v>14.9</v>
      </c>
      <c r="L106" s="35" t="n">
        <v>1</v>
      </c>
      <c r="M106" s="16" t="inlineStr">
        <is>
          <t>风味一般</t>
        </is>
      </c>
    </row>
    <row r="107">
      <c r="A107" s="16" t="inlineStr">
        <is>
          <t>XS-2508-00103</t>
        </is>
      </c>
      <c r="B107" s="34" t="n">
        <v>45952</v>
      </c>
      <c r="C107" s="16" t="inlineStr">
        <is>
          <t>NY-KW-2508-015</t>
        </is>
      </c>
      <c r="D107" s="16" t="inlineStr">
        <is>
          <t>社区电商</t>
        </is>
      </c>
      <c r="E107" s="16" t="inlineStr">
        <is>
          <t>南宁</t>
        </is>
      </c>
      <c r="F107" s="35" t="n">
        <v>1125.6</v>
      </c>
      <c r="G107" s="35" t="n">
        <v>956.9</v>
      </c>
      <c r="H107" s="35" t="n">
        <v>168.7</v>
      </c>
      <c r="I107" s="35" t="n">
        <v>22.96</v>
      </c>
      <c r="J107" s="36" t="n">
        <v>25843.78</v>
      </c>
      <c r="K107" s="35" t="n">
        <v>8.6</v>
      </c>
      <c r="L107" s="35" t="n">
        <v>0</v>
      </c>
      <c r="M107" s="16" t="inlineStr">
        <is>
          <t>无</t>
        </is>
      </c>
    </row>
    <row r="108">
      <c r="A108" s="16" t="inlineStr">
        <is>
          <t>XS-2508-00104</t>
        </is>
      </c>
      <c r="B108" s="34" t="n">
        <v>45953</v>
      </c>
      <c r="C108" s="16" t="inlineStr">
        <is>
          <t>NY-KW-2508-015</t>
        </is>
      </c>
      <c r="D108" s="16" t="inlineStr">
        <is>
          <t>社区电商</t>
        </is>
      </c>
      <c r="E108" s="16" t="inlineStr">
        <is>
          <t>广州</t>
        </is>
      </c>
      <c r="F108" s="35" t="n">
        <v>514.8</v>
      </c>
      <c r="G108" s="35" t="n">
        <v>405.8</v>
      </c>
      <c r="H108" s="35" t="n">
        <v>109</v>
      </c>
      <c r="I108" s="35" t="n">
        <v>22.98</v>
      </c>
      <c r="J108" s="36" t="n">
        <v>11830.1</v>
      </c>
      <c r="K108" s="35" t="n">
        <v>6.1</v>
      </c>
      <c r="L108" s="35" t="n">
        <v>0</v>
      </c>
      <c r="M108" s="16" t="inlineStr">
        <is>
          <t>无</t>
        </is>
      </c>
    </row>
    <row r="109">
      <c r="A109" s="16" t="inlineStr">
        <is>
          <t>XS-2508-00105</t>
        </is>
      </c>
      <c r="B109" s="34" t="n">
        <v>45954</v>
      </c>
      <c r="C109" s="16" t="inlineStr">
        <is>
          <t>NY-KW-2508-015</t>
        </is>
      </c>
      <c r="D109" s="16" t="inlineStr">
        <is>
          <t>连锁门店</t>
        </is>
      </c>
      <c r="E109" s="16" t="inlineStr">
        <is>
          <t>惠州</t>
        </is>
      </c>
      <c r="F109" s="35" t="n">
        <v>901.5</v>
      </c>
      <c r="G109" s="35" t="n">
        <v>619.8</v>
      </c>
      <c r="H109" s="35" t="n">
        <v>281.7</v>
      </c>
      <c r="I109" s="35" t="n">
        <v>18.35</v>
      </c>
      <c r="J109" s="36" t="n">
        <v>16542.53</v>
      </c>
      <c r="K109" s="35" t="n">
        <v>0</v>
      </c>
      <c r="L109" s="35" t="n">
        <v>0</v>
      </c>
      <c r="M109" s="16" t="inlineStr">
        <is>
          <t>无</t>
        </is>
      </c>
    </row>
    <row r="110">
      <c r="A110" s="16" t="inlineStr">
        <is>
          <t>XS-2508-00106</t>
        </is>
      </c>
      <c r="B110" s="34" t="n">
        <v>45955</v>
      </c>
      <c r="C110" s="16" t="inlineStr">
        <is>
          <t>NY-KW-2508-015</t>
        </is>
      </c>
      <c r="D110" s="16" t="inlineStr">
        <is>
          <t>企业团购</t>
        </is>
      </c>
      <c r="E110" s="16" t="inlineStr">
        <is>
          <t>南宁</t>
        </is>
      </c>
      <c r="F110" s="35" t="n">
        <v>465.6</v>
      </c>
      <c r="G110" s="35" t="n">
        <v>325</v>
      </c>
      <c r="H110" s="35" t="n">
        <v>140.6</v>
      </c>
      <c r="I110" s="35" t="n">
        <v>21.1</v>
      </c>
      <c r="J110" s="36" t="n">
        <v>9824.16</v>
      </c>
      <c r="K110" s="35" t="n">
        <v>8.300000000000001</v>
      </c>
      <c r="L110" s="35" t="n">
        <v>0</v>
      </c>
      <c r="M110" s="16" t="inlineStr">
        <is>
          <t>无</t>
        </is>
      </c>
    </row>
    <row r="111">
      <c r="A111" s="16" t="inlineStr">
        <is>
          <t>XS-2508-00107</t>
        </is>
      </c>
      <c r="B111" s="34" t="n">
        <v>45956</v>
      </c>
      <c r="C111" s="16" t="inlineStr">
        <is>
          <t>NY-KW-2508-015</t>
        </is>
      </c>
      <c r="D111" s="16" t="inlineStr">
        <is>
          <t>社区电商</t>
        </is>
      </c>
      <c r="E111" s="16" t="inlineStr">
        <is>
          <t>惠州</t>
        </is>
      </c>
      <c r="F111" s="35" t="n">
        <v>339.2</v>
      </c>
      <c r="G111" s="35" t="n">
        <v>195.7</v>
      </c>
      <c r="H111" s="35" t="n">
        <v>143.5</v>
      </c>
      <c r="I111" s="35" t="n">
        <v>18.69</v>
      </c>
      <c r="J111" s="36" t="n">
        <v>6339.65</v>
      </c>
      <c r="K111" s="35" t="n">
        <v>6</v>
      </c>
      <c r="L111" s="35" t="n">
        <v>3</v>
      </c>
      <c r="M111" s="16" t="inlineStr">
        <is>
          <t>外观</t>
        </is>
      </c>
    </row>
    <row r="112">
      <c r="A112" s="16" t="inlineStr">
        <is>
          <t>XS-2508-00108</t>
        </is>
      </c>
      <c r="B112" s="34" t="n">
        <v>45943</v>
      </c>
      <c r="C112" s="16" t="inlineStr">
        <is>
          <t>NY-KW-2508-016</t>
        </is>
      </c>
      <c r="D112" s="16" t="inlineStr">
        <is>
          <t>连锁门店</t>
        </is>
      </c>
      <c r="E112" s="16" t="inlineStr">
        <is>
          <t>南宁</t>
        </is>
      </c>
      <c r="F112" s="35" t="n">
        <v>1431.2</v>
      </c>
      <c r="G112" s="35" t="n">
        <v>1420.1</v>
      </c>
      <c r="H112" s="35" t="n">
        <v>11.1</v>
      </c>
      <c r="I112" s="35" t="n">
        <v>26.08</v>
      </c>
      <c r="J112" s="36" t="n">
        <v>37325.7</v>
      </c>
      <c r="K112" s="35" t="n">
        <v>11.3</v>
      </c>
      <c r="L112" s="35" t="n">
        <v>0</v>
      </c>
      <c r="M112" s="16" t="inlineStr">
        <is>
          <t>无</t>
        </is>
      </c>
    </row>
    <row r="113">
      <c r="A113" s="16" t="inlineStr">
        <is>
          <t>XS-2508-00109</t>
        </is>
      </c>
      <c r="B113" s="34" t="n">
        <v>45944</v>
      </c>
      <c r="C113" s="16" t="inlineStr">
        <is>
          <t>NY-KW-2508-016</t>
        </is>
      </c>
      <c r="D113" s="16" t="inlineStr">
        <is>
          <t>连锁门店</t>
        </is>
      </c>
      <c r="E113" s="16" t="inlineStr">
        <is>
          <t>南宁</t>
        </is>
      </c>
      <c r="F113" s="35" t="n">
        <v>1178.8</v>
      </c>
      <c r="G113" s="35" t="n">
        <v>939.2</v>
      </c>
      <c r="H113" s="35" t="n">
        <v>239.6</v>
      </c>
      <c r="I113" s="35" t="n">
        <v>26.82</v>
      </c>
      <c r="J113" s="36" t="n">
        <v>31615.42</v>
      </c>
      <c r="K113" s="35" t="n">
        <v>5.5</v>
      </c>
      <c r="L113" s="35" t="n">
        <v>0</v>
      </c>
      <c r="M113" s="16" t="inlineStr">
        <is>
          <t>无</t>
        </is>
      </c>
    </row>
    <row r="114">
      <c r="A114" s="16" t="inlineStr">
        <is>
          <t>XS-2508-00110</t>
        </is>
      </c>
      <c r="B114" s="34" t="n">
        <v>45945</v>
      </c>
      <c r="C114" s="16" t="inlineStr">
        <is>
          <t>NY-KW-2508-016</t>
        </is>
      </c>
      <c r="D114" s="16" t="inlineStr">
        <is>
          <t>批发客户</t>
        </is>
      </c>
      <c r="E114" s="16" t="inlineStr">
        <is>
          <t>南宁</t>
        </is>
      </c>
      <c r="F114" s="35" t="n">
        <v>1460.7</v>
      </c>
      <c r="G114" s="35" t="n">
        <v>1295.1</v>
      </c>
      <c r="H114" s="35" t="n">
        <v>165.6</v>
      </c>
      <c r="I114" s="35" t="n">
        <v>24.39</v>
      </c>
      <c r="J114" s="36" t="n">
        <v>35626.47</v>
      </c>
      <c r="K114" s="35" t="n">
        <v>24.7</v>
      </c>
      <c r="L114" s="35" t="n">
        <v>0</v>
      </c>
      <c r="M114" s="16" t="inlineStr">
        <is>
          <t>无</t>
        </is>
      </c>
    </row>
    <row r="115">
      <c r="A115" s="16" t="inlineStr">
        <is>
          <t>XS-2508-00111</t>
        </is>
      </c>
      <c r="B115" s="34" t="n">
        <v>45946</v>
      </c>
      <c r="C115" s="16" t="inlineStr">
        <is>
          <t>NY-KW-2508-016</t>
        </is>
      </c>
      <c r="D115" s="16" t="inlineStr">
        <is>
          <t>批发客户</t>
        </is>
      </c>
      <c r="E115" s="16" t="inlineStr">
        <is>
          <t>惠州</t>
        </is>
      </c>
      <c r="F115" s="35" t="n">
        <v>750.9</v>
      </c>
      <c r="G115" s="35" t="n">
        <v>563.9</v>
      </c>
      <c r="H115" s="35" t="n">
        <v>187</v>
      </c>
      <c r="I115" s="35" t="n">
        <v>22.08</v>
      </c>
      <c r="J115" s="36" t="n">
        <v>16579.87</v>
      </c>
      <c r="K115" s="35" t="n">
        <v>12.8</v>
      </c>
      <c r="L115" s="35" t="n">
        <v>0</v>
      </c>
      <c r="M115" s="16" t="inlineStr">
        <is>
          <t>无</t>
        </is>
      </c>
    </row>
    <row r="116">
      <c r="A116" s="16" t="inlineStr">
        <is>
          <t>XS-2508-00112</t>
        </is>
      </c>
      <c r="B116" s="34" t="n">
        <v>45947</v>
      </c>
      <c r="C116" s="16" t="inlineStr">
        <is>
          <t>NY-KW-2508-016</t>
        </is>
      </c>
      <c r="D116" s="16" t="inlineStr">
        <is>
          <t>社区电商</t>
        </is>
      </c>
      <c r="E116" s="16" t="inlineStr">
        <is>
          <t>佛山</t>
        </is>
      </c>
      <c r="F116" s="35" t="n">
        <v>1256.8</v>
      </c>
      <c r="G116" s="35" t="n">
        <v>1167.2</v>
      </c>
      <c r="H116" s="35" t="n">
        <v>89.59999999999999</v>
      </c>
      <c r="I116" s="35" t="n">
        <v>30.9</v>
      </c>
      <c r="J116" s="36" t="n">
        <v>38835.12</v>
      </c>
      <c r="K116" s="35" t="n">
        <v>12.7</v>
      </c>
      <c r="L116" s="35" t="n">
        <v>0</v>
      </c>
      <c r="M116" s="16" t="inlineStr">
        <is>
          <t>无</t>
        </is>
      </c>
    </row>
    <row r="117">
      <c r="A117" s="16" t="inlineStr">
        <is>
          <t>XS-2508-00113</t>
        </is>
      </c>
      <c r="B117" s="34" t="n">
        <v>45948</v>
      </c>
      <c r="C117" s="16" t="inlineStr">
        <is>
          <t>NY-KW-2508-016</t>
        </is>
      </c>
      <c r="D117" s="16" t="inlineStr">
        <is>
          <t>企业团购</t>
        </is>
      </c>
      <c r="E117" s="16" t="inlineStr">
        <is>
          <t>南宁</t>
        </is>
      </c>
      <c r="F117" s="35" t="n">
        <v>1415.6</v>
      </c>
      <c r="G117" s="35" t="n">
        <v>997.6</v>
      </c>
      <c r="H117" s="35" t="n">
        <v>418</v>
      </c>
      <c r="I117" s="35" t="n">
        <v>24.45</v>
      </c>
      <c r="J117" s="36" t="n">
        <v>34611.42</v>
      </c>
      <c r="K117" s="35" t="n">
        <v>19.1</v>
      </c>
      <c r="L117" s="35" t="n">
        <v>1</v>
      </c>
      <c r="M117" s="16" t="inlineStr">
        <is>
          <t>风味一般</t>
        </is>
      </c>
    </row>
    <row r="118">
      <c r="A118" s="16" t="inlineStr">
        <is>
          <t>XS-2508-00114</t>
        </is>
      </c>
      <c r="B118" s="34" t="n">
        <v>45931</v>
      </c>
      <c r="C118" s="16" t="inlineStr">
        <is>
          <t>NY-KW-2508-017</t>
        </is>
      </c>
      <c r="D118" s="16" t="inlineStr">
        <is>
          <t>社区电商</t>
        </is>
      </c>
      <c r="E118" s="16" t="inlineStr">
        <is>
          <t>惠州</t>
        </is>
      </c>
      <c r="F118" s="35" t="n">
        <v>1441.9</v>
      </c>
      <c r="G118" s="35" t="n">
        <v>1441.9</v>
      </c>
      <c r="H118" s="35" t="n">
        <v>0</v>
      </c>
      <c r="I118" s="35" t="n">
        <v>22.67</v>
      </c>
      <c r="J118" s="36" t="n">
        <v>32687.87</v>
      </c>
      <c r="K118" s="35" t="n">
        <v>7</v>
      </c>
      <c r="L118" s="35" t="n">
        <v>0</v>
      </c>
      <c r="M118" s="16" t="inlineStr">
        <is>
          <t>无</t>
        </is>
      </c>
    </row>
    <row r="119">
      <c r="A119" s="16" t="inlineStr">
        <is>
          <t>XS-2508-00115</t>
        </is>
      </c>
      <c r="B119" s="34" t="n">
        <v>45932</v>
      </c>
      <c r="C119" s="16" t="inlineStr">
        <is>
          <t>NY-KW-2508-017</t>
        </is>
      </c>
      <c r="D119" s="16" t="inlineStr">
        <is>
          <t>连锁门店</t>
        </is>
      </c>
      <c r="E119" s="16" t="inlineStr">
        <is>
          <t>南宁</t>
        </is>
      </c>
      <c r="F119" s="35" t="n">
        <v>685.9</v>
      </c>
      <c r="G119" s="35" t="n">
        <v>514.6</v>
      </c>
      <c r="H119" s="35" t="n">
        <v>171.3</v>
      </c>
      <c r="I119" s="35" t="n">
        <v>23.37</v>
      </c>
      <c r="J119" s="36" t="n">
        <v>16029.48</v>
      </c>
      <c r="K119" s="35" t="n">
        <v>6.9</v>
      </c>
      <c r="L119" s="35" t="n">
        <v>0</v>
      </c>
      <c r="M119" s="16" t="inlineStr">
        <is>
          <t>无</t>
        </is>
      </c>
    </row>
    <row r="120">
      <c r="A120" s="16" t="inlineStr">
        <is>
          <t>XS-2508-00116</t>
        </is>
      </c>
      <c r="B120" s="34" t="n">
        <v>45933</v>
      </c>
      <c r="C120" s="16" t="inlineStr">
        <is>
          <t>NY-KW-2508-017</t>
        </is>
      </c>
      <c r="D120" s="16" t="inlineStr">
        <is>
          <t>连锁门店</t>
        </is>
      </c>
      <c r="E120" s="16" t="inlineStr">
        <is>
          <t>惠州</t>
        </is>
      </c>
      <c r="F120" s="35" t="n">
        <v>406.5</v>
      </c>
      <c r="G120" s="35" t="n">
        <v>345.6</v>
      </c>
      <c r="H120" s="35" t="n">
        <v>60.9</v>
      </c>
      <c r="I120" s="35" t="n">
        <v>23</v>
      </c>
      <c r="J120" s="36" t="n">
        <v>9349.5</v>
      </c>
      <c r="K120" s="35" t="n">
        <v>3.8</v>
      </c>
      <c r="L120" s="35" t="n">
        <v>0</v>
      </c>
      <c r="M120" s="16" t="inlineStr">
        <is>
          <t>无</t>
        </is>
      </c>
    </row>
    <row r="121">
      <c r="A121" s="16" t="inlineStr">
        <is>
          <t>XS-2508-00117</t>
        </is>
      </c>
      <c r="B121" s="34" t="n">
        <v>45934</v>
      </c>
      <c r="C121" s="16" t="inlineStr">
        <is>
          <t>NY-KW-2508-017</t>
        </is>
      </c>
      <c r="D121" s="16" t="inlineStr">
        <is>
          <t>连锁门店</t>
        </is>
      </c>
      <c r="E121" s="16" t="inlineStr">
        <is>
          <t>惠州</t>
        </is>
      </c>
      <c r="F121" s="35" t="n">
        <v>315.2</v>
      </c>
      <c r="G121" s="35" t="n">
        <v>249.2</v>
      </c>
      <c r="H121" s="35" t="n">
        <v>66</v>
      </c>
      <c r="I121" s="35" t="n">
        <v>21.61</v>
      </c>
      <c r="J121" s="36" t="n">
        <v>6811.47</v>
      </c>
      <c r="K121" s="35" t="n">
        <v>1.5</v>
      </c>
      <c r="L121" s="35" t="n">
        <v>1</v>
      </c>
      <c r="M121" s="16" t="inlineStr">
        <is>
          <t>偏软</t>
        </is>
      </c>
    </row>
    <row r="122">
      <c r="A122" s="16" t="inlineStr">
        <is>
          <t>XS-2508-00118</t>
        </is>
      </c>
      <c r="B122" s="34" t="n">
        <v>45935</v>
      </c>
      <c r="C122" s="16" t="inlineStr">
        <is>
          <t>NY-KW-2508-017</t>
        </is>
      </c>
      <c r="D122" s="16" t="inlineStr">
        <is>
          <t>社区电商</t>
        </is>
      </c>
      <c r="E122" s="16" t="inlineStr">
        <is>
          <t>深圳</t>
        </is>
      </c>
      <c r="F122" s="35" t="n">
        <v>647.8</v>
      </c>
      <c r="G122" s="35" t="n">
        <v>438.7</v>
      </c>
      <c r="H122" s="35" t="n">
        <v>209.1</v>
      </c>
      <c r="I122" s="35" t="n">
        <v>23.82</v>
      </c>
      <c r="J122" s="36" t="n">
        <v>15430.6</v>
      </c>
      <c r="K122" s="35" t="n">
        <v>3</v>
      </c>
      <c r="L122" s="35" t="n">
        <v>0</v>
      </c>
      <c r="M122" s="16" t="inlineStr">
        <is>
          <t>无</t>
        </is>
      </c>
    </row>
    <row r="123">
      <c r="A123" s="16" t="inlineStr">
        <is>
          <t>XS-2508-00119</t>
        </is>
      </c>
      <c r="B123" s="34" t="n">
        <v>45936</v>
      </c>
      <c r="C123" s="16" t="inlineStr">
        <is>
          <t>NY-KW-2508-017</t>
        </is>
      </c>
      <c r="D123" s="16" t="inlineStr">
        <is>
          <t>连锁门店</t>
        </is>
      </c>
      <c r="E123" s="16" t="inlineStr">
        <is>
          <t>深圳</t>
        </is>
      </c>
      <c r="F123" s="35" t="n">
        <v>997.9</v>
      </c>
      <c r="G123" s="35" t="n">
        <v>749.3</v>
      </c>
      <c r="H123" s="35" t="n">
        <v>248.6</v>
      </c>
      <c r="I123" s="35" t="n">
        <v>21.2</v>
      </c>
      <c r="J123" s="36" t="n">
        <v>21155.48</v>
      </c>
      <c r="K123" s="35" t="n">
        <v>12.8</v>
      </c>
      <c r="L123" s="35" t="n">
        <v>0</v>
      </c>
      <c r="M123" s="16" t="inlineStr">
        <is>
          <t>无</t>
        </is>
      </c>
    </row>
    <row r="124">
      <c r="A124" s="16" t="inlineStr">
        <is>
          <t>XS-2508-00120</t>
        </is>
      </c>
      <c r="B124" s="34" t="n">
        <v>45937</v>
      </c>
      <c r="C124" s="16" t="inlineStr">
        <is>
          <t>NY-KW-2508-017</t>
        </is>
      </c>
      <c r="D124" s="16" t="inlineStr">
        <is>
          <t>社区电商</t>
        </is>
      </c>
      <c r="E124" s="16" t="inlineStr">
        <is>
          <t>南宁</t>
        </is>
      </c>
      <c r="F124" s="35" t="n">
        <v>282.7</v>
      </c>
      <c r="G124" s="35" t="n">
        <v>211.2</v>
      </c>
      <c r="H124" s="35" t="n">
        <v>71.5</v>
      </c>
      <c r="I124" s="35" t="n">
        <v>25</v>
      </c>
      <c r="J124" s="36" t="n">
        <v>7067.5</v>
      </c>
      <c r="K124" s="35" t="n">
        <v>4.6</v>
      </c>
      <c r="L124" s="35" t="n">
        <v>0</v>
      </c>
      <c r="M124" s="16" t="inlineStr">
        <is>
          <t>无</t>
        </is>
      </c>
    </row>
    <row r="125">
      <c r="A125" s="16" t="inlineStr">
        <is>
          <t>XS-2508-00121</t>
        </is>
      </c>
      <c r="B125" s="34" t="n">
        <v>45938</v>
      </c>
      <c r="C125" s="16" t="inlineStr">
        <is>
          <t>NY-KW-2508-017</t>
        </is>
      </c>
      <c r="D125" s="16" t="inlineStr">
        <is>
          <t>批发客户</t>
        </is>
      </c>
      <c r="E125" s="16" t="inlineStr">
        <is>
          <t>惠州</t>
        </is>
      </c>
      <c r="F125" s="35" t="n">
        <v>340.9</v>
      </c>
      <c r="G125" s="35" t="n">
        <v>186.4</v>
      </c>
      <c r="H125" s="35" t="n">
        <v>154.5</v>
      </c>
      <c r="I125" s="35" t="n">
        <v>18.29</v>
      </c>
      <c r="J125" s="36" t="n">
        <v>6235.06</v>
      </c>
      <c r="K125" s="35" t="n">
        <v>3.4</v>
      </c>
      <c r="L125" s="35" t="n">
        <v>0</v>
      </c>
      <c r="M125" s="16" t="inlineStr">
        <is>
          <t>无</t>
        </is>
      </c>
    </row>
    <row r="126">
      <c r="A126" s="16" t="inlineStr">
        <is>
          <t>XS-2508-00122</t>
        </is>
      </c>
      <c r="B126" s="34" t="n">
        <v>45939</v>
      </c>
      <c r="C126" s="16" t="inlineStr">
        <is>
          <t>NY-KW-2508-017</t>
        </is>
      </c>
      <c r="D126" s="16" t="inlineStr">
        <is>
          <t>批发客户</t>
        </is>
      </c>
      <c r="E126" s="16" t="inlineStr">
        <is>
          <t>南宁</t>
        </is>
      </c>
      <c r="F126" s="35" t="n">
        <v>443.1</v>
      </c>
      <c r="G126" s="35" t="n">
        <v>310.8</v>
      </c>
      <c r="H126" s="35" t="n">
        <v>132.3</v>
      </c>
      <c r="I126" s="35" t="n">
        <v>20.16</v>
      </c>
      <c r="J126" s="36" t="n">
        <v>8932.9</v>
      </c>
      <c r="K126" s="35" t="n">
        <v>4.4</v>
      </c>
      <c r="L126" s="35" t="n">
        <v>0</v>
      </c>
      <c r="M126" s="16" t="inlineStr">
        <is>
          <t>无</t>
        </is>
      </c>
    </row>
    <row r="127">
      <c r="A127" s="16" t="inlineStr">
        <is>
          <t>XS-2508-00123</t>
        </is>
      </c>
      <c r="B127" s="34" t="n">
        <v>45940</v>
      </c>
      <c r="C127" s="16" t="inlineStr">
        <is>
          <t>NY-KW-2508-018</t>
        </is>
      </c>
      <c r="D127" s="16" t="inlineStr">
        <is>
          <t>批发客户</t>
        </is>
      </c>
      <c r="E127" s="16" t="inlineStr">
        <is>
          <t>佛山</t>
        </is>
      </c>
      <c r="F127" s="35" t="n">
        <v>1042.7</v>
      </c>
      <c r="G127" s="35" t="n">
        <v>1042.7</v>
      </c>
      <c r="H127" s="35" t="n">
        <v>0</v>
      </c>
      <c r="I127" s="35" t="n">
        <v>24</v>
      </c>
      <c r="J127" s="36" t="n">
        <v>25024.8</v>
      </c>
      <c r="K127" s="35" t="n">
        <v>8</v>
      </c>
      <c r="L127" s="35" t="n">
        <v>0</v>
      </c>
      <c r="M127" s="16" t="inlineStr">
        <is>
          <t>无</t>
        </is>
      </c>
    </row>
    <row r="128">
      <c r="A128" s="16" t="inlineStr">
        <is>
          <t>XS-2508-00124</t>
        </is>
      </c>
      <c r="B128" s="34" t="n">
        <v>45941</v>
      </c>
      <c r="C128" s="16" t="inlineStr">
        <is>
          <t>NY-KW-2508-018</t>
        </is>
      </c>
      <c r="D128" s="16" t="inlineStr">
        <is>
          <t>企业团购</t>
        </is>
      </c>
      <c r="E128" s="16" t="inlineStr">
        <is>
          <t>东莞</t>
        </is>
      </c>
      <c r="F128" s="35" t="n">
        <v>1069.3</v>
      </c>
      <c r="G128" s="35" t="n">
        <v>979.6</v>
      </c>
      <c r="H128" s="35" t="n">
        <v>89.7</v>
      </c>
      <c r="I128" s="35" t="n">
        <v>22.06</v>
      </c>
      <c r="J128" s="36" t="n">
        <v>23588.76</v>
      </c>
      <c r="K128" s="35" t="n">
        <v>19.2</v>
      </c>
      <c r="L128" s="35" t="n">
        <v>1</v>
      </c>
      <c r="M128" s="16" t="inlineStr">
        <is>
          <t>外观</t>
        </is>
      </c>
    </row>
    <row r="129">
      <c r="A129" s="16" t="inlineStr">
        <is>
          <t>XS-2508-00125</t>
        </is>
      </c>
      <c r="B129" s="34" t="n">
        <v>45942</v>
      </c>
      <c r="C129" s="16" t="inlineStr">
        <is>
          <t>NY-KW-2508-018</t>
        </is>
      </c>
      <c r="D129" s="16" t="inlineStr">
        <is>
          <t>社区电商</t>
        </is>
      </c>
      <c r="E129" s="16" t="inlineStr">
        <is>
          <t>惠州</t>
        </is>
      </c>
      <c r="F129" s="35" t="n">
        <v>309.1</v>
      </c>
      <c r="G129" s="35" t="n">
        <v>256.3</v>
      </c>
      <c r="H129" s="35" t="n">
        <v>52.8</v>
      </c>
      <c r="I129" s="35" t="n">
        <v>24.16</v>
      </c>
      <c r="J129" s="36" t="n">
        <v>7467.86</v>
      </c>
      <c r="K129" s="35" t="n">
        <v>0.5</v>
      </c>
      <c r="L129" s="35" t="n">
        <v>2</v>
      </c>
      <c r="M129" s="16" t="inlineStr">
        <is>
          <t>偏软</t>
        </is>
      </c>
    </row>
    <row r="130">
      <c r="A130" s="16" t="inlineStr">
        <is>
          <t>XS-2508-00126</t>
        </is>
      </c>
      <c r="B130" s="34" t="n">
        <v>45943</v>
      </c>
      <c r="C130" s="16" t="inlineStr">
        <is>
          <t>NY-KW-2508-018</t>
        </is>
      </c>
      <c r="D130" s="16" t="inlineStr">
        <is>
          <t>社区电商</t>
        </is>
      </c>
      <c r="E130" s="16" t="inlineStr">
        <is>
          <t>南宁</t>
        </is>
      </c>
      <c r="F130" s="35" t="n">
        <v>210.3</v>
      </c>
      <c r="G130" s="35" t="n">
        <v>156.4</v>
      </c>
      <c r="H130" s="35" t="n">
        <v>53.9</v>
      </c>
      <c r="I130" s="35" t="n">
        <v>22.49</v>
      </c>
      <c r="J130" s="36" t="n">
        <v>4729.65</v>
      </c>
      <c r="K130" s="35" t="n">
        <v>2.1</v>
      </c>
      <c r="L130" s="35" t="n">
        <v>0</v>
      </c>
      <c r="M130" s="16" t="inlineStr">
        <is>
          <t>无</t>
        </is>
      </c>
    </row>
    <row r="131">
      <c r="A131" s="16" t="inlineStr">
        <is>
          <t>XS-2508-00127</t>
        </is>
      </c>
      <c r="B131" s="34" t="n">
        <v>45944</v>
      </c>
      <c r="C131" s="16" t="inlineStr">
        <is>
          <t>NY-KW-2508-018</t>
        </is>
      </c>
      <c r="D131" s="16" t="inlineStr">
        <is>
          <t>批发客户</t>
        </is>
      </c>
      <c r="E131" s="16" t="inlineStr">
        <is>
          <t>佛山</t>
        </is>
      </c>
      <c r="F131" s="35" t="n">
        <v>510.1</v>
      </c>
      <c r="G131" s="35" t="n">
        <v>372.7</v>
      </c>
      <c r="H131" s="35" t="n">
        <v>137.4</v>
      </c>
      <c r="I131" s="35" t="n">
        <v>20.86</v>
      </c>
      <c r="J131" s="36" t="n">
        <v>10640.69</v>
      </c>
      <c r="K131" s="35" t="n">
        <v>5.1</v>
      </c>
      <c r="L131" s="35" t="n">
        <v>0</v>
      </c>
      <c r="M131" s="16" t="inlineStr">
        <is>
          <t>无</t>
        </is>
      </c>
    </row>
    <row r="132">
      <c r="A132" s="16" t="inlineStr">
        <is>
          <t>XS-2508-00128</t>
        </is>
      </c>
      <c r="B132" s="34" t="n">
        <v>45945</v>
      </c>
      <c r="C132" s="16" t="inlineStr">
        <is>
          <t>NY-KW-2508-018</t>
        </is>
      </c>
      <c r="D132" s="16" t="inlineStr">
        <is>
          <t>企业团购</t>
        </is>
      </c>
      <c r="E132" s="16" t="inlineStr">
        <is>
          <t>广州</t>
        </is>
      </c>
      <c r="F132" s="35" t="n">
        <v>538.1</v>
      </c>
      <c r="G132" s="35" t="n">
        <v>449.6</v>
      </c>
      <c r="H132" s="35" t="n">
        <v>88.5</v>
      </c>
      <c r="I132" s="35" t="n">
        <v>23.51</v>
      </c>
      <c r="J132" s="36" t="n">
        <v>12650.73</v>
      </c>
      <c r="K132" s="35" t="n">
        <v>4.1</v>
      </c>
      <c r="L132" s="35" t="n">
        <v>0</v>
      </c>
      <c r="M132" s="16" t="inlineStr">
        <is>
          <t>无</t>
        </is>
      </c>
    </row>
    <row r="133">
      <c r="A133" s="16" t="inlineStr">
        <is>
          <t>XS-2508-00129</t>
        </is>
      </c>
      <c r="B133" s="34" t="n">
        <v>45946</v>
      </c>
      <c r="C133" s="16" t="inlineStr">
        <is>
          <t>NY-KW-2508-018</t>
        </is>
      </c>
      <c r="D133" s="16" t="inlineStr">
        <is>
          <t>批发客户</t>
        </is>
      </c>
      <c r="E133" s="16" t="inlineStr">
        <is>
          <t>深圳</t>
        </is>
      </c>
      <c r="F133" s="35" t="n">
        <v>1569.3</v>
      </c>
      <c r="G133" s="35" t="n">
        <v>1215.6</v>
      </c>
      <c r="H133" s="35" t="n">
        <v>353.7</v>
      </c>
      <c r="I133" s="35" t="n">
        <v>24.37</v>
      </c>
      <c r="J133" s="36" t="n">
        <v>38243.84</v>
      </c>
      <c r="K133" s="35" t="n">
        <v>13.4</v>
      </c>
      <c r="L133" s="35" t="n">
        <v>0</v>
      </c>
      <c r="M133" s="16" t="inlineStr">
        <is>
          <t>无</t>
        </is>
      </c>
    </row>
    <row r="134">
      <c r="A134" s="16" t="inlineStr">
        <is>
          <t>XS-2508-00130</t>
        </is>
      </c>
      <c r="B134" s="34" t="n">
        <v>45921</v>
      </c>
      <c r="C134" s="16" t="inlineStr">
        <is>
          <t>NY-KW-2508-019</t>
        </is>
      </c>
      <c r="D134" s="16" t="inlineStr">
        <is>
          <t>社区电商</t>
        </is>
      </c>
      <c r="E134" s="16" t="inlineStr">
        <is>
          <t>广州</t>
        </is>
      </c>
      <c r="F134" s="35" t="n">
        <v>1297.7</v>
      </c>
      <c r="G134" s="35" t="n">
        <v>1182.7</v>
      </c>
      <c r="H134" s="35" t="n">
        <v>115</v>
      </c>
      <c r="I134" s="35" t="n">
        <v>32.67</v>
      </c>
      <c r="J134" s="36" t="n">
        <v>42395.86</v>
      </c>
      <c r="K134" s="35" t="n">
        <v>9.9</v>
      </c>
      <c r="L134" s="35" t="n">
        <v>0</v>
      </c>
      <c r="M134" s="16" t="inlineStr">
        <is>
          <t>无</t>
        </is>
      </c>
    </row>
    <row r="135">
      <c r="A135" s="16" t="inlineStr">
        <is>
          <t>XS-2508-00131</t>
        </is>
      </c>
      <c r="B135" s="34" t="n">
        <v>45922</v>
      </c>
      <c r="C135" s="16" t="inlineStr">
        <is>
          <t>NY-KW-2508-019</t>
        </is>
      </c>
      <c r="D135" s="16" t="inlineStr">
        <is>
          <t>企业团购</t>
        </is>
      </c>
      <c r="E135" s="16" t="inlineStr">
        <is>
          <t>惠州</t>
        </is>
      </c>
      <c r="F135" s="35" t="n">
        <v>283</v>
      </c>
      <c r="G135" s="35" t="n">
        <v>283</v>
      </c>
      <c r="H135" s="35" t="n">
        <v>0</v>
      </c>
      <c r="I135" s="35" t="n">
        <v>36.86</v>
      </c>
      <c r="J135" s="36" t="n">
        <v>10431.38</v>
      </c>
      <c r="K135" s="35" t="n">
        <v>3</v>
      </c>
      <c r="L135" s="35" t="n">
        <v>0</v>
      </c>
      <c r="M135" s="16" t="inlineStr">
        <is>
          <t>无</t>
        </is>
      </c>
    </row>
    <row r="136">
      <c r="A136" s="16" t="inlineStr">
        <is>
          <t>XS-2508-00132</t>
        </is>
      </c>
      <c r="B136" s="34" t="n">
        <v>45923</v>
      </c>
      <c r="C136" s="16" t="inlineStr">
        <is>
          <t>NY-KW-2508-019</t>
        </is>
      </c>
      <c r="D136" s="16" t="inlineStr">
        <is>
          <t>连锁门店</t>
        </is>
      </c>
      <c r="E136" s="16" t="inlineStr">
        <is>
          <t>广州</t>
        </is>
      </c>
      <c r="F136" s="35" t="n">
        <v>278.6</v>
      </c>
      <c r="G136" s="35" t="n">
        <v>184.4</v>
      </c>
      <c r="H136" s="35" t="n">
        <v>94.2</v>
      </c>
      <c r="I136" s="35" t="n">
        <v>33.76</v>
      </c>
      <c r="J136" s="36" t="n">
        <v>9405.540000000001</v>
      </c>
      <c r="K136" s="35" t="n">
        <v>4.4</v>
      </c>
      <c r="L136" s="35" t="n">
        <v>0</v>
      </c>
      <c r="M136" s="16" t="inlineStr">
        <is>
          <t>无</t>
        </is>
      </c>
    </row>
    <row r="137">
      <c r="A137" s="16" t="inlineStr">
        <is>
          <t>XS-2508-00133</t>
        </is>
      </c>
      <c r="B137" s="34" t="n">
        <v>45924</v>
      </c>
      <c r="C137" s="16" t="inlineStr">
        <is>
          <t>NY-KW-2508-019</t>
        </is>
      </c>
      <c r="D137" s="16" t="inlineStr">
        <is>
          <t>企业团购</t>
        </is>
      </c>
      <c r="E137" s="16" t="inlineStr">
        <is>
          <t>广州</t>
        </is>
      </c>
      <c r="F137" s="35" t="n">
        <v>1134.9</v>
      </c>
      <c r="G137" s="35" t="n">
        <v>985.1</v>
      </c>
      <c r="H137" s="35" t="n">
        <v>149.8</v>
      </c>
      <c r="I137" s="35" t="n">
        <v>32.14</v>
      </c>
      <c r="J137" s="36" t="n">
        <v>36475.69</v>
      </c>
      <c r="K137" s="35" t="n">
        <v>13.3</v>
      </c>
      <c r="L137" s="35" t="n">
        <v>0</v>
      </c>
      <c r="M137" s="16" t="inlineStr">
        <is>
          <t>无</t>
        </is>
      </c>
    </row>
    <row r="138">
      <c r="A138" s="16" t="inlineStr">
        <is>
          <t>XS-2508-00134</t>
        </is>
      </c>
      <c r="B138" s="34" t="n">
        <v>45925</v>
      </c>
      <c r="C138" s="16" t="inlineStr">
        <is>
          <t>NY-KW-2508-019</t>
        </is>
      </c>
      <c r="D138" s="16" t="inlineStr">
        <is>
          <t>社区电商</t>
        </is>
      </c>
      <c r="E138" s="16" t="inlineStr">
        <is>
          <t>佛山</t>
        </is>
      </c>
      <c r="F138" s="35" t="n">
        <v>1046.9</v>
      </c>
      <c r="G138" s="35" t="n">
        <v>965.1</v>
      </c>
      <c r="H138" s="35" t="n">
        <v>81.8</v>
      </c>
      <c r="I138" s="35" t="n">
        <v>35.14</v>
      </c>
      <c r="J138" s="36" t="n">
        <v>36788.07</v>
      </c>
      <c r="K138" s="35" t="n">
        <v>16.5</v>
      </c>
      <c r="L138" s="35" t="n">
        <v>0</v>
      </c>
      <c r="M138" s="16" t="inlineStr">
        <is>
          <t>无</t>
        </is>
      </c>
    </row>
    <row r="139">
      <c r="A139" s="16" t="inlineStr">
        <is>
          <t>XS-2508-00135</t>
        </is>
      </c>
      <c r="B139" s="34" t="n">
        <v>45926</v>
      </c>
      <c r="C139" s="16" t="inlineStr">
        <is>
          <t>NY-KW-2508-019</t>
        </is>
      </c>
      <c r="D139" s="16" t="inlineStr">
        <is>
          <t>批发客户</t>
        </is>
      </c>
      <c r="E139" s="16" t="inlineStr">
        <is>
          <t>东莞</t>
        </is>
      </c>
      <c r="F139" s="35" t="n">
        <v>831.8</v>
      </c>
      <c r="G139" s="35" t="n">
        <v>672.4</v>
      </c>
      <c r="H139" s="35" t="n">
        <v>159.4</v>
      </c>
      <c r="I139" s="35" t="n">
        <v>33.29</v>
      </c>
      <c r="J139" s="36" t="n">
        <v>27690.62</v>
      </c>
      <c r="K139" s="35" t="n">
        <v>1.7</v>
      </c>
      <c r="L139" s="35" t="n">
        <v>0</v>
      </c>
      <c r="M139" s="16" t="inlineStr">
        <is>
          <t>无</t>
        </is>
      </c>
    </row>
    <row r="140">
      <c r="A140" s="16" t="inlineStr">
        <is>
          <t>XS-2508-00136</t>
        </is>
      </c>
      <c r="B140" s="34" t="n">
        <v>45927</v>
      </c>
      <c r="C140" s="16" t="inlineStr">
        <is>
          <t>NY-KW-2508-019</t>
        </is>
      </c>
      <c r="D140" s="16" t="inlineStr">
        <is>
          <t>社区电商</t>
        </is>
      </c>
      <c r="E140" s="16" t="inlineStr">
        <is>
          <t>南宁</t>
        </is>
      </c>
      <c r="F140" s="35" t="n">
        <v>757.3</v>
      </c>
      <c r="G140" s="35" t="n">
        <v>558.8</v>
      </c>
      <c r="H140" s="35" t="n">
        <v>198.5</v>
      </c>
      <c r="I140" s="35" t="n">
        <v>26.18</v>
      </c>
      <c r="J140" s="36" t="n">
        <v>19826.11</v>
      </c>
      <c r="K140" s="35" t="n">
        <v>2.1</v>
      </c>
      <c r="L140" s="35" t="n">
        <v>1</v>
      </c>
      <c r="M140" s="16" t="inlineStr">
        <is>
          <t>偏硬</t>
        </is>
      </c>
    </row>
    <row r="141">
      <c r="A141" s="16" t="inlineStr">
        <is>
          <t>XS-2508-00137</t>
        </is>
      </c>
      <c r="B141" s="34" t="n">
        <v>45919</v>
      </c>
      <c r="C141" s="16" t="inlineStr">
        <is>
          <t>NY-KW-2508-020</t>
        </is>
      </c>
      <c r="D141" s="16" t="inlineStr">
        <is>
          <t>社区电商</t>
        </is>
      </c>
      <c r="E141" s="16" t="inlineStr">
        <is>
          <t>南宁</t>
        </is>
      </c>
      <c r="F141" s="35" t="n">
        <v>247.2</v>
      </c>
      <c r="G141" s="35" t="n">
        <v>247.2</v>
      </c>
      <c r="H141" s="35" t="n">
        <v>0</v>
      </c>
      <c r="I141" s="35" t="n">
        <v>27.65</v>
      </c>
      <c r="J141" s="36" t="n">
        <v>6835.08</v>
      </c>
      <c r="K141" s="35" t="n">
        <v>3.5</v>
      </c>
      <c r="L141" s="35" t="n">
        <v>1</v>
      </c>
      <c r="M141" s="16" t="inlineStr">
        <is>
          <t>外观</t>
        </is>
      </c>
    </row>
    <row r="142">
      <c r="A142" s="16" t="inlineStr">
        <is>
          <t>XS-2508-00138</t>
        </is>
      </c>
      <c r="B142" s="34" t="n">
        <v>45920</v>
      </c>
      <c r="C142" s="16" t="inlineStr">
        <is>
          <t>NY-KW-2508-020</t>
        </is>
      </c>
      <c r="D142" s="16" t="inlineStr">
        <is>
          <t>连锁门店</t>
        </is>
      </c>
      <c r="E142" s="16" t="inlineStr">
        <is>
          <t>深圳</t>
        </is>
      </c>
      <c r="F142" s="35" t="n">
        <v>1113.6</v>
      </c>
      <c r="G142" s="35" t="n">
        <v>977.5</v>
      </c>
      <c r="H142" s="35" t="n">
        <v>136.1</v>
      </c>
      <c r="I142" s="35" t="n">
        <v>22.94</v>
      </c>
      <c r="J142" s="36" t="n">
        <v>25545.98</v>
      </c>
      <c r="K142" s="35" t="n">
        <v>17.5</v>
      </c>
      <c r="L142" s="35" t="n">
        <v>0</v>
      </c>
      <c r="M142" s="16" t="inlineStr">
        <is>
          <t>无</t>
        </is>
      </c>
    </row>
    <row r="143">
      <c r="A143" s="16" t="inlineStr">
        <is>
          <t>XS-2508-00139</t>
        </is>
      </c>
      <c r="B143" s="34" t="n">
        <v>45921</v>
      </c>
      <c r="C143" s="16" t="inlineStr">
        <is>
          <t>NY-KW-2508-020</t>
        </is>
      </c>
      <c r="D143" s="16" t="inlineStr">
        <is>
          <t>企业团购</t>
        </is>
      </c>
      <c r="E143" s="16" t="inlineStr">
        <is>
          <t>广州</t>
        </is>
      </c>
      <c r="F143" s="35" t="n">
        <v>1112</v>
      </c>
      <c r="G143" s="35" t="n">
        <v>1011.4</v>
      </c>
      <c r="H143" s="35" t="n">
        <v>100.6</v>
      </c>
      <c r="I143" s="35" t="n">
        <v>19.69</v>
      </c>
      <c r="J143" s="36" t="n">
        <v>21895.28</v>
      </c>
      <c r="K143" s="35" t="n">
        <v>19.1</v>
      </c>
      <c r="L143" s="35" t="n">
        <v>1</v>
      </c>
      <c r="M143" s="16" t="inlineStr">
        <is>
          <t>外观</t>
        </is>
      </c>
    </row>
    <row r="144">
      <c r="A144" s="16" t="inlineStr">
        <is>
          <t>XS-2508-00140</t>
        </is>
      </c>
      <c r="B144" s="34" t="n">
        <v>45922</v>
      </c>
      <c r="C144" s="16" t="inlineStr">
        <is>
          <t>NY-KW-2508-020</t>
        </is>
      </c>
      <c r="D144" s="16" t="inlineStr">
        <is>
          <t>连锁门店</t>
        </is>
      </c>
      <c r="E144" s="16" t="inlineStr">
        <is>
          <t>深圳</t>
        </is>
      </c>
      <c r="F144" s="35" t="n">
        <v>1003.4</v>
      </c>
      <c r="G144" s="35" t="n">
        <v>829.5</v>
      </c>
      <c r="H144" s="35" t="n">
        <v>173.9</v>
      </c>
      <c r="I144" s="35" t="n">
        <v>26.78</v>
      </c>
      <c r="J144" s="36" t="n">
        <v>26871.05</v>
      </c>
      <c r="K144" s="35" t="n">
        <v>2.5</v>
      </c>
      <c r="L144" s="35" t="n">
        <v>3</v>
      </c>
      <c r="M144" s="16" t="inlineStr">
        <is>
          <t>偏硬</t>
        </is>
      </c>
    </row>
    <row r="145">
      <c r="A145" s="16" t="inlineStr">
        <is>
          <t>XS-2508-00141</t>
        </is>
      </c>
      <c r="B145" s="34" t="n">
        <v>45923</v>
      </c>
      <c r="C145" s="16" t="inlineStr">
        <is>
          <t>NY-KW-2508-020</t>
        </is>
      </c>
      <c r="D145" s="16" t="inlineStr">
        <is>
          <t>批发客户</t>
        </is>
      </c>
      <c r="E145" s="16" t="inlineStr">
        <is>
          <t>惠州</t>
        </is>
      </c>
      <c r="F145" s="35" t="n">
        <v>1167.4</v>
      </c>
      <c r="G145" s="35" t="n">
        <v>955.8</v>
      </c>
      <c r="H145" s="35" t="n">
        <v>211.6</v>
      </c>
      <c r="I145" s="35" t="n">
        <v>26.92</v>
      </c>
      <c r="J145" s="36" t="n">
        <v>31426.41</v>
      </c>
      <c r="K145" s="35" t="n">
        <v>20.6</v>
      </c>
      <c r="L145" s="35" t="n">
        <v>0</v>
      </c>
      <c r="M145" s="16" t="inlineStr">
        <is>
          <t>无</t>
        </is>
      </c>
    </row>
    <row r="146">
      <c r="A146" s="16" t="inlineStr">
        <is>
          <t>XS-2508-00142</t>
        </is>
      </c>
      <c r="B146" s="34" t="n">
        <v>45924</v>
      </c>
      <c r="C146" s="16" t="inlineStr">
        <is>
          <t>NY-KW-2508-020</t>
        </is>
      </c>
      <c r="D146" s="16" t="inlineStr">
        <is>
          <t>社区电商</t>
        </is>
      </c>
      <c r="E146" s="16" t="inlineStr">
        <is>
          <t>惠州</t>
        </is>
      </c>
      <c r="F146" s="35" t="n">
        <v>339.6</v>
      </c>
      <c r="G146" s="35" t="n">
        <v>242.4</v>
      </c>
      <c r="H146" s="35" t="n">
        <v>97.2</v>
      </c>
      <c r="I146" s="35" t="n">
        <v>20.14</v>
      </c>
      <c r="J146" s="36" t="n">
        <v>6839.54</v>
      </c>
      <c r="K146" s="35" t="n">
        <v>4.8</v>
      </c>
      <c r="L146" s="35" t="n">
        <v>2</v>
      </c>
      <c r="M146" s="16" t="inlineStr">
        <is>
          <t>风味一般</t>
        </is>
      </c>
    </row>
    <row r="147">
      <c r="A147" s="16" t="inlineStr">
        <is>
          <t>XS-2508-00143</t>
        </is>
      </c>
      <c r="B147" s="34" t="n">
        <v>45925</v>
      </c>
      <c r="C147" s="16" t="inlineStr">
        <is>
          <t>NY-KW-2508-020</t>
        </is>
      </c>
      <c r="D147" s="16" t="inlineStr">
        <is>
          <t>连锁门店</t>
        </is>
      </c>
      <c r="E147" s="16" t="inlineStr">
        <is>
          <t>深圳</t>
        </is>
      </c>
      <c r="F147" s="35" t="n">
        <v>447.3</v>
      </c>
      <c r="G147" s="35" t="n">
        <v>341.2</v>
      </c>
      <c r="H147" s="35" t="n">
        <v>106.1</v>
      </c>
      <c r="I147" s="35" t="n">
        <v>24.61</v>
      </c>
      <c r="J147" s="36" t="n">
        <v>11008.05</v>
      </c>
      <c r="K147" s="35" t="n">
        <v>3.7</v>
      </c>
      <c r="L147" s="35" t="n">
        <v>0</v>
      </c>
      <c r="M147" s="16" t="inlineStr">
        <is>
          <t>无</t>
        </is>
      </c>
    </row>
    <row r="148">
      <c r="A148" s="16" t="inlineStr">
        <is>
          <t>XS-2508-00144</t>
        </is>
      </c>
      <c r="B148" s="34" t="n">
        <v>45926</v>
      </c>
      <c r="C148" s="16" t="inlineStr">
        <is>
          <t>NY-KW-2508-020</t>
        </is>
      </c>
      <c r="D148" s="16" t="inlineStr">
        <is>
          <t>社区电商</t>
        </is>
      </c>
      <c r="E148" s="16" t="inlineStr">
        <is>
          <t>惠州</t>
        </is>
      </c>
      <c r="F148" s="35" t="n">
        <v>815.3</v>
      </c>
      <c r="G148" s="35" t="n">
        <v>549</v>
      </c>
      <c r="H148" s="35" t="n">
        <v>266.3</v>
      </c>
      <c r="I148" s="35" t="n">
        <v>23.1</v>
      </c>
      <c r="J148" s="36" t="n">
        <v>18833.43</v>
      </c>
      <c r="K148" s="35" t="n">
        <v>11.2</v>
      </c>
      <c r="L148" s="35" t="n">
        <v>0</v>
      </c>
      <c r="M148" s="16" t="inlineStr">
        <is>
          <t>无</t>
        </is>
      </c>
    </row>
    <row r="149">
      <c r="A149" s="16" t="inlineStr">
        <is>
          <t>XS-2508-00145</t>
        </is>
      </c>
      <c r="B149" s="34" t="n">
        <v>45898</v>
      </c>
      <c r="C149" s="16" t="inlineStr">
        <is>
          <t>NY-KW-2508-021</t>
        </is>
      </c>
      <c r="D149" s="16" t="inlineStr">
        <is>
          <t>连锁门店</t>
        </is>
      </c>
      <c r="E149" s="16" t="inlineStr">
        <is>
          <t>深圳</t>
        </is>
      </c>
      <c r="F149" s="35" t="n">
        <v>617.7</v>
      </c>
      <c r="G149" s="35" t="n">
        <v>592.4</v>
      </c>
      <c r="H149" s="35" t="n">
        <v>25.3</v>
      </c>
      <c r="I149" s="35" t="n">
        <v>27.61</v>
      </c>
      <c r="J149" s="36" t="n">
        <v>17054.7</v>
      </c>
      <c r="K149" s="35" t="n">
        <v>5.4</v>
      </c>
      <c r="L149" s="35" t="n">
        <v>0</v>
      </c>
      <c r="M149" s="16" t="inlineStr">
        <is>
          <t>无</t>
        </is>
      </c>
    </row>
    <row r="150">
      <c r="A150" s="16" t="inlineStr">
        <is>
          <t>XS-2508-00146</t>
        </is>
      </c>
      <c r="B150" s="34" t="n">
        <v>45899</v>
      </c>
      <c r="C150" s="16" t="inlineStr">
        <is>
          <t>NY-KW-2508-021</t>
        </is>
      </c>
      <c r="D150" s="16" t="inlineStr">
        <is>
          <t>社区电商</t>
        </is>
      </c>
      <c r="E150" s="16" t="inlineStr">
        <is>
          <t>广州</t>
        </is>
      </c>
      <c r="F150" s="35" t="n">
        <v>1513.4</v>
      </c>
      <c r="G150" s="35" t="n">
        <v>1465.9</v>
      </c>
      <c r="H150" s="35" t="n">
        <v>47.5</v>
      </c>
      <c r="I150" s="35" t="n">
        <v>36.53</v>
      </c>
      <c r="J150" s="36" t="n">
        <v>55284.5</v>
      </c>
      <c r="K150" s="35" t="n">
        <v>1.8</v>
      </c>
      <c r="L150" s="35" t="n">
        <v>0</v>
      </c>
      <c r="M150" s="16" t="inlineStr">
        <is>
          <t>无</t>
        </is>
      </c>
    </row>
    <row r="151">
      <c r="A151" s="16" t="inlineStr">
        <is>
          <t>XS-2508-00147</t>
        </is>
      </c>
      <c r="B151" s="34" t="n">
        <v>45900</v>
      </c>
      <c r="C151" s="16" t="inlineStr">
        <is>
          <t>NY-KW-2508-021</t>
        </is>
      </c>
      <c r="D151" s="16" t="inlineStr">
        <is>
          <t>连锁门店</t>
        </is>
      </c>
      <c r="E151" s="16" t="inlineStr">
        <is>
          <t>东莞</t>
        </is>
      </c>
      <c r="F151" s="35" t="n">
        <v>922.7</v>
      </c>
      <c r="G151" s="35" t="n">
        <v>685.1</v>
      </c>
      <c r="H151" s="35" t="n">
        <v>237.6</v>
      </c>
      <c r="I151" s="35" t="n">
        <v>29</v>
      </c>
      <c r="J151" s="36" t="n">
        <v>26758.3</v>
      </c>
      <c r="K151" s="35" t="n">
        <v>6.5</v>
      </c>
      <c r="L151" s="35" t="n">
        <v>0</v>
      </c>
      <c r="M151" s="16" t="inlineStr">
        <is>
          <t>无</t>
        </is>
      </c>
    </row>
    <row r="152">
      <c r="A152" s="16" t="inlineStr">
        <is>
          <t>XS-2508-00148</t>
        </is>
      </c>
      <c r="B152" s="34" t="n">
        <v>45901</v>
      </c>
      <c r="C152" s="16" t="inlineStr">
        <is>
          <t>NY-KW-2508-021</t>
        </is>
      </c>
      <c r="D152" s="16" t="inlineStr">
        <is>
          <t>批发客户</t>
        </is>
      </c>
      <c r="E152" s="16" t="inlineStr">
        <is>
          <t>佛山</t>
        </is>
      </c>
      <c r="F152" s="35" t="n">
        <v>1086</v>
      </c>
      <c r="G152" s="35" t="n">
        <v>771.9</v>
      </c>
      <c r="H152" s="35" t="n">
        <v>314.1</v>
      </c>
      <c r="I152" s="35" t="n">
        <v>30.08</v>
      </c>
      <c r="J152" s="36" t="n">
        <v>32666.88</v>
      </c>
      <c r="K152" s="35" t="n">
        <v>17.2</v>
      </c>
      <c r="L152" s="35" t="n">
        <v>0</v>
      </c>
      <c r="M152" s="16" t="inlineStr">
        <is>
          <t>无</t>
        </is>
      </c>
    </row>
    <row r="153">
      <c r="A153" s="16" t="inlineStr">
        <is>
          <t>XS-2508-00149</t>
        </is>
      </c>
      <c r="B153" s="34" t="n">
        <v>45902</v>
      </c>
      <c r="C153" s="16" t="inlineStr">
        <is>
          <t>NY-KW-2508-021</t>
        </is>
      </c>
      <c r="D153" s="16" t="inlineStr">
        <is>
          <t>社区电商</t>
        </is>
      </c>
      <c r="E153" s="16" t="inlineStr">
        <is>
          <t>东莞</t>
        </is>
      </c>
      <c r="F153" s="35" t="n">
        <v>1380.3</v>
      </c>
      <c r="G153" s="35" t="n">
        <v>995.9</v>
      </c>
      <c r="H153" s="35" t="n">
        <v>384.4</v>
      </c>
      <c r="I153" s="35" t="n">
        <v>26.8</v>
      </c>
      <c r="J153" s="36" t="n">
        <v>36992.04</v>
      </c>
      <c r="K153" s="35" t="n">
        <v>3.6</v>
      </c>
      <c r="L153" s="35" t="n">
        <v>0</v>
      </c>
      <c r="M153" s="16" t="inlineStr">
        <is>
          <t>无</t>
        </is>
      </c>
    </row>
    <row r="154">
      <c r="A154" s="16" t="inlineStr">
        <is>
          <t>XS-2508-00150</t>
        </is>
      </c>
      <c r="B154" s="34" t="n">
        <v>45903</v>
      </c>
      <c r="C154" s="16" t="inlineStr">
        <is>
          <t>NY-KW-2508-021</t>
        </is>
      </c>
      <c r="D154" s="16" t="inlineStr">
        <is>
          <t>批发客户</t>
        </is>
      </c>
      <c r="E154" s="16" t="inlineStr">
        <is>
          <t>深圳</t>
        </is>
      </c>
      <c r="F154" s="35" t="n">
        <v>1322.8</v>
      </c>
      <c r="G154" s="35" t="n">
        <v>1120.7</v>
      </c>
      <c r="H154" s="35" t="n">
        <v>202.1</v>
      </c>
      <c r="I154" s="35" t="n">
        <v>31.25</v>
      </c>
      <c r="J154" s="36" t="n">
        <v>41337.5</v>
      </c>
      <c r="K154" s="35" t="n">
        <v>5</v>
      </c>
      <c r="L154" s="35" t="n">
        <v>1</v>
      </c>
      <c r="M154" s="16" t="inlineStr">
        <is>
          <t>偏硬</t>
        </is>
      </c>
    </row>
    <row r="155">
      <c r="A155" s="16" t="inlineStr">
        <is>
          <t>XS-2508-00151</t>
        </is>
      </c>
      <c r="B155" s="34" t="n">
        <v>45904</v>
      </c>
      <c r="C155" s="16" t="inlineStr">
        <is>
          <t>NY-KW-2508-021</t>
        </is>
      </c>
      <c r="D155" s="16" t="inlineStr">
        <is>
          <t>批发客户</t>
        </is>
      </c>
      <c r="E155" s="16" t="inlineStr">
        <is>
          <t>佛山</t>
        </is>
      </c>
      <c r="F155" s="35" t="n">
        <v>1142.6</v>
      </c>
      <c r="G155" s="35" t="n">
        <v>859.2</v>
      </c>
      <c r="H155" s="35" t="n">
        <v>283.4</v>
      </c>
      <c r="I155" s="35" t="n">
        <v>24.2</v>
      </c>
      <c r="J155" s="36" t="n">
        <v>27650.92</v>
      </c>
      <c r="K155" s="35" t="n">
        <v>17.9</v>
      </c>
      <c r="L155" s="35" t="n">
        <v>0</v>
      </c>
      <c r="M155" s="16" t="inlineStr">
        <is>
          <t>无</t>
        </is>
      </c>
    </row>
    <row r="156">
      <c r="A156" s="16" t="inlineStr">
        <is>
          <t>XS-2508-00152</t>
        </is>
      </c>
      <c r="B156" s="34" t="n">
        <v>45905</v>
      </c>
      <c r="C156" s="16" t="inlineStr">
        <is>
          <t>NY-KW-2508-021</t>
        </is>
      </c>
      <c r="D156" s="16" t="inlineStr">
        <is>
          <t>连锁门店</t>
        </is>
      </c>
      <c r="E156" s="16" t="inlineStr">
        <is>
          <t>深圳</t>
        </is>
      </c>
      <c r="F156" s="35" t="n">
        <v>854.8</v>
      </c>
      <c r="G156" s="35" t="n">
        <v>676.5</v>
      </c>
      <c r="H156" s="35" t="n">
        <v>178.3</v>
      </c>
      <c r="I156" s="35" t="n">
        <v>34.53</v>
      </c>
      <c r="J156" s="36" t="n">
        <v>29516.24</v>
      </c>
      <c r="K156" s="35" t="n">
        <v>2.2</v>
      </c>
      <c r="L156" s="35" t="n">
        <v>0</v>
      </c>
      <c r="M156" s="16" t="inlineStr">
        <is>
          <t>无</t>
        </is>
      </c>
    </row>
    <row r="157">
      <c r="A157" s="16" t="inlineStr">
        <is>
          <t>XS-2508-00153</t>
        </is>
      </c>
      <c r="B157" s="34" t="n">
        <v>45909</v>
      </c>
      <c r="C157" s="16" t="inlineStr">
        <is>
          <t>NY-KW-2508-022</t>
        </is>
      </c>
      <c r="D157" s="16" t="inlineStr">
        <is>
          <t>企业团购</t>
        </is>
      </c>
      <c r="E157" s="16" t="inlineStr">
        <is>
          <t>惠州</t>
        </is>
      </c>
      <c r="F157" s="35" t="n">
        <v>850.4</v>
      </c>
      <c r="G157" s="35" t="n">
        <v>667.2</v>
      </c>
      <c r="H157" s="35" t="n">
        <v>183.2</v>
      </c>
      <c r="I157" s="35" t="n">
        <v>32.23</v>
      </c>
      <c r="J157" s="36" t="n">
        <v>27408.39</v>
      </c>
      <c r="K157" s="35" t="n">
        <v>6.4</v>
      </c>
      <c r="L157" s="35" t="n">
        <v>1</v>
      </c>
      <c r="M157" s="16" t="inlineStr">
        <is>
          <t>偏硬</t>
        </is>
      </c>
    </row>
    <row r="158">
      <c r="A158" s="16" t="inlineStr">
        <is>
          <t>XS-2508-00154</t>
        </is>
      </c>
      <c r="B158" s="34" t="n">
        <v>45910</v>
      </c>
      <c r="C158" s="16" t="inlineStr">
        <is>
          <t>NY-KW-2508-022</t>
        </is>
      </c>
      <c r="D158" s="16" t="inlineStr">
        <is>
          <t>连锁门店</t>
        </is>
      </c>
      <c r="E158" s="16" t="inlineStr">
        <is>
          <t>南宁</t>
        </is>
      </c>
      <c r="F158" s="35" t="n">
        <v>252.1</v>
      </c>
      <c r="G158" s="35" t="n">
        <v>237.6</v>
      </c>
      <c r="H158" s="35" t="n">
        <v>14.5</v>
      </c>
      <c r="I158" s="35" t="n">
        <v>29.23</v>
      </c>
      <c r="J158" s="36" t="n">
        <v>7368.88</v>
      </c>
      <c r="K158" s="35" t="n">
        <v>3.8</v>
      </c>
      <c r="L158" s="35" t="n">
        <v>2</v>
      </c>
      <c r="M158" s="16" t="inlineStr">
        <is>
          <t>风味一般</t>
        </is>
      </c>
    </row>
    <row r="159">
      <c r="A159" s="16" t="inlineStr">
        <is>
          <t>XS-2508-00155</t>
        </is>
      </c>
      <c r="B159" s="34" t="n">
        <v>45911</v>
      </c>
      <c r="C159" s="16" t="inlineStr">
        <is>
          <t>NY-KW-2508-022</t>
        </is>
      </c>
      <c r="D159" s="16" t="inlineStr">
        <is>
          <t>社区电商</t>
        </is>
      </c>
      <c r="E159" s="16" t="inlineStr">
        <is>
          <t>南宁</t>
        </is>
      </c>
      <c r="F159" s="35" t="n">
        <v>1493.2</v>
      </c>
      <c r="G159" s="35" t="n">
        <v>1391.8</v>
      </c>
      <c r="H159" s="35" t="n">
        <v>101.4</v>
      </c>
      <c r="I159" s="35" t="n">
        <v>27.57</v>
      </c>
      <c r="J159" s="36" t="n">
        <v>41167.52</v>
      </c>
      <c r="K159" s="35" t="n">
        <v>10.4</v>
      </c>
      <c r="L159" s="35" t="n">
        <v>0</v>
      </c>
      <c r="M159" s="16" t="inlineStr">
        <is>
          <t>无</t>
        </is>
      </c>
    </row>
    <row r="160">
      <c r="A160" s="16" t="inlineStr">
        <is>
          <t>XS-2508-00156</t>
        </is>
      </c>
      <c r="B160" s="34" t="n">
        <v>45912</v>
      </c>
      <c r="C160" s="16" t="inlineStr">
        <is>
          <t>NY-KW-2508-022</t>
        </is>
      </c>
      <c r="D160" s="16" t="inlineStr">
        <is>
          <t>社区电商</t>
        </is>
      </c>
      <c r="E160" s="16" t="inlineStr">
        <is>
          <t>深圳</t>
        </is>
      </c>
      <c r="F160" s="35" t="n">
        <v>1577.7</v>
      </c>
      <c r="G160" s="35" t="n">
        <v>1332</v>
      </c>
      <c r="H160" s="35" t="n">
        <v>245.7</v>
      </c>
      <c r="I160" s="35" t="n">
        <v>27.31</v>
      </c>
      <c r="J160" s="36" t="n">
        <v>43086.99</v>
      </c>
      <c r="K160" s="35" t="n">
        <v>15</v>
      </c>
      <c r="L160" s="35" t="n">
        <v>0</v>
      </c>
      <c r="M160" s="16" t="inlineStr">
        <is>
          <t>无</t>
        </is>
      </c>
    </row>
    <row r="161">
      <c r="A161" s="16" t="inlineStr">
        <is>
          <t>XS-2508-00157</t>
        </is>
      </c>
      <c r="B161" s="34" t="n">
        <v>45913</v>
      </c>
      <c r="C161" s="16" t="inlineStr">
        <is>
          <t>NY-KW-2508-022</t>
        </is>
      </c>
      <c r="D161" s="16" t="inlineStr">
        <is>
          <t>连锁门店</t>
        </is>
      </c>
      <c r="E161" s="16" t="inlineStr">
        <is>
          <t>南宁</t>
        </is>
      </c>
      <c r="F161" s="35" t="n">
        <v>1347.6</v>
      </c>
      <c r="G161" s="35" t="n">
        <v>1094.5</v>
      </c>
      <c r="H161" s="35" t="n">
        <v>253.1</v>
      </c>
      <c r="I161" s="35" t="n">
        <v>32.31</v>
      </c>
      <c r="J161" s="36" t="n">
        <v>43540.96</v>
      </c>
      <c r="K161" s="35" t="n">
        <v>23.3</v>
      </c>
      <c r="L161" s="35" t="n">
        <v>1</v>
      </c>
      <c r="M161" s="16" t="inlineStr">
        <is>
          <t>偏硬</t>
        </is>
      </c>
    </row>
    <row r="162">
      <c r="A162" s="16" t="inlineStr">
        <is>
          <t>XS-2508-00158</t>
        </is>
      </c>
      <c r="B162" s="34" t="n">
        <v>45914</v>
      </c>
      <c r="C162" s="16" t="inlineStr">
        <is>
          <t>NY-KW-2508-022</t>
        </is>
      </c>
      <c r="D162" s="16" t="inlineStr">
        <is>
          <t>社区电商</t>
        </is>
      </c>
      <c r="E162" s="16" t="inlineStr">
        <is>
          <t>南宁</t>
        </is>
      </c>
      <c r="F162" s="35" t="n">
        <v>955.3</v>
      </c>
      <c r="G162" s="35" t="n">
        <v>740.5</v>
      </c>
      <c r="H162" s="35" t="n">
        <v>214.8</v>
      </c>
      <c r="I162" s="35" t="n">
        <v>31.23</v>
      </c>
      <c r="J162" s="36" t="n">
        <v>29834.02</v>
      </c>
      <c r="K162" s="35" t="n">
        <v>14.1</v>
      </c>
      <c r="L162" s="35" t="n">
        <v>0</v>
      </c>
      <c r="M162" s="16" t="inlineStr">
        <is>
          <t>无</t>
        </is>
      </c>
    </row>
    <row r="163">
      <c r="A163" s="16" t="inlineStr">
        <is>
          <t>XS-2508-00159</t>
        </is>
      </c>
      <c r="B163" s="34" t="n">
        <v>45912</v>
      </c>
      <c r="C163" s="16" t="inlineStr">
        <is>
          <t>NY-KW-2508-023</t>
        </is>
      </c>
      <c r="D163" s="16" t="inlineStr">
        <is>
          <t>企业团购</t>
        </is>
      </c>
      <c r="E163" s="16" t="inlineStr">
        <is>
          <t>东莞</t>
        </is>
      </c>
      <c r="F163" s="35" t="n">
        <v>391</v>
      </c>
      <c r="G163" s="35" t="n">
        <v>368.8</v>
      </c>
      <c r="H163" s="35" t="n">
        <v>22.2</v>
      </c>
      <c r="I163" s="35" t="n">
        <v>24.96</v>
      </c>
      <c r="J163" s="36" t="n">
        <v>9759.360000000001</v>
      </c>
      <c r="K163" s="35" t="n">
        <v>5.3</v>
      </c>
      <c r="L163" s="35" t="n">
        <v>0</v>
      </c>
      <c r="M163" s="16" t="inlineStr">
        <is>
          <t>无</t>
        </is>
      </c>
    </row>
    <row r="164">
      <c r="A164" s="16" t="inlineStr">
        <is>
          <t>XS-2508-00160</t>
        </is>
      </c>
      <c r="B164" s="34" t="n">
        <v>45913</v>
      </c>
      <c r="C164" s="16" t="inlineStr">
        <is>
          <t>NY-KW-2508-023</t>
        </is>
      </c>
      <c r="D164" s="16" t="inlineStr">
        <is>
          <t>连锁门店</t>
        </is>
      </c>
      <c r="E164" s="16" t="inlineStr">
        <is>
          <t>南宁</t>
        </is>
      </c>
      <c r="F164" s="35" t="n">
        <v>711.4</v>
      </c>
      <c r="G164" s="35" t="n">
        <v>613.1</v>
      </c>
      <c r="H164" s="35" t="n">
        <v>98.3</v>
      </c>
      <c r="I164" s="35" t="n">
        <v>26.25</v>
      </c>
      <c r="J164" s="36" t="n">
        <v>18674.25</v>
      </c>
      <c r="K164" s="35" t="n">
        <v>2.2</v>
      </c>
      <c r="L164" s="35" t="n">
        <v>0</v>
      </c>
      <c r="M164" s="16" t="inlineStr">
        <is>
          <t>无</t>
        </is>
      </c>
    </row>
    <row r="165">
      <c r="A165" s="16" t="inlineStr">
        <is>
          <t>XS-2508-00161</t>
        </is>
      </c>
      <c r="B165" s="34" t="n">
        <v>45914</v>
      </c>
      <c r="C165" s="16" t="inlineStr">
        <is>
          <t>NY-KW-2508-023</t>
        </is>
      </c>
      <c r="D165" s="16" t="inlineStr">
        <is>
          <t>连锁门店</t>
        </is>
      </c>
      <c r="E165" s="16" t="inlineStr">
        <is>
          <t>深圳</t>
        </is>
      </c>
      <c r="F165" s="35" t="n">
        <v>1541.8</v>
      </c>
      <c r="G165" s="35" t="n">
        <v>1292.6</v>
      </c>
      <c r="H165" s="35" t="n">
        <v>249.2</v>
      </c>
      <c r="I165" s="35" t="n">
        <v>24.84</v>
      </c>
      <c r="J165" s="36" t="n">
        <v>38298.31</v>
      </c>
      <c r="K165" s="35" t="n">
        <v>18.7</v>
      </c>
      <c r="L165" s="35" t="n">
        <v>1</v>
      </c>
      <c r="M165" s="16" t="inlineStr">
        <is>
          <t>偏硬</t>
        </is>
      </c>
    </row>
    <row r="166">
      <c r="A166" s="16" t="inlineStr">
        <is>
          <t>XS-2508-00162</t>
        </is>
      </c>
      <c r="B166" s="34" t="n">
        <v>45915</v>
      </c>
      <c r="C166" s="16" t="inlineStr">
        <is>
          <t>NY-KW-2508-023</t>
        </is>
      </c>
      <c r="D166" s="16" t="inlineStr">
        <is>
          <t>社区电商</t>
        </is>
      </c>
      <c r="E166" s="16" t="inlineStr">
        <is>
          <t>佛山</t>
        </is>
      </c>
      <c r="F166" s="35" t="n">
        <v>406.7</v>
      </c>
      <c r="G166" s="35" t="n">
        <v>333.6</v>
      </c>
      <c r="H166" s="35" t="n">
        <v>73.09999999999999</v>
      </c>
      <c r="I166" s="35" t="n">
        <v>25.57</v>
      </c>
      <c r="J166" s="36" t="n">
        <v>10399.32</v>
      </c>
      <c r="K166" s="35" t="n">
        <v>3.4</v>
      </c>
      <c r="L166" s="35" t="n">
        <v>0</v>
      </c>
      <c r="M166" s="16" t="inlineStr">
        <is>
          <t>无</t>
        </is>
      </c>
    </row>
    <row r="167">
      <c r="A167" s="16" t="inlineStr">
        <is>
          <t>XS-2508-00163</t>
        </is>
      </c>
      <c r="B167" s="34" t="n">
        <v>45916</v>
      </c>
      <c r="C167" s="16" t="inlineStr">
        <is>
          <t>NY-KW-2508-023</t>
        </is>
      </c>
      <c r="D167" s="16" t="inlineStr">
        <is>
          <t>连锁门店</t>
        </is>
      </c>
      <c r="E167" s="16" t="inlineStr">
        <is>
          <t>东莞</t>
        </is>
      </c>
      <c r="F167" s="35" t="n">
        <v>269</v>
      </c>
      <c r="G167" s="35" t="n">
        <v>198.6</v>
      </c>
      <c r="H167" s="35" t="n">
        <v>70.40000000000001</v>
      </c>
      <c r="I167" s="35" t="n">
        <v>26.78</v>
      </c>
      <c r="J167" s="36" t="n">
        <v>7203.82</v>
      </c>
      <c r="K167" s="35" t="n">
        <v>0.7</v>
      </c>
      <c r="L167" s="35" t="n">
        <v>1</v>
      </c>
      <c r="M167" s="16" t="inlineStr">
        <is>
          <t>偏软</t>
        </is>
      </c>
    </row>
    <row r="168">
      <c r="A168" s="16" t="inlineStr">
        <is>
          <t>XS-2508-00164</t>
        </is>
      </c>
      <c r="B168" s="34" t="n">
        <v>45917</v>
      </c>
      <c r="C168" s="16" t="inlineStr">
        <is>
          <t>NY-KW-2508-023</t>
        </is>
      </c>
      <c r="D168" s="16" t="inlineStr">
        <is>
          <t>社区电商</t>
        </is>
      </c>
      <c r="E168" s="16" t="inlineStr">
        <is>
          <t>东莞</t>
        </is>
      </c>
      <c r="F168" s="35" t="n">
        <v>1087.6</v>
      </c>
      <c r="G168" s="35" t="n">
        <v>909.3</v>
      </c>
      <c r="H168" s="35" t="n">
        <v>178.3</v>
      </c>
      <c r="I168" s="35" t="n">
        <v>32.35</v>
      </c>
      <c r="J168" s="36" t="n">
        <v>35183.86</v>
      </c>
      <c r="K168" s="35" t="n">
        <v>12.2</v>
      </c>
      <c r="L168" s="35" t="n">
        <v>0</v>
      </c>
      <c r="M168" s="16" t="inlineStr">
        <is>
          <t>无</t>
        </is>
      </c>
    </row>
    <row r="169">
      <c r="A169" s="16" t="inlineStr">
        <is>
          <t>XS-2508-00165</t>
        </is>
      </c>
      <c r="B169" s="34" t="n">
        <v>45922</v>
      </c>
      <c r="C169" s="16" t="inlineStr">
        <is>
          <t>NY-KW-2508-024</t>
        </is>
      </c>
      <c r="D169" s="16" t="inlineStr">
        <is>
          <t>批发客户</t>
        </is>
      </c>
      <c r="E169" s="16" t="inlineStr">
        <is>
          <t>广州</t>
        </is>
      </c>
      <c r="F169" s="35" t="n">
        <v>658.7</v>
      </c>
      <c r="G169" s="35" t="n">
        <v>578.4</v>
      </c>
      <c r="H169" s="35" t="n">
        <v>80.3</v>
      </c>
      <c r="I169" s="35" t="n">
        <v>20.16</v>
      </c>
      <c r="J169" s="36" t="n">
        <v>13279.39</v>
      </c>
      <c r="K169" s="35" t="n">
        <v>3.8</v>
      </c>
      <c r="L169" s="35" t="n">
        <v>0</v>
      </c>
      <c r="M169" s="16" t="inlineStr">
        <is>
          <t>无</t>
        </is>
      </c>
    </row>
    <row r="170">
      <c r="A170" s="16" t="inlineStr">
        <is>
          <t>XS-2508-00166</t>
        </is>
      </c>
      <c r="B170" s="34" t="n">
        <v>45923</v>
      </c>
      <c r="C170" s="16" t="inlineStr">
        <is>
          <t>NY-KW-2508-024</t>
        </is>
      </c>
      <c r="D170" s="16" t="inlineStr">
        <is>
          <t>连锁门店</t>
        </is>
      </c>
      <c r="E170" s="16" t="inlineStr">
        <is>
          <t>南宁</t>
        </is>
      </c>
      <c r="F170" s="35" t="n">
        <v>612</v>
      </c>
      <c r="G170" s="35" t="n">
        <v>534.8</v>
      </c>
      <c r="H170" s="35" t="n">
        <v>77.2</v>
      </c>
      <c r="I170" s="35" t="n">
        <v>21.65</v>
      </c>
      <c r="J170" s="36" t="n">
        <v>13249.8</v>
      </c>
      <c r="K170" s="35" t="n">
        <v>10.1</v>
      </c>
      <c r="L170" s="35" t="n">
        <v>0</v>
      </c>
      <c r="M170" s="16" t="inlineStr">
        <is>
          <t>无</t>
        </is>
      </c>
    </row>
    <row r="171">
      <c r="A171" s="16" t="inlineStr">
        <is>
          <t>XS-2508-00167</t>
        </is>
      </c>
      <c r="B171" s="34" t="n">
        <v>45924</v>
      </c>
      <c r="C171" s="16" t="inlineStr">
        <is>
          <t>NY-KW-2508-024</t>
        </is>
      </c>
      <c r="D171" s="16" t="inlineStr">
        <is>
          <t>连锁门店</t>
        </is>
      </c>
      <c r="E171" s="16" t="inlineStr">
        <is>
          <t>深圳</t>
        </is>
      </c>
      <c r="F171" s="35" t="n">
        <v>545.8</v>
      </c>
      <c r="G171" s="35" t="n">
        <v>495.3</v>
      </c>
      <c r="H171" s="35" t="n">
        <v>50.5</v>
      </c>
      <c r="I171" s="35" t="n">
        <v>19.18</v>
      </c>
      <c r="J171" s="36" t="n">
        <v>10468.44</v>
      </c>
      <c r="K171" s="35" t="n">
        <v>7.5</v>
      </c>
      <c r="L171" s="35" t="n">
        <v>0</v>
      </c>
      <c r="M171" s="16" t="inlineStr">
        <is>
          <t>无</t>
        </is>
      </c>
    </row>
    <row r="172">
      <c r="A172" s="16" t="inlineStr">
        <is>
          <t>XS-2508-00168</t>
        </is>
      </c>
      <c r="B172" s="34" t="n">
        <v>45925</v>
      </c>
      <c r="C172" s="16" t="inlineStr">
        <is>
          <t>NY-KW-2508-024</t>
        </is>
      </c>
      <c r="D172" s="16" t="inlineStr">
        <is>
          <t>批发客户</t>
        </is>
      </c>
      <c r="E172" s="16" t="inlineStr">
        <is>
          <t>深圳</t>
        </is>
      </c>
      <c r="F172" s="35" t="n">
        <v>1401.8</v>
      </c>
      <c r="G172" s="35" t="n">
        <v>1168.7</v>
      </c>
      <c r="H172" s="35" t="n">
        <v>233.1</v>
      </c>
      <c r="I172" s="35" t="n">
        <v>18.78</v>
      </c>
      <c r="J172" s="36" t="n">
        <v>26325.8</v>
      </c>
      <c r="K172" s="35" t="n">
        <v>12.2</v>
      </c>
      <c r="L172" s="35" t="n">
        <v>0</v>
      </c>
      <c r="M172" s="16" t="inlineStr">
        <is>
          <t>无</t>
        </is>
      </c>
    </row>
    <row r="173">
      <c r="A173" s="16" t="inlineStr">
        <is>
          <t>XS-2508-00169</t>
        </is>
      </c>
      <c r="B173" s="34" t="n">
        <v>45926</v>
      </c>
      <c r="C173" s="16" t="inlineStr">
        <is>
          <t>NY-KW-2508-024</t>
        </is>
      </c>
      <c r="D173" s="16" t="inlineStr">
        <is>
          <t>批发客户</t>
        </is>
      </c>
      <c r="E173" s="16" t="inlineStr">
        <is>
          <t>南宁</t>
        </is>
      </c>
      <c r="F173" s="35" t="n">
        <v>562.5</v>
      </c>
      <c r="G173" s="35" t="n">
        <v>411.1</v>
      </c>
      <c r="H173" s="35" t="n">
        <v>151.4</v>
      </c>
      <c r="I173" s="35" t="n">
        <v>18.14</v>
      </c>
      <c r="J173" s="36" t="n">
        <v>10203.75</v>
      </c>
      <c r="K173" s="35" t="n">
        <v>5.1</v>
      </c>
      <c r="L173" s="35" t="n">
        <v>2</v>
      </c>
      <c r="M173" s="16" t="inlineStr">
        <is>
          <t>风味一般</t>
        </is>
      </c>
    </row>
    <row r="174">
      <c r="A174" s="16" t="inlineStr">
        <is>
          <t>XS-2508-00170</t>
        </is>
      </c>
      <c r="B174" s="34" t="n">
        <v>45947</v>
      </c>
      <c r="C174" s="16" t="inlineStr">
        <is>
          <t>NY-KW-2508-025</t>
        </is>
      </c>
      <c r="D174" s="16" t="inlineStr">
        <is>
          <t>连锁门店</t>
        </is>
      </c>
      <c r="E174" s="16" t="inlineStr">
        <is>
          <t>深圳</t>
        </is>
      </c>
      <c r="F174" s="35" t="n">
        <v>1020.1</v>
      </c>
      <c r="G174" s="35" t="n">
        <v>1014.9</v>
      </c>
      <c r="H174" s="35" t="n">
        <v>5.2</v>
      </c>
      <c r="I174" s="35" t="n">
        <v>25.53</v>
      </c>
      <c r="J174" s="36" t="n">
        <v>26043.15</v>
      </c>
      <c r="K174" s="35" t="n">
        <v>7.8</v>
      </c>
      <c r="L174" s="35" t="n">
        <v>0</v>
      </c>
      <c r="M174" s="16" t="inlineStr">
        <is>
          <t>无</t>
        </is>
      </c>
    </row>
    <row r="175">
      <c r="A175" s="16" t="inlineStr">
        <is>
          <t>XS-2508-00171</t>
        </is>
      </c>
      <c r="B175" s="34" t="n">
        <v>45948</v>
      </c>
      <c r="C175" s="16" t="inlineStr">
        <is>
          <t>NY-KW-2508-025</t>
        </is>
      </c>
      <c r="D175" s="16" t="inlineStr">
        <is>
          <t>社区电商</t>
        </is>
      </c>
      <c r="E175" s="16" t="inlineStr">
        <is>
          <t>东莞</t>
        </is>
      </c>
      <c r="F175" s="35" t="n">
        <v>714.1</v>
      </c>
      <c r="G175" s="35" t="n">
        <v>532.5</v>
      </c>
      <c r="H175" s="35" t="n">
        <v>181.6</v>
      </c>
      <c r="I175" s="35" t="n">
        <v>19.39</v>
      </c>
      <c r="J175" s="36" t="n">
        <v>13846.4</v>
      </c>
      <c r="K175" s="35" t="n">
        <v>7.8</v>
      </c>
      <c r="L175" s="35" t="n">
        <v>0</v>
      </c>
      <c r="M175" s="16" t="inlineStr">
        <is>
          <t>无</t>
        </is>
      </c>
    </row>
    <row r="176">
      <c r="A176" s="16" t="inlineStr">
        <is>
          <t>XS-2508-00172</t>
        </is>
      </c>
      <c r="B176" s="34" t="n">
        <v>45949</v>
      </c>
      <c r="C176" s="16" t="inlineStr">
        <is>
          <t>NY-KW-2508-025</t>
        </is>
      </c>
      <c r="D176" s="16" t="inlineStr">
        <is>
          <t>企业团购</t>
        </is>
      </c>
      <c r="E176" s="16" t="inlineStr">
        <is>
          <t>东莞</t>
        </is>
      </c>
      <c r="F176" s="35" t="n">
        <v>1448.3</v>
      </c>
      <c r="G176" s="35" t="n">
        <v>1171.1</v>
      </c>
      <c r="H176" s="35" t="n">
        <v>277.2</v>
      </c>
      <c r="I176" s="35" t="n">
        <v>21.29</v>
      </c>
      <c r="J176" s="36" t="n">
        <v>30834.31</v>
      </c>
      <c r="K176" s="35" t="n">
        <v>7.5</v>
      </c>
      <c r="L176" s="35" t="n">
        <v>0</v>
      </c>
      <c r="M176" s="16" t="inlineStr">
        <is>
          <t>无</t>
        </is>
      </c>
    </row>
    <row r="177">
      <c r="A177" s="16" t="inlineStr">
        <is>
          <t>XS-2508-00173</t>
        </is>
      </c>
      <c r="B177" s="34" t="n">
        <v>45950</v>
      </c>
      <c r="C177" s="16" t="inlineStr">
        <is>
          <t>NY-KW-2508-025</t>
        </is>
      </c>
      <c r="D177" s="16" t="inlineStr">
        <is>
          <t>连锁门店</t>
        </is>
      </c>
      <c r="E177" s="16" t="inlineStr">
        <is>
          <t>南宁</t>
        </is>
      </c>
      <c r="F177" s="35" t="n">
        <v>1238.7</v>
      </c>
      <c r="G177" s="35" t="n">
        <v>1098.4</v>
      </c>
      <c r="H177" s="35" t="n">
        <v>140.3</v>
      </c>
      <c r="I177" s="35" t="n">
        <v>22.71</v>
      </c>
      <c r="J177" s="36" t="n">
        <v>28130.88</v>
      </c>
      <c r="K177" s="35" t="n">
        <v>21.7</v>
      </c>
      <c r="L177" s="35" t="n">
        <v>1</v>
      </c>
      <c r="M177" s="16" t="inlineStr">
        <is>
          <t>偏软</t>
        </is>
      </c>
    </row>
    <row r="178">
      <c r="A178" s="16" t="inlineStr">
        <is>
          <t>XS-2508-00174</t>
        </is>
      </c>
      <c r="B178" s="34" t="n">
        <v>45951</v>
      </c>
      <c r="C178" s="16" t="inlineStr">
        <is>
          <t>NY-KW-2508-025</t>
        </is>
      </c>
      <c r="D178" s="16" t="inlineStr">
        <is>
          <t>社区电商</t>
        </is>
      </c>
      <c r="E178" s="16" t="inlineStr">
        <is>
          <t>惠州</t>
        </is>
      </c>
      <c r="F178" s="35" t="n">
        <v>462.5</v>
      </c>
      <c r="G178" s="35" t="n">
        <v>379</v>
      </c>
      <c r="H178" s="35" t="n">
        <v>83.5</v>
      </c>
      <c r="I178" s="35" t="n">
        <v>23.22</v>
      </c>
      <c r="J178" s="36" t="n">
        <v>10739.25</v>
      </c>
      <c r="K178" s="35" t="n">
        <v>6</v>
      </c>
      <c r="L178" s="35" t="n">
        <v>0</v>
      </c>
      <c r="M178" s="16" t="inlineStr">
        <is>
          <t>无</t>
        </is>
      </c>
    </row>
    <row r="179">
      <c r="A179" s="16" t="inlineStr">
        <is>
          <t>XS-2508-00175</t>
        </is>
      </c>
      <c r="B179" s="34" t="n">
        <v>45952</v>
      </c>
      <c r="C179" s="16" t="inlineStr">
        <is>
          <t>NY-KW-2508-025</t>
        </is>
      </c>
      <c r="D179" s="16" t="inlineStr">
        <is>
          <t>社区电商</t>
        </is>
      </c>
      <c r="E179" s="16" t="inlineStr">
        <is>
          <t>东莞</t>
        </is>
      </c>
      <c r="F179" s="35" t="n">
        <v>1290</v>
      </c>
      <c r="G179" s="35" t="n">
        <v>1047.4</v>
      </c>
      <c r="H179" s="35" t="n">
        <v>242.6</v>
      </c>
      <c r="I179" s="35" t="n">
        <v>21.31</v>
      </c>
      <c r="J179" s="36" t="n">
        <v>27489.9</v>
      </c>
      <c r="K179" s="35" t="n">
        <v>9.1</v>
      </c>
      <c r="L179" s="35" t="n">
        <v>0</v>
      </c>
      <c r="M179" s="16" t="inlineStr">
        <is>
          <t>无</t>
        </is>
      </c>
    </row>
    <row r="180">
      <c r="A180" s="16" t="inlineStr">
        <is>
          <t>XS-2508-00176</t>
        </is>
      </c>
      <c r="B180" s="34" t="n">
        <v>45953</v>
      </c>
      <c r="C180" s="16" t="inlineStr">
        <is>
          <t>NY-KW-2508-025</t>
        </is>
      </c>
      <c r="D180" s="16" t="inlineStr">
        <is>
          <t>批发客户</t>
        </is>
      </c>
      <c r="E180" s="16" t="inlineStr">
        <is>
          <t>南宁</t>
        </is>
      </c>
      <c r="F180" s="35" t="n">
        <v>246.7</v>
      </c>
      <c r="G180" s="35" t="n">
        <v>196</v>
      </c>
      <c r="H180" s="35" t="n">
        <v>50.7</v>
      </c>
      <c r="I180" s="35" t="n">
        <v>18.59</v>
      </c>
      <c r="J180" s="36" t="n">
        <v>4586.15</v>
      </c>
      <c r="K180" s="35" t="n">
        <v>3</v>
      </c>
      <c r="L180" s="35" t="n">
        <v>1</v>
      </c>
      <c r="M180" s="16" t="inlineStr">
        <is>
          <t>偏硬</t>
        </is>
      </c>
    </row>
    <row r="181">
      <c r="A181" s="16" t="inlineStr">
        <is>
          <t>XS-2508-00177</t>
        </is>
      </c>
      <c r="B181" s="34" t="n">
        <v>45905</v>
      </c>
      <c r="C181" s="16" t="inlineStr">
        <is>
          <t>NY-KW-2508-026</t>
        </is>
      </c>
      <c r="D181" s="16" t="inlineStr">
        <is>
          <t>连锁门店</t>
        </is>
      </c>
      <c r="E181" s="16" t="inlineStr">
        <is>
          <t>惠州</t>
        </is>
      </c>
      <c r="F181" s="35" t="n">
        <v>1013.8</v>
      </c>
      <c r="G181" s="35" t="n">
        <v>914.1</v>
      </c>
      <c r="H181" s="35" t="n">
        <v>99.7</v>
      </c>
      <c r="I181" s="35" t="n">
        <v>33.57</v>
      </c>
      <c r="J181" s="36" t="n">
        <v>34033.27</v>
      </c>
      <c r="K181" s="35" t="n">
        <v>17.7</v>
      </c>
      <c r="L181" s="35" t="n">
        <v>0</v>
      </c>
      <c r="M181" s="16" t="inlineStr">
        <is>
          <t>无</t>
        </is>
      </c>
    </row>
    <row r="182">
      <c r="A182" s="16" t="inlineStr">
        <is>
          <t>XS-2508-00178</t>
        </is>
      </c>
      <c r="B182" s="34" t="n">
        <v>45906</v>
      </c>
      <c r="C182" s="16" t="inlineStr">
        <is>
          <t>NY-KW-2508-026</t>
        </is>
      </c>
      <c r="D182" s="16" t="inlineStr">
        <is>
          <t>连锁门店</t>
        </is>
      </c>
      <c r="E182" s="16" t="inlineStr">
        <is>
          <t>广州</t>
        </is>
      </c>
      <c r="F182" s="35" t="n">
        <v>919.4</v>
      </c>
      <c r="G182" s="35" t="n">
        <v>732.7</v>
      </c>
      <c r="H182" s="35" t="n">
        <v>186.7</v>
      </c>
      <c r="I182" s="35" t="n">
        <v>28.04</v>
      </c>
      <c r="J182" s="36" t="n">
        <v>25779.98</v>
      </c>
      <c r="K182" s="35" t="n">
        <v>10.3</v>
      </c>
      <c r="L182" s="35" t="n">
        <v>0</v>
      </c>
      <c r="M182" s="16" t="inlineStr">
        <is>
          <t>无</t>
        </is>
      </c>
    </row>
    <row r="183">
      <c r="A183" s="16" t="inlineStr">
        <is>
          <t>XS-2508-00179</t>
        </is>
      </c>
      <c r="B183" s="34" t="n">
        <v>45907</v>
      </c>
      <c r="C183" s="16" t="inlineStr">
        <is>
          <t>NY-KW-2508-026</t>
        </is>
      </c>
      <c r="D183" s="16" t="inlineStr">
        <is>
          <t>批发客户</t>
        </is>
      </c>
      <c r="E183" s="16" t="inlineStr">
        <is>
          <t>佛山</t>
        </is>
      </c>
      <c r="F183" s="35" t="n">
        <v>547.1</v>
      </c>
      <c r="G183" s="35" t="n">
        <v>429</v>
      </c>
      <c r="H183" s="35" t="n">
        <v>118.1</v>
      </c>
      <c r="I183" s="35" t="n">
        <v>26.51</v>
      </c>
      <c r="J183" s="36" t="n">
        <v>14503.62</v>
      </c>
      <c r="K183" s="35" t="n">
        <v>2.7</v>
      </c>
      <c r="L183" s="35" t="n">
        <v>0</v>
      </c>
      <c r="M183" s="16" t="inlineStr">
        <is>
          <t>无</t>
        </is>
      </c>
    </row>
    <row r="184">
      <c r="A184" s="16" t="inlineStr">
        <is>
          <t>XS-2508-00180</t>
        </is>
      </c>
      <c r="B184" s="34" t="n">
        <v>45908</v>
      </c>
      <c r="C184" s="16" t="inlineStr">
        <is>
          <t>NY-KW-2508-026</t>
        </is>
      </c>
      <c r="D184" s="16" t="inlineStr">
        <is>
          <t>连锁门店</t>
        </is>
      </c>
      <c r="E184" s="16" t="inlineStr">
        <is>
          <t>深圳</t>
        </is>
      </c>
      <c r="F184" s="35" t="n">
        <v>919.5</v>
      </c>
      <c r="G184" s="35" t="n">
        <v>808.7</v>
      </c>
      <c r="H184" s="35" t="n">
        <v>110.8</v>
      </c>
      <c r="I184" s="35" t="n">
        <v>33.61</v>
      </c>
      <c r="J184" s="36" t="n">
        <v>30904.4</v>
      </c>
      <c r="K184" s="35" t="n">
        <v>2.9</v>
      </c>
      <c r="L184" s="35" t="n">
        <v>0</v>
      </c>
      <c r="M184" s="16" t="inlineStr">
        <is>
          <t>无</t>
        </is>
      </c>
    </row>
    <row r="185">
      <c r="A185" s="16" t="inlineStr">
        <is>
          <t>XS-2508-00181</t>
        </is>
      </c>
      <c r="B185" s="34" t="n">
        <v>45909</v>
      </c>
      <c r="C185" s="16" t="inlineStr">
        <is>
          <t>NY-KW-2508-026</t>
        </is>
      </c>
      <c r="D185" s="16" t="inlineStr">
        <is>
          <t>批发客户</t>
        </is>
      </c>
      <c r="E185" s="16" t="inlineStr">
        <is>
          <t>佛山</t>
        </is>
      </c>
      <c r="F185" s="35" t="n">
        <v>590.6</v>
      </c>
      <c r="G185" s="35" t="n">
        <v>553.4</v>
      </c>
      <c r="H185" s="35" t="n">
        <v>37.2</v>
      </c>
      <c r="I185" s="35" t="n">
        <v>28.33</v>
      </c>
      <c r="J185" s="36" t="n">
        <v>16731.7</v>
      </c>
      <c r="K185" s="35" t="n">
        <v>8.6</v>
      </c>
      <c r="L185" s="35" t="n">
        <v>1</v>
      </c>
      <c r="M185" s="16" t="inlineStr">
        <is>
          <t>偏硬</t>
        </is>
      </c>
    </row>
    <row r="186">
      <c r="A186" s="16" t="inlineStr">
        <is>
          <t>XS-2508-00182</t>
        </is>
      </c>
      <c r="B186" s="34" t="n">
        <v>45910</v>
      </c>
      <c r="C186" s="16" t="inlineStr">
        <is>
          <t>NY-KW-2508-026</t>
        </is>
      </c>
      <c r="D186" s="16" t="inlineStr">
        <is>
          <t>连锁门店</t>
        </is>
      </c>
      <c r="E186" s="16" t="inlineStr">
        <is>
          <t>广州</t>
        </is>
      </c>
      <c r="F186" s="35" t="n">
        <v>761.9</v>
      </c>
      <c r="G186" s="35" t="n">
        <v>599.8</v>
      </c>
      <c r="H186" s="35" t="n">
        <v>162.1</v>
      </c>
      <c r="I186" s="35" t="n">
        <v>29.23</v>
      </c>
      <c r="J186" s="36" t="n">
        <v>22270.34</v>
      </c>
      <c r="K186" s="35" t="n">
        <v>12.9</v>
      </c>
      <c r="L186" s="35" t="n">
        <v>0</v>
      </c>
      <c r="M186" s="16" t="inlineStr">
        <is>
          <t>无</t>
        </is>
      </c>
    </row>
    <row r="187">
      <c r="A187" s="16" t="inlineStr">
        <is>
          <t>XS-2508-00183</t>
        </is>
      </c>
      <c r="B187" s="34" t="n">
        <v>45911</v>
      </c>
      <c r="C187" s="16" t="inlineStr">
        <is>
          <t>NY-KW-2508-026</t>
        </is>
      </c>
      <c r="D187" s="16" t="inlineStr">
        <is>
          <t>连锁门店</t>
        </is>
      </c>
      <c r="E187" s="16" t="inlineStr">
        <is>
          <t>东莞</t>
        </is>
      </c>
      <c r="F187" s="35" t="n">
        <v>1050.6</v>
      </c>
      <c r="G187" s="35" t="n">
        <v>829.3</v>
      </c>
      <c r="H187" s="35" t="n">
        <v>221.3</v>
      </c>
      <c r="I187" s="35" t="n">
        <v>31.78</v>
      </c>
      <c r="J187" s="36" t="n">
        <v>33388.07</v>
      </c>
      <c r="K187" s="35" t="n">
        <v>12.6</v>
      </c>
      <c r="L187" s="35" t="n">
        <v>0</v>
      </c>
      <c r="M187" s="16" t="inlineStr">
        <is>
          <t>无</t>
        </is>
      </c>
    </row>
    <row r="188">
      <c r="A188" s="16" t="inlineStr">
        <is>
          <t>XS-2508-00184</t>
        </is>
      </c>
      <c r="B188" s="34" t="n">
        <v>45912</v>
      </c>
      <c r="C188" s="16" t="inlineStr">
        <is>
          <t>NY-KW-2508-026</t>
        </is>
      </c>
      <c r="D188" s="16" t="inlineStr">
        <is>
          <t>连锁门店</t>
        </is>
      </c>
      <c r="E188" s="16" t="inlineStr">
        <is>
          <t>东莞</t>
        </is>
      </c>
      <c r="F188" s="35" t="n">
        <v>1361.5</v>
      </c>
      <c r="G188" s="35" t="n">
        <v>771.6</v>
      </c>
      <c r="H188" s="35" t="n">
        <v>589.9</v>
      </c>
      <c r="I188" s="35" t="n">
        <v>33.78</v>
      </c>
      <c r="J188" s="36" t="n">
        <v>45991.47</v>
      </c>
      <c r="K188" s="35" t="n">
        <v>6.1</v>
      </c>
      <c r="L188" s="35" t="n">
        <v>1</v>
      </c>
      <c r="M188" s="16" t="inlineStr">
        <is>
          <t>偏软</t>
        </is>
      </c>
    </row>
    <row r="189">
      <c r="A189" s="16" t="inlineStr">
        <is>
          <t>XS-2508-00185</t>
        </is>
      </c>
      <c r="B189" s="34" t="n">
        <v>45913</v>
      </c>
      <c r="C189" s="16" t="inlineStr">
        <is>
          <t>NY-KW-2508-026</t>
        </is>
      </c>
      <c r="D189" s="16" t="inlineStr">
        <is>
          <t>企业团购</t>
        </is>
      </c>
      <c r="E189" s="16" t="inlineStr">
        <is>
          <t>广州</t>
        </is>
      </c>
      <c r="F189" s="35" t="n">
        <v>1055.7</v>
      </c>
      <c r="G189" s="35" t="n">
        <v>763.6</v>
      </c>
      <c r="H189" s="35" t="n">
        <v>292.1</v>
      </c>
      <c r="I189" s="35" t="n">
        <v>26.1</v>
      </c>
      <c r="J189" s="36" t="n">
        <v>27553.77</v>
      </c>
      <c r="K189" s="35" t="n">
        <v>7.4</v>
      </c>
      <c r="L189" s="35" t="n">
        <v>1</v>
      </c>
      <c r="M189" s="16" t="inlineStr">
        <is>
          <t>偏软</t>
        </is>
      </c>
    </row>
    <row r="190">
      <c r="A190" s="16" t="inlineStr">
        <is>
          <t>XS-2508-00186</t>
        </is>
      </c>
      <c r="B190" s="34" t="n">
        <v>45907</v>
      </c>
      <c r="C190" s="16" t="inlineStr">
        <is>
          <t>NY-KW-2508-027</t>
        </is>
      </c>
      <c r="D190" s="16" t="inlineStr">
        <is>
          <t>连锁门店</t>
        </is>
      </c>
      <c r="E190" s="16" t="inlineStr">
        <is>
          <t>惠州</t>
        </is>
      </c>
      <c r="F190" s="35" t="n">
        <v>1527.3</v>
      </c>
      <c r="G190" s="35" t="n">
        <v>1383.1</v>
      </c>
      <c r="H190" s="35" t="n">
        <v>144.2</v>
      </c>
      <c r="I190" s="35" t="n">
        <v>32.08</v>
      </c>
      <c r="J190" s="36" t="n">
        <v>48995.78</v>
      </c>
      <c r="K190" s="35" t="n">
        <v>11.9</v>
      </c>
      <c r="L190" s="35" t="n">
        <v>0</v>
      </c>
      <c r="M190" s="16" t="inlineStr">
        <is>
          <t>无</t>
        </is>
      </c>
    </row>
    <row r="191">
      <c r="A191" s="16" t="inlineStr">
        <is>
          <t>XS-2508-00187</t>
        </is>
      </c>
      <c r="B191" s="34" t="n">
        <v>45908</v>
      </c>
      <c r="C191" s="16" t="inlineStr">
        <is>
          <t>NY-KW-2508-027</t>
        </is>
      </c>
      <c r="D191" s="16" t="inlineStr">
        <is>
          <t>社区电商</t>
        </is>
      </c>
      <c r="E191" s="16" t="inlineStr">
        <is>
          <t>惠州</t>
        </is>
      </c>
      <c r="F191" s="35" t="n">
        <v>236</v>
      </c>
      <c r="G191" s="35" t="n">
        <v>209.7</v>
      </c>
      <c r="H191" s="35" t="n">
        <v>26.3</v>
      </c>
      <c r="I191" s="35" t="n">
        <v>28.18</v>
      </c>
      <c r="J191" s="36" t="n">
        <v>6650.48</v>
      </c>
      <c r="K191" s="35" t="n">
        <v>1.6</v>
      </c>
      <c r="L191" s="35" t="n">
        <v>0</v>
      </c>
      <c r="M191" s="16" t="inlineStr">
        <is>
          <t>无</t>
        </is>
      </c>
    </row>
    <row r="192">
      <c r="A192" s="16" t="inlineStr">
        <is>
          <t>XS-2508-00188</t>
        </is>
      </c>
      <c r="B192" s="34" t="n">
        <v>45909</v>
      </c>
      <c r="C192" s="16" t="inlineStr">
        <is>
          <t>NY-KW-2508-027</t>
        </is>
      </c>
      <c r="D192" s="16" t="inlineStr">
        <is>
          <t>连锁门店</t>
        </is>
      </c>
      <c r="E192" s="16" t="inlineStr">
        <is>
          <t>惠州</t>
        </is>
      </c>
      <c r="F192" s="35" t="n">
        <v>752.6</v>
      </c>
      <c r="G192" s="35" t="n">
        <v>629.9</v>
      </c>
      <c r="H192" s="35" t="n">
        <v>122.7</v>
      </c>
      <c r="I192" s="35" t="n">
        <v>35.2</v>
      </c>
      <c r="J192" s="36" t="n">
        <v>26491.52</v>
      </c>
      <c r="K192" s="35" t="n">
        <v>4.8</v>
      </c>
      <c r="L192" s="35" t="n">
        <v>3</v>
      </c>
      <c r="M192" s="16" t="inlineStr">
        <is>
          <t>偏硬</t>
        </is>
      </c>
    </row>
    <row r="193">
      <c r="A193" s="16" t="inlineStr">
        <is>
          <t>XS-2508-00189</t>
        </is>
      </c>
      <c r="B193" s="34" t="n">
        <v>45910</v>
      </c>
      <c r="C193" s="16" t="inlineStr">
        <is>
          <t>NY-KW-2508-027</t>
        </is>
      </c>
      <c r="D193" s="16" t="inlineStr">
        <is>
          <t>连锁门店</t>
        </is>
      </c>
      <c r="E193" s="16" t="inlineStr">
        <is>
          <t>广州</t>
        </is>
      </c>
      <c r="F193" s="35" t="n">
        <v>1394.2</v>
      </c>
      <c r="G193" s="35" t="n">
        <v>1081</v>
      </c>
      <c r="H193" s="35" t="n">
        <v>313.2</v>
      </c>
      <c r="I193" s="35" t="n">
        <v>38.16</v>
      </c>
      <c r="J193" s="36" t="n">
        <v>53202.67</v>
      </c>
      <c r="K193" s="35" t="n">
        <v>12.4</v>
      </c>
      <c r="L193" s="35" t="n">
        <v>0</v>
      </c>
      <c r="M193" s="16" t="inlineStr">
        <is>
          <t>无</t>
        </is>
      </c>
    </row>
    <row r="194">
      <c r="A194" s="16" t="inlineStr">
        <is>
          <t>XS-2508-00190</t>
        </is>
      </c>
      <c r="B194" s="34" t="n">
        <v>45911</v>
      </c>
      <c r="C194" s="16" t="inlineStr">
        <is>
          <t>NY-KW-2508-027</t>
        </is>
      </c>
      <c r="D194" s="16" t="inlineStr">
        <is>
          <t>社区电商</t>
        </is>
      </c>
      <c r="E194" s="16" t="inlineStr">
        <is>
          <t>广州</t>
        </is>
      </c>
      <c r="F194" s="35" t="n">
        <v>373</v>
      </c>
      <c r="G194" s="35" t="n">
        <v>307.8</v>
      </c>
      <c r="H194" s="35" t="n">
        <v>65.2</v>
      </c>
      <c r="I194" s="35" t="n">
        <v>36.55</v>
      </c>
      <c r="J194" s="36" t="n">
        <v>13633.15</v>
      </c>
      <c r="K194" s="35" t="n">
        <v>0.7</v>
      </c>
      <c r="L194" s="35" t="n">
        <v>0</v>
      </c>
      <c r="M194" s="16" t="inlineStr">
        <is>
          <t>无</t>
        </is>
      </c>
    </row>
    <row r="195">
      <c r="A195" s="16" t="inlineStr">
        <is>
          <t>XS-2508-00191</t>
        </is>
      </c>
      <c r="B195" s="34" t="n">
        <v>45912</v>
      </c>
      <c r="C195" s="16" t="inlineStr">
        <is>
          <t>NY-KW-2508-027</t>
        </is>
      </c>
      <c r="D195" s="16" t="inlineStr">
        <is>
          <t>批发客户</t>
        </is>
      </c>
      <c r="E195" s="16" t="inlineStr">
        <is>
          <t>东莞</t>
        </is>
      </c>
      <c r="F195" s="35" t="n">
        <v>1069.6</v>
      </c>
      <c r="G195" s="35" t="n">
        <v>790.3</v>
      </c>
      <c r="H195" s="35" t="n">
        <v>279.3</v>
      </c>
      <c r="I195" s="35" t="n">
        <v>35.63</v>
      </c>
      <c r="J195" s="36" t="n">
        <v>38109.85</v>
      </c>
      <c r="K195" s="35" t="n">
        <v>4.5</v>
      </c>
      <c r="L195" s="35" t="n">
        <v>0</v>
      </c>
      <c r="M195" s="16" t="inlineStr">
        <is>
          <t>无</t>
        </is>
      </c>
    </row>
    <row r="196">
      <c r="A196" s="16" t="inlineStr">
        <is>
          <t>XS-2508-00192</t>
        </is>
      </c>
      <c r="B196" s="34" t="n">
        <v>45913</v>
      </c>
      <c r="C196" s="16" t="inlineStr">
        <is>
          <t>NY-KW-2508-027</t>
        </is>
      </c>
      <c r="D196" s="16" t="inlineStr">
        <is>
          <t>连锁门店</t>
        </is>
      </c>
      <c r="E196" s="16" t="inlineStr">
        <is>
          <t>南宁</t>
        </is>
      </c>
      <c r="F196" s="35" t="n">
        <v>705.2</v>
      </c>
      <c r="G196" s="35" t="n">
        <v>522.5</v>
      </c>
      <c r="H196" s="35" t="n">
        <v>182.7</v>
      </c>
      <c r="I196" s="35" t="n">
        <v>30.31</v>
      </c>
      <c r="J196" s="36" t="n">
        <v>21374.61</v>
      </c>
      <c r="K196" s="35" t="n">
        <v>2</v>
      </c>
      <c r="L196" s="35" t="n">
        <v>0</v>
      </c>
      <c r="M196" s="16" t="inlineStr">
        <is>
          <t>无</t>
        </is>
      </c>
    </row>
    <row r="197">
      <c r="A197" s="16" t="inlineStr">
        <is>
          <t>XS-2508-00193</t>
        </is>
      </c>
      <c r="B197" s="34" t="n">
        <v>45914</v>
      </c>
      <c r="C197" s="16" t="inlineStr">
        <is>
          <t>NY-KW-2508-027</t>
        </is>
      </c>
      <c r="D197" s="16" t="inlineStr">
        <is>
          <t>企业团购</t>
        </is>
      </c>
      <c r="E197" s="16" t="inlineStr">
        <is>
          <t>惠州</t>
        </is>
      </c>
      <c r="F197" s="35" t="n">
        <v>1046.6</v>
      </c>
      <c r="G197" s="35" t="n">
        <v>800.7</v>
      </c>
      <c r="H197" s="35" t="n">
        <v>245.9</v>
      </c>
      <c r="I197" s="35" t="n">
        <v>33.49</v>
      </c>
      <c r="J197" s="36" t="n">
        <v>35050.63</v>
      </c>
      <c r="K197" s="35" t="n">
        <v>17.8</v>
      </c>
      <c r="L197" s="35" t="n">
        <v>0</v>
      </c>
      <c r="M197" s="16" t="inlineStr">
        <is>
          <t>无</t>
        </is>
      </c>
    </row>
    <row r="198">
      <c r="A198" s="16" t="inlineStr">
        <is>
          <t>XS-2508-00194</t>
        </is>
      </c>
      <c r="B198" s="34" t="n">
        <v>45915</v>
      </c>
      <c r="C198" s="16" t="inlineStr">
        <is>
          <t>NY-KW-2508-027</t>
        </is>
      </c>
      <c r="D198" s="16" t="inlineStr">
        <is>
          <t>企业团购</t>
        </is>
      </c>
      <c r="E198" s="16" t="inlineStr">
        <is>
          <t>南宁</t>
        </is>
      </c>
      <c r="F198" s="35" t="n">
        <v>655.8</v>
      </c>
      <c r="G198" s="35" t="n">
        <v>419.2</v>
      </c>
      <c r="H198" s="35" t="n">
        <v>236.6</v>
      </c>
      <c r="I198" s="35" t="n">
        <v>36.41</v>
      </c>
      <c r="J198" s="36" t="n">
        <v>23877.68</v>
      </c>
      <c r="K198" s="35" t="n">
        <v>7.5</v>
      </c>
      <c r="L198" s="35" t="n">
        <v>0</v>
      </c>
      <c r="M198" s="16" t="inlineStr">
        <is>
          <t>无</t>
        </is>
      </c>
    </row>
    <row r="199">
      <c r="A199" s="16" t="inlineStr">
        <is>
          <t>XS-2508-00195</t>
        </is>
      </c>
      <c r="B199" s="34" t="n">
        <v>45927</v>
      </c>
      <c r="C199" s="16" t="inlineStr">
        <is>
          <t>NY-KW-2508-028</t>
        </is>
      </c>
      <c r="D199" s="16" t="inlineStr">
        <is>
          <t>批发客户</t>
        </is>
      </c>
      <c r="E199" s="16" t="inlineStr">
        <is>
          <t>广州</t>
        </is>
      </c>
      <c r="F199" s="35" t="n">
        <v>1597.6</v>
      </c>
      <c r="G199" s="35" t="n">
        <v>1431.5</v>
      </c>
      <c r="H199" s="35" t="n">
        <v>166.1</v>
      </c>
      <c r="I199" s="35" t="n">
        <v>30.64</v>
      </c>
      <c r="J199" s="36" t="n">
        <v>48946.15</v>
      </c>
      <c r="K199" s="35" t="n">
        <v>21.4</v>
      </c>
      <c r="L199" s="35" t="n">
        <v>0</v>
      </c>
      <c r="M199" s="16" t="inlineStr">
        <is>
          <t>无</t>
        </is>
      </c>
    </row>
    <row r="200">
      <c r="A200" s="16" t="inlineStr">
        <is>
          <t>XS-2508-00196</t>
        </is>
      </c>
      <c r="B200" s="34" t="n">
        <v>45928</v>
      </c>
      <c r="C200" s="16" t="inlineStr">
        <is>
          <t>NY-KW-2508-028</t>
        </is>
      </c>
      <c r="D200" s="16" t="inlineStr">
        <is>
          <t>连锁门店</t>
        </is>
      </c>
      <c r="E200" s="16" t="inlineStr">
        <is>
          <t>惠州</t>
        </is>
      </c>
      <c r="F200" s="35" t="n">
        <v>1554.3</v>
      </c>
      <c r="G200" s="35" t="n">
        <v>1135</v>
      </c>
      <c r="H200" s="35" t="n">
        <v>419.3</v>
      </c>
      <c r="I200" s="35" t="n">
        <v>23.18</v>
      </c>
      <c r="J200" s="36" t="n">
        <v>36028.67</v>
      </c>
      <c r="K200" s="35" t="n">
        <v>28</v>
      </c>
      <c r="L200" s="35" t="n">
        <v>0</v>
      </c>
      <c r="M200" s="16" t="inlineStr">
        <is>
          <t>无</t>
        </is>
      </c>
    </row>
    <row r="201">
      <c r="A201" s="16" t="inlineStr">
        <is>
          <t>XS-2508-00197</t>
        </is>
      </c>
      <c r="B201" s="34" t="n">
        <v>45929</v>
      </c>
      <c r="C201" s="16" t="inlineStr">
        <is>
          <t>NY-KW-2508-028</t>
        </is>
      </c>
      <c r="D201" s="16" t="inlineStr">
        <is>
          <t>连锁门店</t>
        </is>
      </c>
      <c r="E201" s="16" t="inlineStr">
        <is>
          <t>东莞</t>
        </is>
      </c>
      <c r="F201" s="35" t="n">
        <v>1286.1</v>
      </c>
      <c r="G201" s="35" t="n">
        <v>981.3</v>
      </c>
      <c r="H201" s="35" t="n">
        <v>304.8</v>
      </c>
      <c r="I201" s="35" t="n">
        <v>24.16</v>
      </c>
      <c r="J201" s="36" t="n">
        <v>31072.18</v>
      </c>
      <c r="K201" s="35" t="n">
        <v>8.1</v>
      </c>
      <c r="L201" s="35" t="n">
        <v>0</v>
      </c>
      <c r="M201" s="16" t="inlineStr">
        <is>
          <t>无</t>
        </is>
      </c>
    </row>
    <row r="202">
      <c r="A202" s="16" t="inlineStr">
        <is>
          <t>XS-2508-00198</t>
        </is>
      </c>
      <c r="B202" s="34" t="n">
        <v>45930</v>
      </c>
      <c r="C202" s="16" t="inlineStr">
        <is>
          <t>NY-KW-2508-028</t>
        </is>
      </c>
      <c r="D202" s="16" t="inlineStr">
        <is>
          <t>连锁门店</t>
        </is>
      </c>
      <c r="E202" s="16" t="inlineStr">
        <is>
          <t>南宁</t>
        </is>
      </c>
      <c r="F202" s="35" t="n">
        <v>518.2</v>
      </c>
      <c r="G202" s="35" t="n">
        <v>458.8</v>
      </c>
      <c r="H202" s="35" t="n">
        <v>59.4</v>
      </c>
      <c r="I202" s="35" t="n">
        <v>24.1</v>
      </c>
      <c r="J202" s="36" t="n">
        <v>12488.62</v>
      </c>
      <c r="K202" s="35" t="n">
        <v>3.7</v>
      </c>
      <c r="L202" s="35" t="n">
        <v>2</v>
      </c>
      <c r="M202" s="16" t="inlineStr">
        <is>
          <t>外观</t>
        </is>
      </c>
    </row>
    <row r="203">
      <c r="A203" s="16" t="inlineStr">
        <is>
          <t>XS-2508-00199</t>
        </is>
      </c>
      <c r="B203" s="34" t="n">
        <v>45931</v>
      </c>
      <c r="C203" s="16" t="inlineStr">
        <is>
          <t>NY-KW-2508-028</t>
        </is>
      </c>
      <c r="D203" s="16" t="inlineStr">
        <is>
          <t>连锁门店</t>
        </is>
      </c>
      <c r="E203" s="16" t="inlineStr">
        <is>
          <t>广州</t>
        </is>
      </c>
      <c r="F203" s="35" t="n">
        <v>593.6</v>
      </c>
      <c r="G203" s="35" t="n">
        <v>476.5</v>
      </c>
      <c r="H203" s="35" t="n">
        <v>117.1</v>
      </c>
      <c r="I203" s="35" t="n">
        <v>27.74</v>
      </c>
      <c r="J203" s="36" t="n">
        <v>16466.46</v>
      </c>
      <c r="K203" s="35" t="n">
        <v>2.6</v>
      </c>
      <c r="L203" s="35" t="n">
        <v>0</v>
      </c>
      <c r="M203" s="16" t="inlineStr">
        <is>
          <t>无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2" customWidth="1" min="10" max="10"/>
    <col width="24" customWidth="1" min="11" max="11"/>
  </cols>
  <sheetData>
    <row r="1" ht="28" customHeight="1">
      <c r="A1" s="3" t="inlineStr">
        <is>
          <t>冷链温控</t>
        </is>
      </c>
    </row>
    <row r="2" ht="32" customHeight="1">
      <c r="A2" s="7" t="inlineStr">
        <is>
          <t>来源：企业经营数据样例/05_冷链温控记录.xlsx。保留原始逐笔记录；日期、数量、金额和比例按字段类型呈现。</t>
        </is>
      </c>
    </row>
    <row r="4" ht="30" customHeight="1">
      <c r="A4" s="13" t="inlineStr">
        <is>
          <t>批次号</t>
        </is>
      </c>
      <c r="B4" s="13" t="inlineStr">
        <is>
          <t>环节</t>
        </is>
      </c>
      <c r="C4" s="13" t="inlineStr">
        <is>
          <t>开始时间</t>
        </is>
      </c>
      <c r="D4" s="13" t="inlineStr">
        <is>
          <t>结束时间</t>
        </is>
      </c>
      <c r="E4" s="13" t="inlineStr">
        <is>
          <t>平均温度℃</t>
        </is>
      </c>
      <c r="F4" s="13" t="inlineStr">
        <is>
          <t>最高温度℃</t>
        </is>
      </c>
      <c r="G4" s="13" t="inlineStr">
        <is>
          <t>最低温度℃</t>
        </is>
      </c>
      <c r="H4" s="13" t="inlineStr">
        <is>
          <t>超温小时</t>
        </is>
      </c>
      <c r="I4" s="13" t="inlineStr">
        <is>
          <t>平均湿度</t>
        </is>
      </c>
      <c r="J4" s="13" t="inlineStr">
        <is>
          <t>是否断链</t>
        </is>
      </c>
      <c r="K4" s="13" t="inlineStr">
        <is>
          <t>记录备注</t>
        </is>
      </c>
    </row>
    <row r="5">
      <c r="A5" s="16" t="inlineStr">
        <is>
          <t>NY-KW-2508-001</t>
        </is>
      </c>
      <c r="B5" s="16" t="inlineStr">
        <is>
          <t>预冷</t>
        </is>
      </c>
      <c r="C5" s="34" t="n">
        <v>45894</v>
      </c>
      <c r="D5" s="34" t="n">
        <v>45894.58333333334</v>
      </c>
      <c r="E5" s="16" t="n">
        <v>2</v>
      </c>
      <c r="F5" s="16" t="n">
        <v>6.4</v>
      </c>
      <c r="G5" s="16" t="n">
        <v>1.2</v>
      </c>
      <c r="H5" s="35" t="n">
        <v>0.5</v>
      </c>
      <c r="I5" s="32" t="n">
        <v>0.846</v>
      </c>
      <c r="J5" s="16" t="inlineStr">
        <is>
          <t>否</t>
        </is>
      </c>
      <c r="K5" s="16" t="inlineStr">
        <is>
          <t>到店后常温暴露偏长</t>
        </is>
      </c>
    </row>
    <row r="6">
      <c r="A6" s="16" t="inlineStr">
        <is>
          <t>NY-KW-2508-001</t>
        </is>
      </c>
      <c r="B6" s="16" t="inlineStr">
        <is>
          <t>主仓冷藏</t>
        </is>
      </c>
      <c r="C6" s="34" t="n">
        <v>45894.33333333334</v>
      </c>
      <c r="D6" s="34" t="n">
        <v>45897.41666666666</v>
      </c>
      <c r="E6" s="16" t="n">
        <v>4.3</v>
      </c>
      <c r="F6" s="16" t="n">
        <v>7</v>
      </c>
      <c r="G6" s="16" t="n">
        <v>3.1</v>
      </c>
      <c r="H6" s="35" t="n">
        <v>0.3</v>
      </c>
      <c r="I6" s="32" t="n">
        <v>0.89</v>
      </c>
      <c r="J6" s="16" t="inlineStr">
        <is>
          <t>否</t>
        </is>
      </c>
      <c r="K6" s="16" t="inlineStr">
        <is>
          <t>温度波动</t>
        </is>
      </c>
    </row>
    <row r="7">
      <c r="A7" s="16" t="inlineStr">
        <is>
          <t>NY-KW-2508-001</t>
        </is>
      </c>
      <c r="B7" s="16" t="inlineStr">
        <is>
          <t>干线运输</t>
        </is>
      </c>
      <c r="C7" s="34" t="n">
        <v>45897.33333333334</v>
      </c>
      <c r="D7" s="34" t="n">
        <v>45897.91666666666</v>
      </c>
      <c r="E7" s="16" t="n">
        <v>6.4</v>
      </c>
      <c r="F7" s="16" t="n">
        <v>8.300000000000001</v>
      </c>
      <c r="G7" s="16" t="n">
        <v>4.4</v>
      </c>
      <c r="H7" s="35" t="n">
        <v>1.2</v>
      </c>
      <c r="I7" s="32" t="n">
        <v>0.825</v>
      </c>
      <c r="J7" s="16" t="inlineStr">
        <is>
          <t>否</t>
        </is>
      </c>
      <c r="K7" s="16" t="inlineStr">
        <is>
          <t>需关注</t>
        </is>
      </c>
    </row>
    <row r="8">
      <c r="A8" s="16" t="inlineStr">
        <is>
          <t>NY-KW-2508-001</t>
        </is>
      </c>
      <c r="B8" s="16" t="inlineStr">
        <is>
          <t>分仓暂存</t>
        </is>
      </c>
      <c r="C8" s="34" t="n">
        <v>45897.83333333334</v>
      </c>
      <c r="D8" s="34" t="n">
        <v>45898.95833333334</v>
      </c>
      <c r="E8" s="16" t="n">
        <v>2.7</v>
      </c>
      <c r="F8" s="16" t="n">
        <v>4.7</v>
      </c>
      <c r="G8" s="16" t="n">
        <v>1.6</v>
      </c>
      <c r="H8" s="35" t="n">
        <v>0</v>
      </c>
      <c r="I8" s="32" t="n">
        <v>0.853</v>
      </c>
      <c r="J8" s="16" t="inlineStr">
        <is>
          <t>否</t>
        </is>
      </c>
      <c r="K8" s="16" t="inlineStr">
        <is>
          <t>到店后常温暴露偏长</t>
        </is>
      </c>
    </row>
    <row r="9">
      <c r="A9" s="16" t="inlineStr">
        <is>
          <t>NY-KW-2508-001</t>
        </is>
      </c>
      <c r="B9" s="16" t="inlineStr">
        <is>
          <t>门店货架</t>
        </is>
      </c>
      <c r="C9" s="34" t="n">
        <v>45898.83333333334</v>
      </c>
      <c r="D9" s="34" t="n">
        <v>45900.25</v>
      </c>
      <c r="E9" s="16" t="n">
        <v>16.1</v>
      </c>
      <c r="F9" s="16" t="n">
        <v>19.2</v>
      </c>
      <c r="G9" s="16" t="n">
        <v>13.7</v>
      </c>
      <c r="H9" s="35" t="n">
        <v>4.2</v>
      </c>
      <c r="I9" s="32" t="n">
        <v>0.862</v>
      </c>
      <c r="J9" s="16" t="inlineStr">
        <is>
          <t>否</t>
        </is>
      </c>
      <c r="K9" s="16" t="inlineStr">
        <is>
          <t>需关注</t>
        </is>
      </c>
    </row>
    <row r="10">
      <c r="A10" s="16" t="inlineStr">
        <is>
          <t>NY-KW-2508-002</t>
        </is>
      </c>
      <c r="B10" s="16" t="inlineStr">
        <is>
          <t>预冷</t>
        </is>
      </c>
      <c r="C10" s="34" t="n">
        <v>45938</v>
      </c>
      <c r="D10" s="34" t="n">
        <v>45938.58333333334</v>
      </c>
      <c r="E10" s="16" t="n">
        <v>1.8</v>
      </c>
      <c r="F10" s="16" t="n">
        <v>5.9</v>
      </c>
      <c r="G10" s="16" t="n">
        <v>0</v>
      </c>
      <c r="H10" s="35" t="n">
        <v>0</v>
      </c>
      <c r="I10" s="32" t="n">
        <v>0.878</v>
      </c>
      <c r="J10" s="16" t="inlineStr">
        <is>
          <t>否</t>
        </is>
      </c>
      <c r="K10" s="16" t="inlineStr">
        <is>
          <t>到店后常温暴露偏长</t>
        </is>
      </c>
    </row>
    <row r="11">
      <c r="A11" s="16" t="inlineStr">
        <is>
          <t>NY-KW-2508-002</t>
        </is>
      </c>
      <c r="B11" s="16" t="inlineStr">
        <is>
          <t>主仓冷藏</t>
        </is>
      </c>
      <c r="C11" s="34" t="n">
        <v>45938.33333333334</v>
      </c>
      <c r="D11" s="34" t="n">
        <v>45941.33333333334</v>
      </c>
      <c r="E11" s="16" t="n">
        <v>4</v>
      </c>
      <c r="F11" s="16" t="n">
        <v>6.5</v>
      </c>
      <c r="G11" s="16" t="n">
        <v>2.3</v>
      </c>
      <c r="H11" s="35" t="n">
        <v>0.3</v>
      </c>
      <c r="I11" s="32" t="n">
        <v>0.83</v>
      </c>
      <c r="J11" s="16" t="inlineStr">
        <is>
          <t>否</t>
        </is>
      </c>
      <c r="K11" s="16" t="inlineStr">
        <is>
          <t>温度波动</t>
        </is>
      </c>
    </row>
    <row r="12">
      <c r="A12" s="16" t="inlineStr">
        <is>
          <t>NY-KW-2508-002</t>
        </is>
      </c>
      <c r="B12" s="16" t="inlineStr">
        <is>
          <t>干线运输</t>
        </is>
      </c>
      <c r="C12" s="34" t="n">
        <v>45941.33333333334</v>
      </c>
      <c r="D12" s="34" t="n">
        <v>45941.875</v>
      </c>
      <c r="E12" s="16" t="n">
        <v>3.7</v>
      </c>
      <c r="F12" s="16" t="n">
        <v>8.4</v>
      </c>
      <c r="G12" s="16" t="n">
        <v>3</v>
      </c>
      <c r="H12" s="35" t="n">
        <v>3.4</v>
      </c>
      <c r="I12" s="32" t="n">
        <v>0.833</v>
      </c>
      <c r="J12" s="16" t="inlineStr">
        <is>
          <t>否</t>
        </is>
      </c>
      <c r="K12" s="16" t="inlineStr">
        <is>
          <t>正常</t>
        </is>
      </c>
    </row>
    <row r="13">
      <c r="A13" s="16" t="inlineStr">
        <is>
          <t>NY-KW-2508-002</t>
        </is>
      </c>
      <c r="B13" s="16" t="inlineStr">
        <is>
          <t>分仓暂存</t>
        </is>
      </c>
      <c r="C13" s="34" t="n">
        <v>45941.83333333334</v>
      </c>
      <c r="D13" s="34" t="n">
        <v>45943.08333333334</v>
      </c>
      <c r="E13" s="16" t="n">
        <v>2.2</v>
      </c>
      <c r="F13" s="16" t="n">
        <v>5.7</v>
      </c>
      <c r="G13" s="16" t="n">
        <v>0</v>
      </c>
      <c r="H13" s="35" t="n">
        <v>0</v>
      </c>
      <c r="I13" s="32" t="n">
        <v>0.868</v>
      </c>
      <c r="J13" s="16" t="inlineStr">
        <is>
          <t>否</t>
        </is>
      </c>
      <c r="K13" s="16" t="inlineStr">
        <is>
          <t>需关注</t>
        </is>
      </c>
    </row>
    <row r="14">
      <c r="A14" s="16" t="inlineStr">
        <is>
          <t>NY-KW-2508-002</t>
        </is>
      </c>
      <c r="B14" s="16" t="inlineStr">
        <is>
          <t>门店货架</t>
        </is>
      </c>
      <c r="C14" s="34" t="n">
        <v>45942.83333333334</v>
      </c>
      <c r="D14" s="34" t="n">
        <v>45944.375</v>
      </c>
      <c r="E14" s="16" t="n">
        <v>18.1</v>
      </c>
      <c r="F14" s="16" t="n">
        <v>23.5</v>
      </c>
      <c r="G14" s="16" t="n">
        <v>16.1</v>
      </c>
      <c r="H14" s="35" t="n">
        <v>2.2</v>
      </c>
      <c r="I14" s="32" t="n">
        <v>0.916</v>
      </c>
      <c r="J14" s="16" t="inlineStr">
        <is>
          <t>否</t>
        </is>
      </c>
      <c r="K14" s="16" t="inlineStr">
        <is>
          <t>到店后常温暴露偏长</t>
        </is>
      </c>
    </row>
    <row r="15">
      <c r="A15" s="16" t="inlineStr">
        <is>
          <t>NY-KW-2508-003</t>
        </is>
      </c>
      <c r="B15" s="16" t="inlineStr">
        <is>
          <t>预冷</t>
        </is>
      </c>
      <c r="C15" s="34" t="n">
        <v>45921</v>
      </c>
      <c r="D15" s="34" t="n">
        <v>45921.58333333334</v>
      </c>
      <c r="E15" s="16" t="n">
        <v>1.7</v>
      </c>
      <c r="F15" s="16" t="n">
        <v>3.8</v>
      </c>
      <c r="G15" s="16" t="n">
        <v>0.7</v>
      </c>
      <c r="H15" s="35" t="n">
        <v>0</v>
      </c>
      <c r="I15" s="32" t="n">
        <v>0.921</v>
      </c>
      <c r="J15" s="16" t="inlineStr">
        <is>
          <t>否</t>
        </is>
      </c>
      <c r="K15" s="16" t="inlineStr">
        <is>
          <t>正常</t>
        </is>
      </c>
    </row>
    <row r="16">
      <c r="A16" s="16" t="inlineStr">
        <is>
          <t>NY-KW-2508-003</t>
        </is>
      </c>
      <c r="B16" s="16" t="inlineStr">
        <is>
          <t>主仓冷藏</t>
        </is>
      </c>
      <c r="C16" s="34" t="n">
        <v>45921.33333333334</v>
      </c>
      <c r="D16" s="34" t="n">
        <v>45924.375</v>
      </c>
      <c r="E16" s="16" t="n">
        <v>4.4</v>
      </c>
      <c r="F16" s="16" t="n">
        <v>6.8</v>
      </c>
      <c r="G16" s="16" t="n">
        <v>3.3</v>
      </c>
      <c r="H16" s="35" t="n">
        <v>0.4</v>
      </c>
      <c r="I16" s="32" t="n">
        <v>0.91</v>
      </c>
      <c r="J16" s="16" t="inlineStr">
        <is>
          <t>否</t>
        </is>
      </c>
      <c r="K16" s="16" t="inlineStr">
        <is>
          <t>温度波动</t>
        </is>
      </c>
    </row>
    <row r="17">
      <c r="A17" s="16" t="inlineStr">
        <is>
          <t>NY-KW-2508-003</t>
        </is>
      </c>
      <c r="B17" s="16" t="inlineStr">
        <is>
          <t>干线运输</t>
        </is>
      </c>
      <c r="C17" s="34" t="n">
        <v>45924.33333333334</v>
      </c>
      <c r="D17" s="34" t="n">
        <v>45924.83333333334</v>
      </c>
      <c r="E17" s="16" t="n">
        <v>7</v>
      </c>
      <c r="F17" s="16" t="n">
        <v>11.1</v>
      </c>
      <c r="G17" s="16" t="n">
        <v>5.6</v>
      </c>
      <c r="H17" s="35" t="n">
        <v>7.6</v>
      </c>
      <c r="I17" s="32" t="n">
        <v>0.851</v>
      </c>
      <c r="J17" s="16" t="inlineStr">
        <is>
          <t>否</t>
        </is>
      </c>
      <c r="K17" s="16" t="inlineStr">
        <is>
          <t>温度波动</t>
        </is>
      </c>
    </row>
    <row r="18">
      <c r="A18" s="16" t="inlineStr">
        <is>
          <t>NY-KW-2508-003</t>
        </is>
      </c>
      <c r="B18" s="16" t="inlineStr">
        <is>
          <t>分仓暂存</t>
        </is>
      </c>
      <c r="C18" s="34" t="n">
        <v>45924.83333333334</v>
      </c>
      <c r="D18" s="34" t="n">
        <v>45925.83333333334</v>
      </c>
      <c r="E18" s="16" t="n">
        <v>4.4</v>
      </c>
      <c r="F18" s="16" t="n">
        <v>8.6</v>
      </c>
      <c r="G18" s="16" t="n">
        <v>2.1</v>
      </c>
      <c r="H18" s="35" t="n">
        <v>3.5</v>
      </c>
      <c r="I18" s="32" t="n">
        <v>0.884</v>
      </c>
      <c r="J18" s="16" t="inlineStr">
        <is>
          <t>否</t>
        </is>
      </c>
      <c r="K18" s="16" t="inlineStr">
        <is>
          <t>到店后常温暴露偏长</t>
        </is>
      </c>
    </row>
    <row r="19">
      <c r="A19" s="16" t="inlineStr">
        <is>
          <t>NY-KW-2508-003</t>
        </is>
      </c>
      <c r="B19" s="16" t="inlineStr">
        <is>
          <t>门店货架</t>
        </is>
      </c>
      <c r="C19" s="34" t="n">
        <v>45925.83333333334</v>
      </c>
      <c r="D19" s="34" t="n">
        <v>45927.45833333334</v>
      </c>
      <c r="E19" s="16" t="n">
        <v>12.8</v>
      </c>
      <c r="F19" s="16" t="n">
        <v>14</v>
      </c>
      <c r="G19" s="16" t="n">
        <v>11.9</v>
      </c>
      <c r="H19" s="35" t="n">
        <v>0</v>
      </c>
      <c r="I19" s="32" t="n">
        <v>0.806</v>
      </c>
      <c r="J19" s="16" t="inlineStr">
        <is>
          <t>否</t>
        </is>
      </c>
      <c r="K19" s="16" t="inlineStr">
        <is>
          <t>温度波动</t>
        </is>
      </c>
    </row>
    <row r="20">
      <c r="A20" s="16" t="inlineStr">
        <is>
          <t>NY-KW-2508-004</t>
        </is>
      </c>
      <c r="B20" s="16" t="inlineStr">
        <is>
          <t>预冷</t>
        </is>
      </c>
      <c r="C20" s="34" t="n">
        <v>45937</v>
      </c>
      <c r="D20" s="34" t="n">
        <v>45937.54166666666</v>
      </c>
      <c r="E20" s="16" t="n">
        <v>3.1</v>
      </c>
      <c r="F20" s="16" t="n">
        <v>7.8</v>
      </c>
      <c r="G20" s="16" t="n">
        <v>1.1</v>
      </c>
      <c r="H20" s="35" t="n">
        <v>2.3</v>
      </c>
      <c r="I20" s="32" t="n">
        <v>0.915</v>
      </c>
      <c r="J20" s="16" t="inlineStr">
        <is>
          <t>否</t>
        </is>
      </c>
      <c r="K20" s="16" t="inlineStr">
        <is>
          <t>温度波动</t>
        </is>
      </c>
    </row>
    <row r="21">
      <c r="A21" s="16" t="inlineStr">
        <is>
          <t>NY-KW-2508-004</t>
        </is>
      </c>
      <c r="B21" s="16" t="inlineStr">
        <is>
          <t>主仓冷藏</t>
        </is>
      </c>
      <c r="C21" s="34" t="n">
        <v>45937.33333333334</v>
      </c>
      <c r="D21" s="34" t="n">
        <v>45940.29166666666</v>
      </c>
      <c r="E21" s="16" t="n">
        <v>4</v>
      </c>
      <c r="F21" s="16" t="n">
        <v>6.8</v>
      </c>
      <c r="G21" s="16" t="n">
        <v>1.9</v>
      </c>
      <c r="H21" s="35" t="n">
        <v>0.2</v>
      </c>
      <c r="I21" s="32" t="n">
        <v>0.794</v>
      </c>
      <c r="J21" s="16" t="inlineStr">
        <is>
          <t>否</t>
        </is>
      </c>
      <c r="K21" s="16" t="inlineStr">
        <is>
          <t>正常</t>
        </is>
      </c>
    </row>
    <row r="22">
      <c r="A22" s="16" t="inlineStr">
        <is>
          <t>NY-KW-2508-004</t>
        </is>
      </c>
      <c r="B22" s="16" t="inlineStr">
        <is>
          <t>干线运输</t>
        </is>
      </c>
      <c r="C22" s="34" t="n">
        <v>45940.33333333334</v>
      </c>
      <c r="D22" s="34" t="n">
        <v>45940.875</v>
      </c>
      <c r="E22" s="16" t="n">
        <v>6.3</v>
      </c>
      <c r="F22" s="16" t="n">
        <v>9.699999999999999</v>
      </c>
      <c r="G22" s="16" t="n">
        <v>4.4</v>
      </c>
      <c r="H22" s="35" t="n">
        <v>1.8</v>
      </c>
      <c r="I22" s="32" t="n">
        <v>0.908</v>
      </c>
      <c r="J22" s="16" t="inlineStr">
        <is>
          <t>否</t>
        </is>
      </c>
      <c r="K22" s="16" t="inlineStr">
        <is>
          <t>到店后常温暴露偏长</t>
        </is>
      </c>
    </row>
    <row r="23">
      <c r="A23" s="16" t="inlineStr">
        <is>
          <t>NY-KW-2508-004</t>
        </is>
      </c>
      <c r="B23" s="16" t="inlineStr">
        <is>
          <t>分仓暂存</t>
        </is>
      </c>
      <c r="C23" s="34" t="n">
        <v>45940.83333333334</v>
      </c>
      <c r="D23" s="34" t="n">
        <v>45942.08333333334</v>
      </c>
      <c r="E23" s="16" t="n">
        <v>3.8</v>
      </c>
      <c r="F23" s="16" t="n">
        <v>8.800000000000001</v>
      </c>
      <c r="G23" s="16" t="n">
        <v>1.4</v>
      </c>
      <c r="H23" s="35" t="n">
        <v>3.1</v>
      </c>
      <c r="I23" s="32" t="n">
        <v>0.804</v>
      </c>
      <c r="J23" s="16" t="inlineStr">
        <is>
          <t>否</t>
        </is>
      </c>
      <c r="K23" s="16" t="inlineStr">
        <is>
          <t>温度波动</t>
        </is>
      </c>
    </row>
    <row r="24">
      <c r="A24" s="16" t="inlineStr">
        <is>
          <t>NY-KW-2508-004</t>
        </is>
      </c>
      <c r="B24" s="16" t="inlineStr">
        <is>
          <t>门店货架</t>
        </is>
      </c>
      <c r="C24" s="34" t="n">
        <v>45941.83333333334</v>
      </c>
      <c r="D24" s="34" t="n">
        <v>45943.33333333334</v>
      </c>
      <c r="E24" s="16" t="n">
        <v>13.6</v>
      </c>
      <c r="F24" s="16" t="n">
        <v>16.9</v>
      </c>
      <c r="G24" s="16" t="n">
        <v>11.5</v>
      </c>
      <c r="H24" s="35" t="n">
        <v>2.3</v>
      </c>
      <c r="I24" s="32" t="n">
        <v>0.822</v>
      </c>
      <c r="J24" s="16" t="inlineStr">
        <is>
          <t>否</t>
        </is>
      </c>
      <c r="K24" s="16" t="inlineStr">
        <is>
          <t>到店后常温暴露偏长</t>
        </is>
      </c>
    </row>
    <row r="25">
      <c r="A25" s="16" t="inlineStr">
        <is>
          <t>NY-KW-2508-005</t>
        </is>
      </c>
      <c r="B25" s="16" t="inlineStr">
        <is>
          <t>预冷</t>
        </is>
      </c>
      <c r="C25" s="34" t="n">
        <v>45930</v>
      </c>
      <c r="D25" s="34" t="n">
        <v>45930.5</v>
      </c>
      <c r="E25" s="16" t="n">
        <v>3.3</v>
      </c>
      <c r="F25" s="16" t="n">
        <v>7.5</v>
      </c>
      <c r="G25" s="16" t="n">
        <v>2.5</v>
      </c>
      <c r="H25" s="35" t="n">
        <v>1.7</v>
      </c>
      <c r="I25" s="32" t="n">
        <v>0.803</v>
      </c>
      <c r="J25" s="16" t="inlineStr">
        <is>
          <t>否</t>
        </is>
      </c>
      <c r="K25" s="16" t="inlineStr">
        <is>
          <t>正常</t>
        </is>
      </c>
    </row>
    <row r="26">
      <c r="A26" s="16" t="inlineStr">
        <is>
          <t>NY-KW-2508-005</t>
        </is>
      </c>
      <c r="B26" s="16" t="inlineStr">
        <is>
          <t>主仓冷藏</t>
        </is>
      </c>
      <c r="C26" s="34" t="n">
        <v>45930.33333333334</v>
      </c>
      <c r="D26" s="34" t="n">
        <v>45933.25</v>
      </c>
      <c r="E26" s="16" t="n">
        <v>2.3</v>
      </c>
      <c r="F26" s="16" t="n">
        <v>6.2</v>
      </c>
      <c r="G26" s="16" t="n">
        <v>0.2</v>
      </c>
      <c r="H26" s="35" t="n">
        <v>0.1</v>
      </c>
      <c r="I26" s="32" t="n">
        <v>0.874</v>
      </c>
      <c r="J26" s="16" t="inlineStr">
        <is>
          <t>否</t>
        </is>
      </c>
      <c r="K26" s="16" t="inlineStr">
        <is>
          <t>需关注</t>
        </is>
      </c>
    </row>
    <row r="27">
      <c r="A27" s="16" t="inlineStr">
        <is>
          <t>NY-KW-2508-005</t>
        </is>
      </c>
      <c r="B27" s="16" t="inlineStr">
        <is>
          <t>干线运输</t>
        </is>
      </c>
      <c r="C27" s="34" t="n">
        <v>45933.33333333334</v>
      </c>
      <c r="D27" s="34" t="n">
        <v>45933.83333333334</v>
      </c>
      <c r="E27" s="16" t="n">
        <v>5.1</v>
      </c>
      <c r="F27" s="16" t="n">
        <v>9.300000000000001</v>
      </c>
      <c r="G27" s="16" t="n">
        <v>4</v>
      </c>
      <c r="H27" s="35" t="n">
        <v>0.8</v>
      </c>
      <c r="I27" s="32" t="n">
        <v>0.854</v>
      </c>
      <c r="J27" s="16" t="inlineStr">
        <is>
          <t>否</t>
        </is>
      </c>
      <c r="K27" s="16" t="inlineStr">
        <is>
          <t>温度波动</t>
        </is>
      </c>
    </row>
    <row r="28">
      <c r="A28" s="16" t="inlineStr">
        <is>
          <t>NY-KW-2508-005</t>
        </is>
      </c>
      <c r="B28" s="16" t="inlineStr">
        <is>
          <t>分仓暂存</t>
        </is>
      </c>
      <c r="C28" s="34" t="n">
        <v>45933.83333333334</v>
      </c>
      <c r="D28" s="34" t="n">
        <v>45935.08333333334</v>
      </c>
      <c r="E28" s="16" t="n">
        <v>3.5</v>
      </c>
      <c r="F28" s="16" t="n">
        <v>8.4</v>
      </c>
      <c r="G28" s="16" t="n">
        <v>1.4</v>
      </c>
      <c r="H28" s="35" t="n">
        <v>2.7</v>
      </c>
      <c r="I28" s="32" t="n">
        <v>0.876</v>
      </c>
      <c r="J28" s="16" t="inlineStr">
        <is>
          <t>否</t>
        </is>
      </c>
      <c r="K28" s="16" t="inlineStr">
        <is>
          <t>温度波动</t>
        </is>
      </c>
    </row>
    <row r="29">
      <c r="A29" s="16" t="inlineStr">
        <is>
          <t>NY-KW-2508-005</t>
        </is>
      </c>
      <c r="B29" s="16" t="inlineStr">
        <is>
          <t>门店货架</t>
        </is>
      </c>
      <c r="C29" s="34" t="n">
        <v>45934.83333333334</v>
      </c>
      <c r="D29" s="34" t="n">
        <v>45936.29166666666</v>
      </c>
      <c r="E29" s="16" t="n">
        <v>11.9</v>
      </c>
      <c r="F29" s="16" t="n">
        <v>15.8</v>
      </c>
      <c r="G29" s="16" t="n">
        <v>9.5</v>
      </c>
      <c r="H29" s="35" t="n">
        <v>1.7</v>
      </c>
      <c r="I29" s="32" t="n">
        <v>0.891</v>
      </c>
      <c r="J29" s="16" t="inlineStr">
        <is>
          <t>否</t>
        </is>
      </c>
      <c r="K29" s="16" t="inlineStr">
        <is>
          <t>需关注</t>
        </is>
      </c>
    </row>
    <row r="30">
      <c r="A30" s="16" t="inlineStr">
        <is>
          <t>NY-KW-2508-006</t>
        </is>
      </c>
      <c r="B30" s="16" t="inlineStr">
        <is>
          <t>预冷</t>
        </is>
      </c>
      <c r="C30" s="34" t="n">
        <v>45903</v>
      </c>
      <c r="D30" s="34" t="n">
        <v>45903.33333333334</v>
      </c>
      <c r="E30" s="16" t="n">
        <v>1.6</v>
      </c>
      <c r="F30" s="16" t="n">
        <v>3.2</v>
      </c>
      <c r="G30" s="16" t="n">
        <v>0.6</v>
      </c>
      <c r="H30" s="35" t="n">
        <v>0</v>
      </c>
      <c r="I30" s="32" t="n">
        <v>0.918</v>
      </c>
      <c r="J30" s="16" t="inlineStr">
        <is>
          <t>否</t>
        </is>
      </c>
      <c r="K30" s="16" t="inlineStr">
        <is>
          <t>需关注</t>
        </is>
      </c>
    </row>
    <row r="31">
      <c r="A31" s="16" t="inlineStr">
        <is>
          <t>NY-KW-2508-006</t>
        </is>
      </c>
      <c r="B31" s="16" t="inlineStr">
        <is>
          <t>主仓冷藏</t>
        </is>
      </c>
      <c r="C31" s="34" t="n">
        <v>45903.33333333334</v>
      </c>
      <c r="D31" s="34" t="n">
        <v>45906.58333333334</v>
      </c>
      <c r="E31" s="16" t="n">
        <v>1.6</v>
      </c>
      <c r="F31" s="16" t="n">
        <v>6.1</v>
      </c>
      <c r="G31" s="16" t="n">
        <v>0</v>
      </c>
      <c r="H31" s="35" t="n">
        <v>0.1</v>
      </c>
      <c r="I31" s="32" t="n">
        <v>0.836</v>
      </c>
      <c r="J31" s="16" t="inlineStr">
        <is>
          <t>否</t>
        </is>
      </c>
      <c r="K31" s="16" t="inlineStr">
        <is>
          <t>正常</t>
        </is>
      </c>
    </row>
    <row r="32">
      <c r="A32" s="16" t="inlineStr">
        <is>
          <t>NY-KW-2508-006</t>
        </is>
      </c>
      <c r="B32" s="16" t="inlineStr">
        <is>
          <t>干线运输</t>
        </is>
      </c>
      <c r="C32" s="34" t="n">
        <v>45906.33333333334</v>
      </c>
      <c r="D32" s="34" t="n">
        <v>45906.66666666666</v>
      </c>
      <c r="E32" s="16" t="n">
        <v>5.4</v>
      </c>
      <c r="F32" s="16" t="n">
        <v>6.6</v>
      </c>
      <c r="G32" s="16" t="n">
        <v>4.2</v>
      </c>
      <c r="H32" s="35" t="n">
        <v>0.3</v>
      </c>
      <c r="I32" s="32" t="n">
        <v>0.864</v>
      </c>
      <c r="J32" s="16" t="inlineStr">
        <is>
          <t>否</t>
        </is>
      </c>
      <c r="K32" s="16" t="inlineStr">
        <is>
          <t>温度波动</t>
        </is>
      </c>
    </row>
    <row r="33">
      <c r="A33" s="16" t="inlineStr">
        <is>
          <t>NY-KW-2508-006</t>
        </is>
      </c>
      <c r="B33" s="16" t="inlineStr">
        <is>
          <t>分仓暂存</t>
        </is>
      </c>
      <c r="C33" s="34" t="n">
        <v>45906.83333333334</v>
      </c>
      <c r="D33" s="34" t="n">
        <v>45907.79166666666</v>
      </c>
      <c r="E33" s="16" t="n">
        <v>3.7</v>
      </c>
      <c r="F33" s="16" t="n">
        <v>4.8</v>
      </c>
      <c r="G33" s="16" t="n">
        <v>2</v>
      </c>
      <c r="H33" s="35" t="n">
        <v>0</v>
      </c>
      <c r="I33" s="32" t="n">
        <v>0.884</v>
      </c>
      <c r="J33" s="16" t="inlineStr">
        <is>
          <t>否</t>
        </is>
      </c>
      <c r="K33" s="16" t="inlineStr">
        <is>
          <t>温度波动</t>
        </is>
      </c>
    </row>
    <row r="34">
      <c r="A34" s="16" t="inlineStr">
        <is>
          <t>NY-KW-2508-006</t>
        </is>
      </c>
      <c r="B34" s="16" t="inlineStr">
        <is>
          <t>门店货架</t>
        </is>
      </c>
      <c r="C34" s="34" t="n">
        <v>45907.83333333334</v>
      </c>
      <c r="D34" s="34" t="n">
        <v>45909.54166666666</v>
      </c>
      <c r="E34" s="16" t="n">
        <v>14.2</v>
      </c>
      <c r="F34" s="16" t="n">
        <v>16.7</v>
      </c>
      <c r="G34" s="16" t="n">
        <v>13.6</v>
      </c>
      <c r="H34" s="35" t="n">
        <v>2.8</v>
      </c>
      <c r="I34" s="32" t="n">
        <v>0.891</v>
      </c>
      <c r="J34" s="16" t="inlineStr">
        <is>
          <t>否</t>
        </is>
      </c>
      <c r="K34" s="16" t="inlineStr">
        <is>
          <t>到店后常温暴露偏长</t>
        </is>
      </c>
    </row>
    <row r="35">
      <c r="A35" s="16" t="inlineStr">
        <is>
          <t>NY-KW-2508-007</t>
        </is>
      </c>
      <c r="B35" s="16" t="inlineStr">
        <is>
          <t>预冷</t>
        </is>
      </c>
      <c r="C35" s="34" t="n">
        <v>45924</v>
      </c>
      <c r="D35" s="34" t="n">
        <v>45924.41666666666</v>
      </c>
      <c r="E35" s="16" t="n">
        <v>1.9</v>
      </c>
      <c r="F35" s="16" t="n">
        <v>6.4</v>
      </c>
      <c r="G35" s="16" t="n">
        <v>0.5</v>
      </c>
      <c r="H35" s="35" t="n">
        <v>0.1</v>
      </c>
      <c r="I35" s="32" t="n">
        <v>0.832</v>
      </c>
      <c r="J35" s="16" t="inlineStr">
        <is>
          <t>否</t>
        </is>
      </c>
      <c r="K35" s="16" t="inlineStr">
        <is>
          <t>需关注</t>
        </is>
      </c>
    </row>
    <row r="36">
      <c r="A36" s="16" t="inlineStr">
        <is>
          <t>NY-KW-2508-007</t>
        </is>
      </c>
      <c r="B36" s="16" t="inlineStr">
        <is>
          <t>主仓冷藏</t>
        </is>
      </c>
      <c r="C36" s="34" t="n">
        <v>45924.33333333334</v>
      </c>
      <c r="D36" s="34" t="n">
        <v>45927.58333333334</v>
      </c>
      <c r="E36" s="16" t="n">
        <v>2.7</v>
      </c>
      <c r="F36" s="16" t="n">
        <v>6.7</v>
      </c>
      <c r="G36" s="16" t="n">
        <v>1.6</v>
      </c>
      <c r="H36" s="35" t="n">
        <v>0.7</v>
      </c>
      <c r="I36" s="32" t="n">
        <v>0.907</v>
      </c>
      <c r="J36" s="16" t="inlineStr">
        <is>
          <t>否</t>
        </is>
      </c>
      <c r="K36" s="16" t="inlineStr">
        <is>
          <t>正常</t>
        </is>
      </c>
    </row>
    <row r="37">
      <c r="A37" s="16" t="inlineStr">
        <is>
          <t>NY-KW-2508-007</t>
        </is>
      </c>
      <c r="B37" s="16" t="inlineStr">
        <is>
          <t>干线运输</t>
        </is>
      </c>
      <c r="C37" s="34" t="n">
        <v>45927.33333333334</v>
      </c>
      <c r="D37" s="34" t="n">
        <v>45927.95833333334</v>
      </c>
      <c r="E37" s="16" t="n">
        <v>3.6</v>
      </c>
      <c r="F37" s="16" t="n">
        <v>5.7</v>
      </c>
      <c r="G37" s="16" t="n">
        <v>2.2</v>
      </c>
      <c r="H37" s="35" t="n">
        <v>0</v>
      </c>
      <c r="I37" s="32" t="n">
        <v>0.8100000000000001</v>
      </c>
      <c r="J37" s="16" t="inlineStr">
        <is>
          <t>否</t>
        </is>
      </c>
      <c r="K37" s="16" t="inlineStr">
        <is>
          <t>温度波动</t>
        </is>
      </c>
    </row>
    <row r="38">
      <c r="A38" s="16" t="inlineStr">
        <is>
          <t>NY-KW-2508-007</t>
        </is>
      </c>
      <c r="B38" s="16" t="inlineStr">
        <is>
          <t>分仓暂存</t>
        </is>
      </c>
      <c r="C38" s="34" t="n">
        <v>45927.83333333334</v>
      </c>
      <c r="D38" s="34" t="n">
        <v>45929.08333333334</v>
      </c>
      <c r="E38" s="16" t="n">
        <v>1.6</v>
      </c>
      <c r="F38" s="16" t="n">
        <v>7</v>
      </c>
      <c r="G38" s="16" t="n">
        <v>0.2</v>
      </c>
      <c r="H38" s="35" t="n">
        <v>1</v>
      </c>
      <c r="I38" s="32" t="n">
        <v>0.906</v>
      </c>
      <c r="J38" s="16" t="inlineStr">
        <is>
          <t>否</t>
        </is>
      </c>
      <c r="K38" s="16" t="inlineStr">
        <is>
          <t>需关注</t>
        </is>
      </c>
    </row>
    <row r="39">
      <c r="A39" s="16" t="inlineStr">
        <is>
          <t>NY-KW-2508-007</t>
        </is>
      </c>
      <c r="B39" s="16" t="inlineStr">
        <is>
          <t>门店货架</t>
        </is>
      </c>
      <c r="C39" s="34" t="n">
        <v>45928.83333333334</v>
      </c>
      <c r="D39" s="34" t="n">
        <v>45930.54166666666</v>
      </c>
      <c r="E39" s="16" t="n">
        <v>13</v>
      </c>
      <c r="F39" s="16" t="n">
        <v>16.3</v>
      </c>
      <c r="G39" s="16" t="n">
        <v>11.9</v>
      </c>
      <c r="H39" s="35" t="n">
        <v>1.4</v>
      </c>
      <c r="I39" s="32" t="n">
        <v>0.852</v>
      </c>
      <c r="J39" s="16" t="inlineStr">
        <is>
          <t>否</t>
        </is>
      </c>
      <c r="K39" s="16" t="inlineStr">
        <is>
          <t>需关注</t>
        </is>
      </c>
    </row>
    <row r="40">
      <c r="A40" s="16" t="inlineStr">
        <is>
          <t>NY-KW-2508-008</t>
        </is>
      </c>
      <c r="B40" s="16" t="inlineStr">
        <is>
          <t>预冷</t>
        </is>
      </c>
      <c r="C40" s="34" t="n">
        <v>45936</v>
      </c>
      <c r="D40" s="34" t="n">
        <v>45936.375</v>
      </c>
      <c r="E40" s="16" t="n">
        <v>2</v>
      </c>
      <c r="F40" s="16" t="n">
        <v>4.5</v>
      </c>
      <c r="G40" s="16" t="n">
        <v>1</v>
      </c>
      <c r="H40" s="35" t="n">
        <v>0</v>
      </c>
      <c r="I40" s="32" t="n">
        <v>0.895</v>
      </c>
      <c r="J40" s="16" t="inlineStr">
        <is>
          <t>否</t>
        </is>
      </c>
      <c r="K40" s="16" t="inlineStr">
        <is>
          <t>温度波动</t>
        </is>
      </c>
    </row>
    <row r="41">
      <c r="A41" s="16" t="inlineStr">
        <is>
          <t>NY-KW-2508-008</t>
        </is>
      </c>
      <c r="B41" s="16" t="inlineStr">
        <is>
          <t>主仓冷藏</t>
        </is>
      </c>
      <c r="C41" s="34" t="n">
        <v>45936.33333333334</v>
      </c>
      <c r="D41" s="34" t="n">
        <v>45939.29166666666</v>
      </c>
      <c r="E41" s="16" t="n">
        <v>2.6</v>
      </c>
      <c r="F41" s="16" t="n">
        <v>6</v>
      </c>
      <c r="G41" s="16" t="n">
        <v>1</v>
      </c>
      <c r="H41" s="35" t="n">
        <v>0</v>
      </c>
      <c r="I41" s="32" t="n">
        <v>0.8120000000000001</v>
      </c>
      <c r="J41" s="16" t="inlineStr">
        <is>
          <t>否</t>
        </is>
      </c>
      <c r="K41" s="16" t="inlineStr">
        <is>
          <t>到店后常温暴露偏长</t>
        </is>
      </c>
    </row>
    <row r="42">
      <c r="A42" s="16" t="inlineStr">
        <is>
          <t>NY-KW-2508-008</t>
        </is>
      </c>
      <c r="B42" s="16" t="inlineStr">
        <is>
          <t>干线运输</t>
        </is>
      </c>
      <c r="C42" s="34" t="n">
        <v>45939.33333333334</v>
      </c>
      <c r="D42" s="34" t="n">
        <v>45939.79166666666</v>
      </c>
      <c r="E42" s="16" t="n">
        <v>6.4</v>
      </c>
      <c r="F42" s="16" t="n">
        <v>8.9</v>
      </c>
      <c r="G42" s="16" t="n">
        <v>4.6</v>
      </c>
      <c r="H42" s="35" t="n">
        <v>4.1</v>
      </c>
      <c r="I42" s="32" t="n">
        <v>0.845</v>
      </c>
      <c r="J42" s="16" t="inlineStr">
        <is>
          <t>否</t>
        </is>
      </c>
      <c r="K42" s="16" t="inlineStr">
        <is>
          <t>需关注</t>
        </is>
      </c>
    </row>
    <row r="43">
      <c r="A43" s="16" t="inlineStr">
        <is>
          <t>NY-KW-2508-008</t>
        </is>
      </c>
      <c r="B43" s="16" t="inlineStr">
        <is>
          <t>分仓暂存</t>
        </is>
      </c>
      <c r="C43" s="34" t="n">
        <v>45939.83333333334</v>
      </c>
      <c r="D43" s="34" t="n">
        <v>45940.91666666666</v>
      </c>
      <c r="E43" s="16" t="n">
        <v>3</v>
      </c>
      <c r="F43" s="16" t="n">
        <v>7</v>
      </c>
      <c r="G43" s="16" t="n">
        <v>1.3</v>
      </c>
      <c r="H43" s="35" t="n">
        <v>1.4</v>
      </c>
      <c r="I43" s="32" t="n">
        <v>0.834</v>
      </c>
      <c r="J43" s="16" t="inlineStr">
        <is>
          <t>否</t>
        </is>
      </c>
      <c r="K43" s="16" t="inlineStr">
        <is>
          <t>到店后常温暴露偏长</t>
        </is>
      </c>
    </row>
    <row r="44">
      <c r="A44" s="16" t="inlineStr">
        <is>
          <t>NY-KW-2508-008</t>
        </is>
      </c>
      <c r="B44" s="16" t="inlineStr">
        <is>
          <t>门店货架</t>
        </is>
      </c>
      <c r="C44" s="34" t="n">
        <v>45940.83333333334</v>
      </c>
      <c r="D44" s="34" t="n">
        <v>45942.5</v>
      </c>
      <c r="E44" s="16" t="n">
        <v>12.1</v>
      </c>
      <c r="F44" s="16" t="n">
        <v>16.1</v>
      </c>
      <c r="G44" s="16" t="n">
        <v>10</v>
      </c>
      <c r="H44" s="35" t="n">
        <v>2.3</v>
      </c>
      <c r="I44" s="32" t="n">
        <v>0.796</v>
      </c>
      <c r="J44" s="16" t="inlineStr">
        <is>
          <t>否</t>
        </is>
      </c>
      <c r="K44" s="16" t="inlineStr">
        <is>
          <t>正常</t>
        </is>
      </c>
    </row>
    <row r="45">
      <c r="A45" s="16" t="inlineStr">
        <is>
          <t>NY-KW-2508-009</t>
        </is>
      </c>
      <c r="B45" s="16" t="inlineStr">
        <is>
          <t>预冷</t>
        </is>
      </c>
      <c r="C45" s="34" t="n">
        <v>45925</v>
      </c>
      <c r="D45" s="34" t="n">
        <v>45925.375</v>
      </c>
      <c r="E45" s="16" t="n">
        <v>2.1</v>
      </c>
      <c r="F45" s="16" t="n">
        <v>4.6</v>
      </c>
      <c r="G45" s="16" t="n">
        <v>0.2</v>
      </c>
      <c r="H45" s="35" t="n">
        <v>0</v>
      </c>
      <c r="I45" s="32" t="n">
        <v>0.909</v>
      </c>
      <c r="J45" s="16" t="inlineStr">
        <is>
          <t>否</t>
        </is>
      </c>
      <c r="K45" s="16" t="inlineStr">
        <is>
          <t>需关注</t>
        </is>
      </c>
    </row>
    <row r="46">
      <c r="A46" s="16" t="inlineStr">
        <is>
          <t>NY-KW-2508-009</t>
        </is>
      </c>
      <c r="B46" s="16" t="inlineStr">
        <is>
          <t>主仓冷藏</t>
        </is>
      </c>
      <c r="C46" s="34" t="n">
        <v>45925.33333333334</v>
      </c>
      <c r="D46" s="34" t="n">
        <v>45928.25</v>
      </c>
      <c r="E46" s="16" t="n">
        <v>2.3</v>
      </c>
      <c r="F46" s="16" t="n">
        <v>7.5</v>
      </c>
      <c r="G46" s="16" t="n">
        <v>0</v>
      </c>
      <c r="H46" s="35" t="n">
        <v>2.1</v>
      </c>
      <c r="I46" s="32" t="n">
        <v>0.922</v>
      </c>
      <c r="J46" s="16" t="inlineStr">
        <is>
          <t>否</t>
        </is>
      </c>
      <c r="K46" s="16" t="inlineStr">
        <is>
          <t>正常</t>
        </is>
      </c>
    </row>
    <row r="47">
      <c r="A47" s="16" t="inlineStr">
        <is>
          <t>NY-KW-2508-009</t>
        </is>
      </c>
      <c r="B47" s="16" t="inlineStr">
        <is>
          <t>干线运输</t>
        </is>
      </c>
      <c r="C47" s="34" t="n">
        <v>45928.33333333334</v>
      </c>
      <c r="D47" s="34" t="n">
        <v>45928.66666666666</v>
      </c>
      <c r="E47" s="16" t="n">
        <v>4.6</v>
      </c>
      <c r="F47" s="16" t="n">
        <v>9.6</v>
      </c>
      <c r="G47" s="16" t="n">
        <v>2.4</v>
      </c>
      <c r="H47" s="35" t="n">
        <v>5.4</v>
      </c>
      <c r="I47" s="32" t="n">
        <v>0.865</v>
      </c>
      <c r="J47" s="16" t="inlineStr">
        <is>
          <t>是</t>
        </is>
      </c>
      <c r="K47" s="16" t="inlineStr">
        <is>
          <t>需关注</t>
        </is>
      </c>
    </row>
    <row r="48">
      <c r="A48" s="16" t="inlineStr">
        <is>
          <t>NY-KW-2508-009</t>
        </is>
      </c>
      <c r="B48" s="16" t="inlineStr">
        <is>
          <t>分仓暂存</t>
        </is>
      </c>
      <c r="C48" s="34" t="n">
        <v>45928.83333333334</v>
      </c>
      <c r="D48" s="34" t="n">
        <v>45929.83333333334</v>
      </c>
      <c r="E48" s="16" t="n">
        <v>3.2</v>
      </c>
      <c r="F48" s="16" t="n">
        <v>4.5</v>
      </c>
      <c r="G48" s="16" t="n">
        <v>2.4</v>
      </c>
      <c r="H48" s="35" t="n">
        <v>0</v>
      </c>
      <c r="I48" s="32" t="n">
        <v>0.924</v>
      </c>
      <c r="J48" s="16" t="inlineStr">
        <is>
          <t>否</t>
        </is>
      </c>
      <c r="K48" s="16" t="inlineStr">
        <is>
          <t>温度波动</t>
        </is>
      </c>
    </row>
    <row r="49">
      <c r="A49" s="16" t="inlineStr">
        <is>
          <t>NY-KW-2508-009</t>
        </is>
      </c>
      <c r="B49" s="16" t="inlineStr">
        <is>
          <t>门店货架</t>
        </is>
      </c>
      <c r="C49" s="34" t="n">
        <v>45929.83333333334</v>
      </c>
      <c r="D49" s="34" t="n">
        <v>45931.375</v>
      </c>
      <c r="E49" s="16" t="n">
        <v>10.8</v>
      </c>
      <c r="F49" s="16" t="n">
        <v>15.3</v>
      </c>
      <c r="G49" s="16" t="n">
        <v>9</v>
      </c>
      <c r="H49" s="35" t="n">
        <v>0.9</v>
      </c>
      <c r="I49" s="32" t="n">
        <v>0.781</v>
      </c>
      <c r="J49" s="16" t="inlineStr">
        <is>
          <t>否</t>
        </is>
      </c>
      <c r="K49" s="16" t="inlineStr">
        <is>
          <t>正常</t>
        </is>
      </c>
    </row>
    <row r="50">
      <c r="A50" s="16" t="inlineStr">
        <is>
          <t>NY-KW-2508-010</t>
        </is>
      </c>
      <c r="B50" s="16" t="inlineStr">
        <is>
          <t>预冷</t>
        </is>
      </c>
      <c r="C50" s="34" t="n">
        <v>45949</v>
      </c>
      <c r="D50" s="34" t="n">
        <v>45949.33333333334</v>
      </c>
      <c r="E50" s="16" t="n">
        <v>3.7</v>
      </c>
      <c r="F50" s="16" t="n">
        <v>5.6</v>
      </c>
      <c r="G50" s="16" t="n">
        <v>2.1</v>
      </c>
      <c r="H50" s="35" t="n">
        <v>0</v>
      </c>
      <c r="I50" s="32" t="n">
        <v>0.821</v>
      </c>
      <c r="J50" s="16" t="inlineStr">
        <is>
          <t>否</t>
        </is>
      </c>
      <c r="K50" s="16" t="inlineStr">
        <is>
          <t>温度波动</t>
        </is>
      </c>
    </row>
    <row r="51">
      <c r="A51" s="16" t="inlineStr">
        <is>
          <t>NY-KW-2508-010</t>
        </is>
      </c>
      <c r="B51" s="16" t="inlineStr">
        <is>
          <t>主仓冷藏</t>
        </is>
      </c>
      <c r="C51" s="34" t="n">
        <v>45949.33333333334</v>
      </c>
      <c r="D51" s="34" t="n">
        <v>45952.54166666666</v>
      </c>
      <c r="E51" s="16" t="n">
        <v>2.6</v>
      </c>
      <c r="F51" s="16" t="n">
        <v>3.6</v>
      </c>
      <c r="G51" s="16" t="n">
        <v>1.5</v>
      </c>
      <c r="H51" s="35" t="n">
        <v>0</v>
      </c>
      <c r="I51" s="32" t="n">
        <v>0.789</v>
      </c>
      <c r="J51" s="16" t="inlineStr">
        <is>
          <t>否</t>
        </is>
      </c>
      <c r="K51" s="16" t="inlineStr">
        <is>
          <t>温度波动</t>
        </is>
      </c>
    </row>
    <row r="52">
      <c r="A52" s="16" t="inlineStr">
        <is>
          <t>NY-KW-2508-010</t>
        </is>
      </c>
      <c r="B52" s="16" t="inlineStr">
        <is>
          <t>干线运输</t>
        </is>
      </c>
      <c r="C52" s="34" t="n">
        <v>45952.33333333334</v>
      </c>
      <c r="D52" s="34" t="n">
        <v>45952.79166666666</v>
      </c>
      <c r="E52" s="16" t="n">
        <v>5</v>
      </c>
      <c r="F52" s="16" t="n">
        <v>9</v>
      </c>
      <c r="G52" s="16" t="n">
        <v>3</v>
      </c>
      <c r="H52" s="35" t="n">
        <v>3.4</v>
      </c>
      <c r="I52" s="32" t="n">
        <v>0.86</v>
      </c>
      <c r="J52" s="16" t="inlineStr">
        <is>
          <t>否</t>
        </is>
      </c>
      <c r="K52" s="16" t="inlineStr">
        <is>
          <t>正常</t>
        </is>
      </c>
    </row>
    <row r="53">
      <c r="A53" s="16" t="inlineStr">
        <is>
          <t>NY-KW-2508-010</t>
        </is>
      </c>
      <c r="B53" s="16" t="inlineStr">
        <is>
          <t>分仓暂存</t>
        </is>
      </c>
      <c r="C53" s="34" t="n">
        <v>45952.83333333334</v>
      </c>
      <c r="D53" s="34" t="n">
        <v>45953.875</v>
      </c>
      <c r="E53" s="16" t="n">
        <v>4.1</v>
      </c>
      <c r="F53" s="16" t="n">
        <v>8.6</v>
      </c>
      <c r="G53" s="16" t="n">
        <v>1.7</v>
      </c>
      <c r="H53" s="35" t="n">
        <v>3.8</v>
      </c>
      <c r="I53" s="32" t="n">
        <v>0.785</v>
      </c>
      <c r="J53" s="16" t="inlineStr">
        <is>
          <t>否</t>
        </is>
      </c>
      <c r="K53" s="16" t="inlineStr">
        <is>
          <t>到店后常温暴露偏长</t>
        </is>
      </c>
    </row>
    <row r="54">
      <c r="A54" s="16" t="inlineStr">
        <is>
          <t>NY-KW-2508-010</t>
        </is>
      </c>
      <c r="B54" s="16" t="inlineStr">
        <is>
          <t>门店货架</t>
        </is>
      </c>
      <c r="C54" s="34" t="n">
        <v>45953.83333333334</v>
      </c>
      <c r="D54" s="34" t="n">
        <v>45955.29166666666</v>
      </c>
      <c r="E54" s="16" t="n">
        <v>12.4</v>
      </c>
      <c r="F54" s="16" t="n">
        <v>14.7</v>
      </c>
      <c r="G54" s="16" t="n">
        <v>11.6</v>
      </c>
      <c r="H54" s="35" t="n">
        <v>0.2</v>
      </c>
      <c r="I54" s="32" t="n">
        <v>0.926</v>
      </c>
      <c r="J54" s="16" t="inlineStr">
        <is>
          <t>否</t>
        </is>
      </c>
      <c r="K54" s="16" t="inlineStr">
        <is>
          <t>温度波动</t>
        </is>
      </c>
    </row>
    <row r="55">
      <c r="A55" s="16" t="inlineStr">
        <is>
          <t>NY-KW-2508-011</t>
        </is>
      </c>
      <c r="B55" s="16" t="inlineStr">
        <is>
          <t>预冷</t>
        </is>
      </c>
      <c r="C55" s="34" t="n">
        <v>45924</v>
      </c>
      <c r="D55" s="34" t="n">
        <v>45924.33333333334</v>
      </c>
      <c r="E55" s="16" t="n">
        <v>1.9</v>
      </c>
      <c r="F55" s="16" t="n">
        <v>3.6</v>
      </c>
      <c r="G55" s="16" t="n">
        <v>1.2</v>
      </c>
      <c r="H55" s="35" t="n">
        <v>0</v>
      </c>
      <c r="I55" s="32" t="n">
        <v>0.927</v>
      </c>
      <c r="J55" s="16" t="inlineStr">
        <is>
          <t>否</t>
        </is>
      </c>
      <c r="K55" s="16" t="inlineStr">
        <is>
          <t>正常</t>
        </is>
      </c>
    </row>
    <row r="56">
      <c r="A56" s="16" t="inlineStr">
        <is>
          <t>NY-KW-2508-011</t>
        </is>
      </c>
      <c r="B56" s="16" t="inlineStr">
        <is>
          <t>主仓冷藏</t>
        </is>
      </c>
      <c r="C56" s="34" t="n">
        <v>45924.33333333334</v>
      </c>
      <c r="D56" s="34" t="n">
        <v>45927.25</v>
      </c>
      <c r="E56" s="16" t="n">
        <v>1.8</v>
      </c>
      <c r="F56" s="16" t="n">
        <v>6.4</v>
      </c>
      <c r="G56" s="16" t="n">
        <v>0.4</v>
      </c>
      <c r="H56" s="35" t="n">
        <v>0.5</v>
      </c>
      <c r="I56" s="32" t="n">
        <v>0.872</v>
      </c>
      <c r="J56" s="16" t="inlineStr">
        <is>
          <t>否</t>
        </is>
      </c>
      <c r="K56" s="16" t="inlineStr">
        <is>
          <t>到店后常温暴露偏长</t>
        </is>
      </c>
    </row>
    <row r="57">
      <c r="A57" s="16" t="inlineStr">
        <is>
          <t>NY-KW-2508-011</t>
        </is>
      </c>
      <c r="B57" s="16" t="inlineStr">
        <is>
          <t>干线运输</t>
        </is>
      </c>
      <c r="C57" s="34" t="n">
        <v>45927.33333333334</v>
      </c>
      <c r="D57" s="34" t="n">
        <v>45927.66666666666</v>
      </c>
      <c r="E57" s="16" t="n">
        <v>4.1</v>
      </c>
      <c r="F57" s="16" t="n">
        <v>8.300000000000001</v>
      </c>
      <c r="G57" s="16" t="n">
        <v>2.7</v>
      </c>
      <c r="H57" s="35" t="n">
        <v>1.7</v>
      </c>
      <c r="I57" s="32" t="n">
        <v>0.896</v>
      </c>
      <c r="J57" s="16" t="inlineStr">
        <is>
          <t>否</t>
        </is>
      </c>
      <c r="K57" s="16" t="inlineStr">
        <is>
          <t>正常</t>
        </is>
      </c>
    </row>
    <row r="58">
      <c r="A58" s="16" t="inlineStr">
        <is>
          <t>NY-KW-2508-011</t>
        </is>
      </c>
      <c r="B58" s="16" t="inlineStr">
        <is>
          <t>分仓暂存</t>
        </is>
      </c>
      <c r="C58" s="34" t="n">
        <v>45927.83333333334</v>
      </c>
      <c r="D58" s="34" t="n">
        <v>45928.83333333334</v>
      </c>
      <c r="E58" s="16" t="n">
        <v>3</v>
      </c>
      <c r="F58" s="16" t="n">
        <v>7.6</v>
      </c>
      <c r="G58" s="16" t="n">
        <v>1</v>
      </c>
      <c r="H58" s="35" t="n">
        <v>1.9</v>
      </c>
      <c r="I58" s="32" t="n">
        <v>0.803</v>
      </c>
      <c r="J58" s="16" t="inlineStr">
        <is>
          <t>否</t>
        </is>
      </c>
      <c r="K58" s="16" t="inlineStr">
        <is>
          <t>到店后常温暴露偏长</t>
        </is>
      </c>
    </row>
    <row r="59">
      <c r="A59" s="16" t="inlineStr">
        <is>
          <t>NY-KW-2508-011</t>
        </is>
      </c>
      <c r="B59" s="16" t="inlineStr">
        <is>
          <t>门店货架</t>
        </is>
      </c>
      <c r="C59" s="34" t="n">
        <v>45928.83333333334</v>
      </c>
      <c r="D59" s="34" t="n">
        <v>45930.33333333334</v>
      </c>
      <c r="E59" s="16" t="n">
        <v>17.4</v>
      </c>
      <c r="F59" s="16" t="n">
        <v>22.8</v>
      </c>
      <c r="G59" s="16" t="n">
        <v>16.9</v>
      </c>
      <c r="H59" s="35" t="n">
        <v>4</v>
      </c>
      <c r="I59" s="32" t="n">
        <v>0.803</v>
      </c>
      <c r="J59" s="16" t="inlineStr">
        <is>
          <t>否</t>
        </is>
      </c>
      <c r="K59" s="16" t="inlineStr">
        <is>
          <t>正常</t>
        </is>
      </c>
    </row>
    <row r="60">
      <c r="A60" s="16" t="inlineStr">
        <is>
          <t>NY-KW-2508-012</t>
        </is>
      </c>
      <c r="B60" s="16" t="inlineStr">
        <is>
          <t>预冷</t>
        </is>
      </c>
      <c r="C60" s="34" t="n">
        <v>45918</v>
      </c>
      <c r="D60" s="34" t="n">
        <v>45918.33333333334</v>
      </c>
      <c r="E60" s="16" t="n">
        <v>2</v>
      </c>
      <c r="F60" s="16" t="n">
        <v>5.6</v>
      </c>
      <c r="G60" s="16" t="n">
        <v>0</v>
      </c>
      <c r="H60" s="35" t="n">
        <v>0</v>
      </c>
      <c r="I60" s="32" t="n">
        <v>0.865</v>
      </c>
      <c r="J60" s="16" t="inlineStr">
        <is>
          <t>否</t>
        </is>
      </c>
      <c r="K60" s="16" t="inlineStr">
        <is>
          <t>正常</t>
        </is>
      </c>
    </row>
    <row r="61">
      <c r="A61" s="16" t="inlineStr">
        <is>
          <t>NY-KW-2508-012</t>
        </is>
      </c>
      <c r="B61" s="16" t="inlineStr">
        <is>
          <t>主仓冷藏</t>
        </is>
      </c>
      <c r="C61" s="34" t="n">
        <v>45918.33333333334</v>
      </c>
      <c r="D61" s="34" t="n">
        <v>45921.54166666666</v>
      </c>
      <c r="E61" s="16" t="n">
        <v>2.6</v>
      </c>
      <c r="F61" s="16" t="n">
        <v>5.3</v>
      </c>
      <c r="G61" s="16" t="n">
        <v>1</v>
      </c>
      <c r="H61" s="35" t="n">
        <v>0</v>
      </c>
      <c r="I61" s="32" t="n">
        <v>0.856</v>
      </c>
      <c r="J61" s="16" t="inlineStr">
        <is>
          <t>否</t>
        </is>
      </c>
      <c r="K61" s="16" t="inlineStr">
        <is>
          <t>正常</t>
        </is>
      </c>
    </row>
    <row r="62">
      <c r="A62" s="16" t="inlineStr">
        <is>
          <t>NY-KW-2508-012</t>
        </is>
      </c>
      <c r="B62" s="16" t="inlineStr">
        <is>
          <t>干线运输</t>
        </is>
      </c>
      <c r="C62" s="34" t="n">
        <v>45921.33333333334</v>
      </c>
      <c r="D62" s="34" t="n">
        <v>45921.70833333334</v>
      </c>
      <c r="E62" s="16" t="n">
        <v>5.2</v>
      </c>
      <c r="F62" s="16" t="n">
        <v>10.6</v>
      </c>
      <c r="G62" s="16" t="n">
        <v>4.4</v>
      </c>
      <c r="H62" s="35" t="n">
        <v>2.6</v>
      </c>
      <c r="I62" s="32" t="n">
        <v>0.871</v>
      </c>
      <c r="J62" s="16" t="inlineStr">
        <is>
          <t>否</t>
        </is>
      </c>
      <c r="K62" s="16" t="inlineStr">
        <is>
          <t>正常</t>
        </is>
      </c>
    </row>
    <row r="63">
      <c r="A63" s="16" t="inlineStr">
        <is>
          <t>NY-KW-2508-012</t>
        </is>
      </c>
      <c r="B63" s="16" t="inlineStr">
        <is>
          <t>分仓暂存</t>
        </is>
      </c>
      <c r="C63" s="34" t="n">
        <v>45921.83333333334</v>
      </c>
      <c r="D63" s="34" t="n">
        <v>45922.95833333334</v>
      </c>
      <c r="E63" s="16" t="n">
        <v>4.3</v>
      </c>
      <c r="F63" s="16" t="n">
        <v>5.7</v>
      </c>
      <c r="G63" s="16" t="n">
        <v>3.7</v>
      </c>
      <c r="H63" s="35" t="n">
        <v>0</v>
      </c>
      <c r="I63" s="32" t="n">
        <v>0.844</v>
      </c>
      <c r="J63" s="16" t="inlineStr">
        <is>
          <t>否</t>
        </is>
      </c>
      <c r="K63" s="16" t="inlineStr">
        <is>
          <t>到店后常温暴露偏长</t>
        </is>
      </c>
    </row>
    <row r="64">
      <c r="A64" s="16" t="inlineStr">
        <is>
          <t>NY-KW-2508-012</t>
        </is>
      </c>
      <c r="B64" s="16" t="inlineStr">
        <is>
          <t>门店货架</t>
        </is>
      </c>
      <c r="C64" s="34" t="n">
        <v>45922.83333333334</v>
      </c>
      <c r="D64" s="34" t="n">
        <v>45924.41666666666</v>
      </c>
      <c r="E64" s="16" t="n">
        <v>18.3</v>
      </c>
      <c r="F64" s="16" t="n">
        <v>19.3</v>
      </c>
      <c r="G64" s="16" t="n">
        <v>17.2</v>
      </c>
      <c r="H64" s="35" t="n">
        <v>2.6</v>
      </c>
      <c r="I64" s="32" t="n">
        <v>0.8129999999999999</v>
      </c>
      <c r="J64" s="16" t="inlineStr">
        <is>
          <t>否</t>
        </is>
      </c>
      <c r="K64" s="16" t="inlineStr">
        <is>
          <t>正常</t>
        </is>
      </c>
    </row>
    <row r="65">
      <c r="A65" s="16" t="inlineStr">
        <is>
          <t>NY-KW-2508-013</t>
        </is>
      </c>
      <c r="B65" s="16" t="inlineStr">
        <is>
          <t>预冷</t>
        </is>
      </c>
      <c r="C65" s="34" t="n">
        <v>45938</v>
      </c>
      <c r="D65" s="34" t="n">
        <v>45938.33333333334</v>
      </c>
      <c r="E65" s="16" t="n">
        <v>1.5</v>
      </c>
      <c r="F65" s="16" t="n">
        <v>4.5</v>
      </c>
      <c r="G65" s="16" t="n">
        <v>0.8</v>
      </c>
      <c r="H65" s="35" t="n">
        <v>0</v>
      </c>
      <c r="I65" s="32" t="n">
        <v>0.837</v>
      </c>
      <c r="J65" s="16" t="inlineStr">
        <is>
          <t>否</t>
        </is>
      </c>
      <c r="K65" s="16" t="inlineStr">
        <is>
          <t>温度波动</t>
        </is>
      </c>
    </row>
    <row r="66">
      <c r="A66" s="16" t="inlineStr">
        <is>
          <t>NY-KW-2508-013</t>
        </is>
      </c>
      <c r="B66" s="16" t="inlineStr">
        <is>
          <t>主仓冷藏</t>
        </is>
      </c>
      <c r="C66" s="34" t="n">
        <v>45938.33333333334</v>
      </c>
      <c r="D66" s="34" t="n">
        <v>45941.25</v>
      </c>
      <c r="E66" s="16" t="n">
        <v>1.7</v>
      </c>
      <c r="F66" s="16" t="n">
        <v>5.3</v>
      </c>
      <c r="G66" s="16" t="n">
        <v>0</v>
      </c>
      <c r="H66" s="35" t="n">
        <v>0</v>
      </c>
      <c r="I66" s="32" t="n">
        <v>0.926</v>
      </c>
      <c r="J66" s="16" t="inlineStr">
        <is>
          <t>否</t>
        </is>
      </c>
      <c r="K66" s="16" t="inlineStr">
        <is>
          <t>正常</t>
        </is>
      </c>
    </row>
    <row r="67">
      <c r="A67" s="16" t="inlineStr">
        <is>
          <t>NY-KW-2508-013</t>
        </is>
      </c>
      <c r="B67" s="16" t="inlineStr">
        <is>
          <t>干线运输</t>
        </is>
      </c>
      <c r="C67" s="34" t="n">
        <v>45941.33333333334</v>
      </c>
      <c r="D67" s="34" t="n">
        <v>45941.79166666666</v>
      </c>
      <c r="E67" s="16" t="n">
        <v>7.4</v>
      </c>
      <c r="F67" s="16" t="n">
        <v>12.4</v>
      </c>
      <c r="G67" s="16" t="n">
        <v>5.1</v>
      </c>
      <c r="H67" s="35" t="n">
        <v>3.5</v>
      </c>
      <c r="I67" s="32" t="n">
        <v>0.886</v>
      </c>
      <c r="J67" s="16" t="inlineStr">
        <is>
          <t>否</t>
        </is>
      </c>
      <c r="K67" s="16" t="inlineStr">
        <is>
          <t>到店后常温暴露偏长</t>
        </is>
      </c>
    </row>
    <row r="68">
      <c r="A68" s="16" t="inlineStr">
        <is>
          <t>NY-KW-2508-013</t>
        </is>
      </c>
      <c r="B68" s="16" t="inlineStr">
        <is>
          <t>分仓暂存</t>
        </is>
      </c>
      <c r="C68" s="34" t="n">
        <v>45941.83333333334</v>
      </c>
      <c r="D68" s="34" t="n">
        <v>45942.79166666666</v>
      </c>
      <c r="E68" s="16" t="n">
        <v>3.6</v>
      </c>
      <c r="F68" s="16" t="n">
        <v>6.7</v>
      </c>
      <c r="G68" s="16" t="n">
        <v>1.2</v>
      </c>
      <c r="H68" s="35" t="n">
        <v>0.5</v>
      </c>
      <c r="I68" s="32" t="n">
        <v>0.901</v>
      </c>
      <c r="J68" s="16" t="inlineStr">
        <is>
          <t>否</t>
        </is>
      </c>
      <c r="K68" s="16" t="inlineStr">
        <is>
          <t>正常</t>
        </is>
      </c>
    </row>
    <row r="69">
      <c r="A69" s="16" t="inlineStr">
        <is>
          <t>NY-KW-2508-013</t>
        </is>
      </c>
      <c r="B69" s="16" t="inlineStr">
        <is>
          <t>门店货架</t>
        </is>
      </c>
      <c r="C69" s="34" t="n">
        <v>45942.83333333334</v>
      </c>
      <c r="D69" s="34" t="n">
        <v>45944.41666666666</v>
      </c>
      <c r="E69" s="16" t="n">
        <v>10.3</v>
      </c>
      <c r="F69" s="16" t="n">
        <v>12.2</v>
      </c>
      <c r="G69" s="16" t="n">
        <v>8.1</v>
      </c>
      <c r="H69" s="35" t="n">
        <v>0</v>
      </c>
      <c r="I69" s="32" t="n">
        <v>0.783</v>
      </c>
      <c r="J69" s="16" t="inlineStr">
        <is>
          <t>否</t>
        </is>
      </c>
      <c r="K69" s="16" t="inlineStr">
        <is>
          <t>需关注</t>
        </is>
      </c>
    </row>
    <row r="70">
      <c r="A70" s="16" t="inlineStr">
        <is>
          <t>NY-KW-2508-014</t>
        </is>
      </c>
      <c r="B70" s="16" t="inlineStr">
        <is>
          <t>预冷</t>
        </is>
      </c>
      <c r="C70" s="34" t="n">
        <v>45933</v>
      </c>
      <c r="D70" s="34" t="n">
        <v>45933.5</v>
      </c>
      <c r="E70" s="16" t="n">
        <v>2.5</v>
      </c>
      <c r="F70" s="16" t="n">
        <v>5.7</v>
      </c>
      <c r="G70" s="16" t="n">
        <v>0.1</v>
      </c>
      <c r="H70" s="35" t="n">
        <v>0</v>
      </c>
      <c r="I70" s="32" t="n">
        <v>0.87</v>
      </c>
      <c r="J70" s="16" t="inlineStr">
        <is>
          <t>否</t>
        </is>
      </c>
      <c r="K70" s="16" t="inlineStr">
        <is>
          <t>温度波动</t>
        </is>
      </c>
    </row>
    <row r="71">
      <c r="A71" s="16" t="inlineStr">
        <is>
          <t>NY-KW-2508-014</t>
        </is>
      </c>
      <c r="B71" s="16" t="inlineStr">
        <is>
          <t>主仓冷藏</t>
        </is>
      </c>
      <c r="C71" s="34" t="n">
        <v>45933.33333333334</v>
      </c>
      <c r="D71" s="34" t="n">
        <v>45936.33333333334</v>
      </c>
      <c r="E71" s="16" t="n">
        <v>3.1</v>
      </c>
      <c r="F71" s="16" t="n">
        <v>6.6</v>
      </c>
      <c r="G71" s="16" t="n">
        <v>2</v>
      </c>
      <c r="H71" s="35" t="n">
        <v>0.8</v>
      </c>
      <c r="I71" s="32" t="n">
        <v>0.867</v>
      </c>
      <c r="J71" s="16" t="inlineStr">
        <is>
          <t>否</t>
        </is>
      </c>
      <c r="K71" s="16" t="inlineStr">
        <is>
          <t>到店后常温暴露偏长</t>
        </is>
      </c>
    </row>
    <row r="72">
      <c r="A72" s="16" t="inlineStr">
        <is>
          <t>NY-KW-2508-014</t>
        </is>
      </c>
      <c r="B72" s="16" t="inlineStr">
        <is>
          <t>干线运输</t>
        </is>
      </c>
      <c r="C72" s="34" t="n">
        <v>45936.33333333334</v>
      </c>
      <c r="D72" s="34" t="n">
        <v>45936.66666666666</v>
      </c>
      <c r="E72" s="16" t="n">
        <v>3.8</v>
      </c>
      <c r="F72" s="16" t="n">
        <v>7.3</v>
      </c>
      <c r="G72" s="16" t="n">
        <v>2.2</v>
      </c>
      <c r="H72" s="35" t="n">
        <v>0.3</v>
      </c>
      <c r="I72" s="32" t="n">
        <v>0.917</v>
      </c>
      <c r="J72" s="16" t="inlineStr">
        <is>
          <t>否</t>
        </is>
      </c>
      <c r="K72" s="16" t="inlineStr">
        <is>
          <t>到店后常温暴露偏长</t>
        </is>
      </c>
    </row>
    <row r="73">
      <c r="A73" s="16" t="inlineStr">
        <is>
          <t>NY-KW-2508-014</t>
        </is>
      </c>
      <c r="B73" s="16" t="inlineStr">
        <is>
          <t>分仓暂存</t>
        </is>
      </c>
      <c r="C73" s="34" t="n">
        <v>45936.83333333334</v>
      </c>
      <c r="D73" s="34" t="n">
        <v>45938</v>
      </c>
      <c r="E73" s="16" t="n">
        <v>2.3</v>
      </c>
      <c r="F73" s="16" t="n">
        <v>4.5</v>
      </c>
      <c r="G73" s="16" t="n">
        <v>0</v>
      </c>
      <c r="H73" s="35" t="n">
        <v>0</v>
      </c>
      <c r="I73" s="32" t="n">
        <v>0.884</v>
      </c>
      <c r="J73" s="16" t="inlineStr">
        <is>
          <t>否</t>
        </is>
      </c>
      <c r="K73" s="16" t="inlineStr">
        <is>
          <t>到店后常温暴露偏长</t>
        </is>
      </c>
    </row>
    <row r="74">
      <c r="A74" s="16" t="inlineStr">
        <is>
          <t>NY-KW-2508-014</t>
        </is>
      </c>
      <c r="B74" s="16" t="inlineStr">
        <is>
          <t>门店货架</t>
        </is>
      </c>
      <c r="C74" s="34" t="n">
        <v>45937.83333333334</v>
      </c>
      <c r="D74" s="34" t="n">
        <v>45939.33333333334</v>
      </c>
      <c r="E74" s="16" t="n">
        <v>18.4</v>
      </c>
      <c r="F74" s="16" t="n">
        <v>20.4</v>
      </c>
      <c r="G74" s="16" t="n">
        <v>17.5</v>
      </c>
      <c r="H74" s="35" t="n">
        <v>4.2</v>
      </c>
      <c r="I74" s="32" t="n">
        <v>0.8110000000000001</v>
      </c>
      <c r="J74" s="16" t="inlineStr">
        <is>
          <t>否</t>
        </is>
      </c>
      <c r="K74" s="16" t="inlineStr">
        <is>
          <t>温度波动</t>
        </is>
      </c>
    </row>
    <row r="75">
      <c r="A75" s="16" t="inlineStr">
        <is>
          <t>NY-KW-2508-015</t>
        </is>
      </c>
      <c r="B75" s="16" t="inlineStr">
        <is>
          <t>预冷</t>
        </is>
      </c>
      <c r="C75" s="34" t="n">
        <v>45948</v>
      </c>
      <c r="D75" s="34" t="n">
        <v>45948.375</v>
      </c>
      <c r="E75" s="16" t="n">
        <v>3.9</v>
      </c>
      <c r="F75" s="16" t="n">
        <v>9.300000000000001</v>
      </c>
      <c r="G75" s="16" t="n">
        <v>3.4</v>
      </c>
      <c r="H75" s="35" t="n">
        <v>1.2</v>
      </c>
      <c r="I75" s="32" t="n">
        <v>0.929</v>
      </c>
      <c r="J75" s="16" t="inlineStr">
        <is>
          <t>否</t>
        </is>
      </c>
      <c r="K75" s="16" t="inlineStr">
        <is>
          <t>到店后常温暴露偏长</t>
        </is>
      </c>
    </row>
    <row r="76">
      <c r="A76" s="16" t="inlineStr">
        <is>
          <t>NY-KW-2508-015</t>
        </is>
      </c>
      <c r="B76" s="16" t="inlineStr">
        <is>
          <t>主仓冷藏</t>
        </is>
      </c>
      <c r="C76" s="34" t="n">
        <v>45948.33333333334</v>
      </c>
      <c r="D76" s="34" t="n">
        <v>45951.29166666666</v>
      </c>
      <c r="E76" s="16" t="n">
        <v>1.7</v>
      </c>
      <c r="F76" s="16" t="n">
        <v>4.9</v>
      </c>
      <c r="G76" s="16" t="n">
        <v>0</v>
      </c>
      <c r="H76" s="35" t="n">
        <v>0</v>
      </c>
      <c r="I76" s="32" t="n">
        <v>0.838</v>
      </c>
      <c r="J76" s="16" t="inlineStr">
        <is>
          <t>否</t>
        </is>
      </c>
      <c r="K76" s="16" t="inlineStr">
        <is>
          <t>正常</t>
        </is>
      </c>
    </row>
    <row r="77">
      <c r="A77" s="16" t="inlineStr">
        <is>
          <t>NY-KW-2508-015</t>
        </is>
      </c>
      <c r="B77" s="16" t="inlineStr">
        <is>
          <t>干线运输</t>
        </is>
      </c>
      <c r="C77" s="34" t="n">
        <v>45951.33333333334</v>
      </c>
      <c r="D77" s="34" t="n">
        <v>45951.91666666666</v>
      </c>
      <c r="E77" s="16" t="n">
        <v>6.3</v>
      </c>
      <c r="F77" s="16" t="n">
        <v>10</v>
      </c>
      <c r="G77" s="16" t="n">
        <v>4.8</v>
      </c>
      <c r="H77" s="35" t="n">
        <v>1.6</v>
      </c>
      <c r="I77" s="32" t="n">
        <v>0.8129999999999999</v>
      </c>
      <c r="J77" s="16" t="inlineStr">
        <is>
          <t>否</t>
        </is>
      </c>
      <c r="K77" s="16" t="inlineStr">
        <is>
          <t>温度波动</t>
        </is>
      </c>
    </row>
    <row r="78">
      <c r="A78" s="16" t="inlineStr">
        <is>
          <t>NY-KW-2508-015</t>
        </is>
      </c>
      <c r="B78" s="16" t="inlineStr">
        <is>
          <t>分仓暂存</t>
        </is>
      </c>
      <c r="C78" s="34" t="n">
        <v>45951.83333333334</v>
      </c>
      <c r="D78" s="34" t="n">
        <v>45952.75</v>
      </c>
      <c r="E78" s="16" t="n">
        <v>3.2</v>
      </c>
      <c r="F78" s="16" t="n">
        <v>8.5</v>
      </c>
      <c r="G78" s="16" t="n">
        <v>1.6</v>
      </c>
      <c r="H78" s="35" t="n">
        <v>0.6</v>
      </c>
      <c r="I78" s="32" t="n">
        <v>0.782</v>
      </c>
      <c r="J78" s="16" t="inlineStr">
        <is>
          <t>否</t>
        </is>
      </c>
      <c r="K78" s="16" t="inlineStr">
        <is>
          <t>需关注</t>
        </is>
      </c>
    </row>
    <row r="79">
      <c r="A79" s="16" t="inlineStr">
        <is>
          <t>NY-KW-2508-015</t>
        </is>
      </c>
      <c r="B79" s="16" t="inlineStr">
        <is>
          <t>门店货架</t>
        </is>
      </c>
      <c r="C79" s="34" t="n">
        <v>45952.83333333334</v>
      </c>
      <c r="D79" s="34" t="n">
        <v>45954.25</v>
      </c>
      <c r="E79" s="16" t="n">
        <v>12.8</v>
      </c>
      <c r="F79" s="16" t="n">
        <v>17.3</v>
      </c>
      <c r="G79" s="16" t="n">
        <v>10.7</v>
      </c>
      <c r="H79" s="35" t="n">
        <v>1.3</v>
      </c>
      <c r="I79" s="32" t="n">
        <v>0.789</v>
      </c>
      <c r="J79" s="16" t="inlineStr">
        <is>
          <t>否</t>
        </is>
      </c>
      <c r="K79" s="16" t="inlineStr">
        <is>
          <t>到店后常温暴露偏长</t>
        </is>
      </c>
    </row>
    <row r="80">
      <c r="A80" s="16" t="inlineStr">
        <is>
          <t>NY-KW-2508-016</t>
        </is>
      </c>
      <c r="B80" s="16" t="inlineStr">
        <is>
          <t>预冷</t>
        </is>
      </c>
      <c r="C80" s="34" t="n">
        <v>45942</v>
      </c>
      <c r="D80" s="34" t="n">
        <v>45942.58333333334</v>
      </c>
      <c r="E80" s="16" t="n">
        <v>1.7</v>
      </c>
      <c r="F80" s="16" t="n">
        <v>7.1</v>
      </c>
      <c r="G80" s="16" t="n">
        <v>0.5</v>
      </c>
      <c r="H80" s="35" t="n">
        <v>1</v>
      </c>
      <c r="I80" s="32" t="n">
        <v>0.884</v>
      </c>
      <c r="J80" s="16" t="inlineStr">
        <is>
          <t>否</t>
        </is>
      </c>
      <c r="K80" s="16" t="inlineStr">
        <is>
          <t>正常</t>
        </is>
      </c>
    </row>
    <row r="81">
      <c r="A81" s="16" t="inlineStr">
        <is>
          <t>NY-KW-2508-016</t>
        </is>
      </c>
      <c r="B81" s="16" t="inlineStr">
        <is>
          <t>主仓冷藏</t>
        </is>
      </c>
      <c r="C81" s="34" t="n">
        <v>45942.33333333334</v>
      </c>
      <c r="D81" s="34" t="n">
        <v>45945.45833333334</v>
      </c>
      <c r="E81" s="16" t="n">
        <v>3.2</v>
      </c>
      <c r="F81" s="16" t="n">
        <v>4.4</v>
      </c>
      <c r="G81" s="16" t="n">
        <v>1.6</v>
      </c>
      <c r="H81" s="35" t="n">
        <v>0</v>
      </c>
      <c r="I81" s="32" t="n">
        <v>0.839</v>
      </c>
      <c r="J81" s="16" t="inlineStr">
        <is>
          <t>否</t>
        </is>
      </c>
      <c r="K81" s="16" t="inlineStr">
        <is>
          <t>需关注</t>
        </is>
      </c>
    </row>
    <row r="82">
      <c r="A82" s="16" t="inlineStr">
        <is>
          <t>NY-KW-2508-016</t>
        </is>
      </c>
      <c r="B82" s="16" t="inlineStr">
        <is>
          <t>干线运输</t>
        </is>
      </c>
      <c r="C82" s="34" t="n">
        <v>45945.33333333334</v>
      </c>
      <c r="D82" s="34" t="n">
        <v>45945.91666666666</v>
      </c>
      <c r="E82" s="16" t="n">
        <v>5.9</v>
      </c>
      <c r="F82" s="16" t="n">
        <v>10.2</v>
      </c>
      <c r="G82" s="16" t="n">
        <v>4.3</v>
      </c>
      <c r="H82" s="35" t="n">
        <v>0.9</v>
      </c>
      <c r="I82" s="32" t="n">
        <v>0.927</v>
      </c>
      <c r="J82" s="16" t="inlineStr">
        <is>
          <t>否</t>
        </is>
      </c>
      <c r="K82" s="16" t="inlineStr">
        <is>
          <t>到店后常温暴露偏长</t>
        </is>
      </c>
    </row>
    <row r="83">
      <c r="A83" s="16" t="inlineStr">
        <is>
          <t>NY-KW-2508-016</t>
        </is>
      </c>
      <c r="B83" s="16" t="inlineStr">
        <is>
          <t>分仓暂存</t>
        </is>
      </c>
      <c r="C83" s="34" t="n">
        <v>45945.83333333334</v>
      </c>
      <c r="D83" s="34" t="n">
        <v>45946.875</v>
      </c>
      <c r="E83" s="16" t="n">
        <v>3.7</v>
      </c>
      <c r="F83" s="16" t="n">
        <v>8</v>
      </c>
      <c r="G83" s="16" t="n">
        <v>1.5</v>
      </c>
      <c r="H83" s="35" t="n">
        <v>1.3</v>
      </c>
      <c r="I83" s="32" t="n">
        <v>0.789</v>
      </c>
      <c r="J83" s="16" t="inlineStr">
        <is>
          <t>否</t>
        </is>
      </c>
      <c r="K83" s="16" t="inlineStr">
        <is>
          <t>到店后常温暴露偏长</t>
        </is>
      </c>
    </row>
    <row r="84">
      <c r="A84" s="16" t="inlineStr">
        <is>
          <t>NY-KW-2508-016</t>
        </is>
      </c>
      <c r="B84" s="16" t="inlineStr">
        <is>
          <t>门店货架</t>
        </is>
      </c>
      <c r="C84" s="34" t="n">
        <v>45946.83333333334</v>
      </c>
      <c r="D84" s="34" t="n">
        <v>45948.29166666666</v>
      </c>
      <c r="E84" s="16" t="n">
        <v>12.3</v>
      </c>
      <c r="F84" s="16" t="n">
        <v>13.9</v>
      </c>
      <c r="G84" s="16" t="n">
        <v>11.4</v>
      </c>
      <c r="H84" s="35" t="n">
        <v>0</v>
      </c>
      <c r="I84" s="32" t="n">
        <v>0.8070000000000001</v>
      </c>
      <c r="J84" s="16" t="inlineStr">
        <is>
          <t>否</t>
        </is>
      </c>
      <c r="K84" s="16" t="inlineStr">
        <is>
          <t>温度波动</t>
        </is>
      </c>
    </row>
    <row r="85">
      <c r="A85" s="16" t="inlineStr">
        <is>
          <t>NY-KW-2508-017</t>
        </is>
      </c>
      <c r="B85" s="16" t="inlineStr">
        <is>
          <t>预冷</t>
        </is>
      </c>
      <c r="C85" s="34" t="n">
        <v>45930</v>
      </c>
      <c r="D85" s="34" t="n">
        <v>45930.5</v>
      </c>
      <c r="E85" s="16" t="n">
        <v>1.7</v>
      </c>
      <c r="F85" s="16" t="n">
        <v>6.9</v>
      </c>
      <c r="G85" s="16" t="n">
        <v>0.8</v>
      </c>
      <c r="H85" s="35" t="n">
        <v>1.2</v>
      </c>
      <c r="I85" s="32" t="n">
        <v>0.847</v>
      </c>
      <c r="J85" s="16" t="inlineStr">
        <is>
          <t>否</t>
        </is>
      </c>
      <c r="K85" s="16" t="inlineStr">
        <is>
          <t>正常</t>
        </is>
      </c>
    </row>
    <row r="86">
      <c r="A86" s="16" t="inlineStr">
        <is>
          <t>NY-KW-2508-017</t>
        </is>
      </c>
      <c r="B86" s="16" t="inlineStr">
        <is>
          <t>主仓冷藏</t>
        </is>
      </c>
      <c r="C86" s="34" t="n">
        <v>45930.33333333334</v>
      </c>
      <c r="D86" s="34" t="n">
        <v>45933.54166666666</v>
      </c>
      <c r="E86" s="16" t="n">
        <v>2.5</v>
      </c>
      <c r="F86" s="16" t="n">
        <v>6.1</v>
      </c>
      <c r="G86" s="16" t="n">
        <v>0.9</v>
      </c>
      <c r="H86" s="35" t="n">
        <v>0.1</v>
      </c>
      <c r="I86" s="32" t="n">
        <v>0.919</v>
      </c>
      <c r="J86" s="16" t="inlineStr">
        <is>
          <t>否</t>
        </is>
      </c>
      <c r="K86" s="16" t="inlineStr">
        <is>
          <t>需关注</t>
        </is>
      </c>
    </row>
    <row r="87">
      <c r="A87" s="16" t="inlineStr">
        <is>
          <t>NY-KW-2508-017</t>
        </is>
      </c>
      <c r="B87" s="16" t="inlineStr">
        <is>
          <t>干线运输</t>
        </is>
      </c>
      <c r="C87" s="34" t="n">
        <v>45933.33333333334</v>
      </c>
      <c r="D87" s="34" t="n">
        <v>45933.875</v>
      </c>
      <c r="E87" s="16" t="n">
        <v>4.5</v>
      </c>
      <c r="F87" s="16" t="n">
        <v>9.6</v>
      </c>
      <c r="G87" s="16" t="n">
        <v>2.9</v>
      </c>
      <c r="H87" s="35" t="n">
        <v>0.7</v>
      </c>
      <c r="I87" s="32" t="n">
        <v>0.909</v>
      </c>
      <c r="J87" s="16" t="inlineStr">
        <is>
          <t>否</t>
        </is>
      </c>
      <c r="K87" s="16" t="inlineStr">
        <is>
          <t>温度波动</t>
        </is>
      </c>
    </row>
    <row r="88">
      <c r="A88" s="16" t="inlineStr">
        <is>
          <t>NY-KW-2508-017</t>
        </is>
      </c>
      <c r="B88" s="16" t="inlineStr">
        <is>
          <t>分仓暂存</t>
        </is>
      </c>
      <c r="C88" s="34" t="n">
        <v>45933.83333333334</v>
      </c>
      <c r="D88" s="34" t="n">
        <v>45934.75</v>
      </c>
      <c r="E88" s="16" t="n">
        <v>1.6</v>
      </c>
      <c r="F88" s="16" t="n">
        <v>4.7</v>
      </c>
      <c r="G88" s="16" t="n">
        <v>0.6</v>
      </c>
      <c r="H88" s="35" t="n">
        <v>0</v>
      </c>
      <c r="I88" s="32" t="n">
        <v>0.881</v>
      </c>
      <c r="J88" s="16" t="inlineStr">
        <is>
          <t>否</t>
        </is>
      </c>
      <c r="K88" s="16" t="inlineStr">
        <is>
          <t>正常</t>
        </is>
      </c>
    </row>
    <row r="89">
      <c r="A89" s="16" t="inlineStr">
        <is>
          <t>NY-KW-2508-017</t>
        </is>
      </c>
      <c r="B89" s="16" t="inlineStr">
        <is>
          <t>门店货架</t>
        </is>
      </c>
      <c r="C89" s="34" t="n">
        <v>45934.83333333334</v>
      </c>
      <c r="D89" s="34" t="n">
        <v>45936.25</v>
      </c>
      <c r="E89" s="16" t="n">
        <v>18.4</v>
      </c>
      <c r="F89" s="16" t="n">
        <v>20.9</v>
      </c>
      <c r="G89" s="16" t="n">
        <v>17.8</v>
      </c>
      <c r="H89" s="35" t="n">
        <v>8.800000000000001</v>
      </c>
      <c r="I89" s="32" t="n">
        <v>0.928</v>
      </c>
      <c r="J89" s="16" t="inlineStr">
        <is>
          <t>是</t>
        </is>
      </c>
      <c r="K89" s="16" t="inlineStr">
        <is>
          <t>到店后常温暴露偏长</t>
        </is>
      </c>
    </row>
    <row r="90">
      <c r="A90" s="16" t="inlineStr">
        <is>
          <t>NY-KW-2508-018</t>
        </is>
      </c>
      <c r="B90" s="16" t="inlineStr">
        <is>
          <t>预冷</t>
        </is>
      </c>
      <c r="C90" s="34" t="n">
        <v>45939</v>
      </c>
      <c r="D90" s="34" t="n">
        <v>45939.33333333334</v>
      </c>
      <c r="E90" s="16" t="n">
        <v>3.9</v>
      </c>
      <c r="F90" s="16" t="n">
        <v>7</v>
      </c>
      <c r="G90" s="16" t="n">
        <v>2.6</v>
      </c>
      <c r="H90" s="35" t="n">
        <v>1.2</v>
      </c>
      <c r="I90" s="32" t="n">
        <v>0.832</v>
      </c>
      <c r="J90" s="16" t="inlineStr">
        <is>
          <t>否</t>
        </is>
      </c>
      <c r="K90" s="16" t="inlineStr">
        <is>
          <t>需关注</t>
        </is>
      </c>
    </row>
    <row r="91">
      <c r="A91" s="16" t="inlineStr">
        <is>
          <t>NY-KW-2508-018</t>
        </is>
      </c>
      <c r="B91" s="16" t="inlineStr">
        <is>
          <t>主仓冷藏</t>
        </is>
      </c>
      <c r="C91" s="34" t="n">
        <v>45939.33333333334</v>
      </c>
      <c r="D91" s="34" t="n">
        <v>45942.41666666666</v>
      </c>
      <c r="E91" s="16" t="n">
        <v>4</v>
      </c>
      <c r="F91" s="16" t="n">
        <v>8.5</v>
      </c>
      <c r="G91" s="16" t="n">
        <v>3.5</v>
      </c>
      <c r="H91" s="35" t="n">
        <v>1</v>
      </c>
      <c r="I91" s="32" t="n">
        <v>0.89</v>
      </c>
      <c r="J91" s="16" t="inlineStr">
        <is>
          <t>否</t>
        </is>
      </c>
      <c r="K91" s="16" t="inlineStr">
        <is>
          <t>正常</t>
        </is>
      </c>
    </row>
    <row r="92">
      <c r="A92" s="16" t="inlineStr">
        <is>
          <t>NY-KW-2508-018</t>
        </is>
      </c>
      <c r="B92" s="16" t="inlineStr">
        <is>
          <t>干线运输</t>
        </is>
      </c>
      <c r="C92" s="34" t="n">
        <v>45942.33333333334</v>
      </c>
      <c r="D92" s="34" t="n">
        <v>45942.79166666666</v>
      </c>
      <c r="E92" s="16" t="n">
        <v>7.8</v>
      </c>
      <c r="F92" s="16" t="n">
        <v>11.1</v>
      </c>
      <c r="G92" s="16" t="n">
        <v>6.4</v>
      </c>
      <c r="H92" s="35" t="n">
        <v>4.5</v>
      </c>
      <c r="I92" s="32" t="n">
        <v>0.801</v>
      </c>
      <c r="J92" s="16" t="inlineStr">
        <is>
          <t>否</t>
        </is>
      </c>
      <c r="K92" s="16" t="inlineStr">
        <is>
          <t>到店后常温暴露偏长</t>
        </is>
      </c>
    </row>
    <row r="93">
      <c r="A93" s="16" t="inlineStr">
        <is>
          <t>NY-KW-2508-018</t>
        </is>
      </c>
      <c r="B93" s="16" t="inlineStr">
        <is>
          <t>分仓暂存</t>
        </is>
      </c>
      <c r="C93" s="34" t="n">
        <v>45942.83333333334</v>
      </c>
      <c r="D93" s="34" t="n">
        <v>45943.75</v>
      </c>
      <c r="E93" s="16" t="n">
        <v>2.7</v>
      </c>
      <c r="F93" s="16" t="n">
        <v>5</v>
      </c>
      <c r="G93" s="16" t="n">
        <v>0.6</v>
      </c>
      <c r="H93" s="35" t="n">
        <v>0</v>
      </c>
      <c r="I93" s="32" t="n">
        <v>0.847</v>
      </c>
      <c r="J93" s="16" t="inlineStr">
        <is>
          <t>否</t>
        </is>
      </c>
      <c r="K93" s="16" t="inlineStr">
        <is>
          <t>需关注</t>
        </is>
      </c>
    </row>
    <row r="94">
      <c r="A94" s="16" t="inlineStr">
        <is>
          <t>NY-KW-2508-018</t>
        </is>
      </c>
      <c r="B94" s="16" t="inlineStr">
        <is>
          <t>门店货架</t>
        </is>
      </c>
      <c r="C94" s="34" t="n">
        <v>45943.83333333334</v>
      </c>
      <c r="D94" s="34" t="n">
        <v>45945.41666666666</v>
      </c>
      <c r="E94" s="16" t="n">
        <v>11.4</v>
      </c>
      <c r="F94" s="16" t="n">
        <v>14.4</v>
      </c>
      <c r="G94" s="16" t="n">
        <v>10.5</v>
      </c>
      <c r="H94" s="35" t="n">
        <v>0.3</v>
      </c>
      <c r="I94" s="32" t="n">
        <v>0.912</v>
      </c>
      <c r="J94" s="16" t="inlineStr">
        <is>
          <t>否</t>
        </is>
      </c>
      <c r="K94" s="16" t="inlineStr">
        <is>
          <t>正常</t>
        </is>
      </c>
    </row>
    <row r="95">
      <c r="A95" s="16" t="inlineStr">
        <is>
          <t>NY-KW-2508-019</t>
        </is>
      </c>
      <c r="B95" s="16" t="inlineStr">
        <is>
          <t>预冷</t>
        </is>
      </c>
      <c r="C95" s="34" t="n">
        <v>45920</v>
      </c>
      <c r="D95" s="34" t="n">
        <v>45920.54166666666</v>
      </c>
      <c r="E95" s="16" t="n">
        <v>2.9</v>
      </c>
      <c r="F95" s="16" t="n">
        <v>5.5</v>
      </c>
      <c r="G95" s="16" t="n">
        <v>2.4</v>
      </c>
      <c r="H95" s="35" t="n">
        <v>0</v>
      </c>
      <c r="I95" s="32" t="n">
        <v>0.781</v>
      </c>
      <c r="J95" s="16" t="inlineStr">
        <is>
          <t>否</t>
        </is>
      </c>
      <c r="K95" s="16" t="inlineStr">
        <is>
          <t>到店后常温暴露偏长</t>
        </is>
      </c>
    </row>
    <row r="96">
      <c r="A96" s="16" t="inlineStr">
        <is>
          <t>NY-KW-2508-019</t>
        </is>
      </c>
      <c r="B96" s="16" t="inlineStr">
        <is>
          <t>主仓冷藏</t>
        </is>
      </c>
      <c r="C96" s="34" t="n">
        <v>45920.33333333334</v>
      </c>
      <c r="D96" s="34" t="n">
        <v>45923.54166666666</v>
      </c>
      <c r="E96" s="16" t="n">
        <v>3.1</v>
      </c>
      <c r="F96" s="16" t="n">
        <v>4.9</v>
      </c>
      <c r="G96" s="16" t="n">
        <v>2.6</v>
      </c>
      <c r="H96" s="35" t="n">
        <v>0</v>
      </c>
      <c r="I96" s="32" t="n">
        <v>0.868</v>
      </c>
      <c r="J96" s="16" t="inlineStr">
        <is>
          <t>否</t>
        </is>
      </c>
      <c r="K96" s="16" t="inlineStr">
        <is>
          <t>需关注</t>
        </is>
      </c>
    </row>
    <row r="97">
      <c r="A97" s="16" t="inlineStr">
        <is>
          <t>NY-KW-2508-019</t>
        </is>
      </c>
      <c r="B97" s="16" t="inlineStr">
        <is>
          <t>干线运输</t>
        </is>
      </c>
      <c r="C97" s="34" t="n">
        <v>45923.33333333334</v>
      </c>
      <c r="D97" s="34" t="n">
        <v>45923.70833333334</v>
      </c>
      <c r="E97" s="16" t="n">
        <v>5.2</v>
      </c>
      <c r="F97" s="16" t="n">
        <v>7</v>
      </c>
      <c r="G97" s="16" t="n">
        <v>4</v>
      </c>
      <c r="H97" s="35" t="n">
        <v>1.2</v>
      </c>
      <c r="I97" s="32" t="n">
        <v>0.839</v>
      </c>
      <c r="J97" s="16" t="inlineStr">
        <is>
          <t>否</t>
        </is>
      </c>
      <c r="K97" s="16" t="inlineStr">
        <is>
          <t>温度波动</t>
        </is>
      </c>
    </row>
    <row r="98">
      <c r="A98" s="16" t="inlineStr">
        <is>
          <t>NY-KW-2508-019</t>
        </is>
      </c>
      <c r="B98" s="16" t="inlineStr">
        <is>
          <t>分仓暂存</t>
        </is>
      </c>
      <c r="C98" s="34" t="n">
        <v>45923.83333333334</v>
      </c>
      <c r="D98" s="34" t="n">
        <v>45924.95833333334</v>
      </c>
      <c r="E98" s="16" t="n">
        <v>2.2</v>
      </c>
      <c r="F98" s="16" t="n">
        <v>3.6</v>
      </c>
      <c r="G98" s="16" t="n">
        <v>1.4</v>
      </c>
      <c r="H98" s="35" t="n">
        <v>0</v>
      </c>
      <c r="I98" s="32" t="n">
        <v>0.788</v>
      </c>
      <c r="J98" s="16" t="inlineStr">
        <is>
          <t>否</t>
        </is>
      </c>
      <c r="K98" s="16" t="inlineStr">
        <is>
          <t>正常</t>
        </is>
      </c>
    </row>
    <row r="99">
      <c r="A99" s="16" t="inlineStr">
        <is>
          <t>NY-KW-2508-019</t>
        </is>
      </c>
      <c r="B99" s="16" t="inlineStr">
        <is>
          <t>门店货架</t>
        </is>
      </c>
      <c r="C99" s="34" t="n">
        <v>45924.83333333334</v>
      </c>
      <c r="D99" s="34" t="n">
        <v>45926.41666666666</v>
      </c>
      <c r="E99" s="16" t="n">
        <v>11.6</v>
      </c>
      <c r="F99" s="16" t="n">
        <v>16.6</v>
      </c>
      <c r="G99" s="16" t="n">
        <v>10.2</v>
      </c>
      <c r="H99" s="35" t="n">
        <v>1.7</v>
      </c>
      <c r="I99" s="32" t="n">
        <v>0.866</v>
      </c>
      <c r="J99" s="16" t="inlineStr">
        <is>
          <t>否</t>
        </is>
      </c>
      <c r="K99" s="16" t="inlineStr">
        <is>
          <t>温度波动</t>
        </is>
      </c>
    </row>
    <row r="100">
      <c r="A100" s="16" t="inlineStr">
        <is>
          <t>NY-KW-2508-020</t>
        </is>
      </c>
      <c r="B100" s="16" t="inlineStr">
        <is>
          <t>预冷</t>
        </is>
      </c>
      <c r="C100" s="34" t="n">
        <v>45918</v>
      </c>
      <c r="D100" s="34" t="n">
        <v>45918.54166666666</v>
      </c>
      <c r="E100" s="16" t="n">
        <v>1.9</v>
      </c>
      <c r="F100" s="16" t="n">
        <v>5.9</v>
      </c>
      <c r="G100" s="16" t="n">
        <v>0</v>
      </c>
      <c r="H100" s="35" t="n">
        <v>0</v>
      </c>
      <c r="I100" s="32" t="n">
        <v>0.782</v>
      </c>
      <c r="J100" s="16" t="inlineStr">
        <is>
          <t>否</t>
        </is>
      </c>
      <c r="K100" s="16" t="inlineStr">
        <is>
          <t>到店后常温暴露偏长</t>
        </is>
      </c>
    </row>
    <row r="101">
      <c r="A101" s="16" t="inlineStr">
        <is>
          <t>NY-KW-2508-020</t>
        </is>
      </c>
      <c r="B101" s="16" t="inlineStr">
        <is>
          <t>主仓冷藏</t>
        </is>
      </c>
      <c r="C101" s="34" t="n">
        <v>45918.33333333334</v>
      </c>
      <c r="D101" s="34" t="n">
        <v>45921.25</v>
      </c>
      <c r="E101" s="16" t="n">
        <v>4</v>
      </c>
      <c r="F101" s="16" t="n">
        <v>6.3</v>
      </c>
      <c r="G101" s="16" t="n">
        <v>3.3</v>
      </c>
      <c r="H101" s="35" t="n">
        <v>0.3</v>
      </c>
      <c r="I101" s="32" t="n">
        <v>0.85</v>
      </c>
      <c r="J101" s="16" t="inlineStr">
        <is>
          <t>否</t>
        </is>
      </c>
      <c r="K101" s="16" t="inlineStr">
        <is>
          <t>温度波动</t>
        </is>
      </c>
    </row>
    <row r="102">
      <c r="A102" s="16" t="inlineStr">
        <is>
          <t>NY-KW-2508-020</t>
        </is>
      </c>
      <c r="B102" s="16" t="inlineStr">
        <is>
          <t>干线运输</t>
        </is>
      </c>
      <c r="C102" s="34" t="n">
        <v>45921.33333333334</v>
      </c>
      <c r="D102" s="34" t="n">
        <v>45921.66666666666</v>
      </c>
      <c r="E102" s="16" t="n">
        <v>7.5</v>
      </c>
      <c r="F102" s="16" t="n">
        <v>9.4</v>
      </c>
      <c r="G102" s="16" t="n">
        <v>5.6</v>
      </c>
      <c r="H102" s="35" t="n">
        <v>5.1</v>
      </c>
      <c r="I102" s="32" t="n">
        <v>0.862</v>
      </c>
      <c r="J102" s="16" t="inlineStr">
        <is>
          <t>是</t>
        </is>
      </c>
      <c r="K102" s="16" t="inlineStr">
        <is>
          <t>需关注</t>
        </is>
      </c>
    </row>
    <row r="103">
      <c r="A103" s="16" t="inlineStr">
        <is>
          <t>NY-KW-2508-020</t>
        </is>
      </c>
      <c r="B103" s="16" t="inlineStr">
        <is>
          <t>分仓暂存</t>
        </is>
      </c>
      <c r="C103" s="34" t="n">
        <v>45921.83333333334</v>
      </c>
      <c r="D103" s="34" t="n">
        <v>45922.75</v>
      </c>
      <c r="E103" s="16" t="n">
        <v>2.7</v>
      </c>
      <c r="F103" s="16" t="n">
        <v>4.8</v>
      </c>
      <c r="G103" s="16" t="n">
        <v>1.7</v>
      </c>
      <c r="H103" s="35" t="n">
        <v>0</v>
      </c>
      <c r="I103" s="32" t="n">
        <v>0.8159999999999999</v>
      </c>
      <c r="J103" s="16" t="inlineStr">
        <is>
          <t>否</t>
        </is>
      </c>
      <c r="K103" s="16" t="inlineStr">
        <is>
          <t>正常</t>
        </is>
      </c>
    </row>
    <row r="104">
      <c r="A104" s="16" t="inlineStr">
        <is>
          <t>NY-KW-2508-020</t>
        </is>
      </c>
      <c r="B104" s="16" t="inlineStr">
        <is>
          <t>门店货架</t>
        </is>
      </c>
      <c r="C104" s="34" t="n">
        <v>45922.83333333334</v>
      </c>
      <c r="D104" s="34" t="n">
        <v>45924.375</v>
      </c>
      <c r="E104" s="16" t="n">
        <v>19.6</v>
      </c>
      <c r="F104" s="16" t="n">
        <v>20.7</v>
      </c>
      <c r="G104" s="16" t="n">
        <v>18.8</v>
      </c>
      <c r="H104" s="35" t="n">
        <v>10</v>
      </c>
      <c r="I104" s="32" t="n">
        <v>0.804</v>
      </c>
      <c r="J104" s="16" t="inlineStr">
        <is>
          <t>否</t>
        </is>
      </c>
      <c r="K104" s="16" t="inlineStr">
        <is>
          <t>正常</t>
        </is>
      </c>
    </row>
    <row r="105">
      <c r="A105" s="16" t="inlineStr">
        <is>
          <t>NY-KW-2508-021</t>
        </is>
      </c>
      <c r="B105" s="16" t="inlineStr">
        <is>
          <t>预冷</t>
        </is>
      </c>
      <c r="C105" s="34" t="n">
        <v>45897</v>
      </c>
      <c r="D105" s="34" t="n">
        <v>45897.45833333334</v>
      </c>
      <c r="E105" s="16" t="n">
        <v>2.6</v>
      </c>
      <c r="F105" s="16" t="n">
        <v>6.6</v>
      </c>
      <c r="G105" s="16" t="n">
        <v>1.6</v>
      </c>
      <c r="H105" s="35" t="n">
        <v>0.8</v>
      </c>
      <c r="I105" s="32" t="n">
        <v>0.87</v>
      </c>
      <c r="J105" s="16" t="inlineStr">
        <is>
          <t>否</t>
        </is>
      </c>
      <c r="K105" s="16" t="inlineStr">
        <is>
          <t>正常</t>
        </is>
      </c>
    </row>
    <row r="106">
      <c r="A106" s="16" t="inlineStr">
        <is>
          <t>NY-KW-2508-021</t>
        </is>
      </c>
      <c r="B106" s="16" t="inlineStr">
        <is>
          <t>主仓冷藏</t>
        </is>
      </c>
      <c r="C106" s="34" t="n">
        <v>45897.33333333334</v>
      </c>
      <c r="D106" s="34" t="n">
        <v>45900.41666666666</v>
      </c>
      <c r="E106" s="16" t="n">
        <v>2.5</v>
      </c>
      <c r="F106" s="16" t="n">
        <v>4.8</v>
      </c>
      <c r="G106" s="16" t="n">
        <v>0</v>
      </c>
      <c r="H106" s="35" t="n">
        <v>0</v>
      </c>
      <c r="I106" s="32" t="n">
        <v>0.836</v>
      </c>
      <c r="J106" s="16" t="inlineStr">
        <is>
          <t>否</t>
        </is>
      </c>
      <c r="K106" s="16" t="inlineStr">
        <is>
          <t>需关注</t>
        </is>
      </c>
    </row>
    <row r="107">
      <c r="A107" s="16" t="inlineStr">
        <is>
          <t>NY-KW-2508-021</t>
        </is>
      </c>
      <c r="B107" s="16" t="inlineStr">
        <is>
          <t>干线运输</t>
        </is>
      </c>
      <c r="C107" s="34" t="n">
        <v>45900.33333333334</v>
      </c>
      <c r="D107" s="34" t="n">
        <v>45900.66666666666</v>
      </c>
      <c r="E107" s="16" t="n">
        <v>4.4</v>
      </c>
      <c r="F107" s="16" t="n">
        <v>6</v>
      </c>
      <c r="G107" s="16" t="n">
        <v>2.9</v>
      </c>
      <c r="H107" s="35" t="n">
        <v>0</v>
      </c>
      <c r="I107" s="32" t="n">
        <v>0.893</v>
      </c>
      <c r="J107" s="16" t="inlineStr">
        <is>
          <t>否</t>
        </is>
      </c>
      <c r="K107" s="16" t="inlineStr">
        <is>
          <t>需关注</t>
        </is>
      </c>
    </row>
    <row r="108">
      <c r="A108" s="16" t="inlineStr">
        <is>
          <t>NY-KW-2508-021</t>
        </is>
      </c>
      <c r="B108" s="16" t="inlineStr">
        <is>
          <t>分仓暂存</t>
        </is>
      </c>
      <c r="C108" s="34" t="n">
        <v>45900.83333333334</v>
      </c>
      <c r="D108" s="34" t="n">
        <v>45902</v>
      </c>
      <c r="E108" s="16" t="n">
        <v>2.4</v>
      </c>
      <c r="F108" s="16" t="n">
        <v>4.8</v>
      </c>
      <c r="G108" s="16" t="n">
        <v>0.4</v>
      </c>
      <c r="H108" s="35" t="n">
        <v>0</v>
      </c>
      <c r="I108" s="32" t="n">
        <v>0.888</v>
      </c>
      <c r="J108" s="16" t="inlineStr">
        <is>
          <t>否</t>
        </is>
      </c>
      <c r="K108" s="16" t="inlineStr">
        <is>
          <t>需关注</t>
        </is>
      </c>
    </row>
    <row r="109">
      <c r="A109" s="16" t="inlineStr">
        <is>
          <t>NY-KW-2508-021</t>
        </is>
      </c>
      <c r="B109" s="16" t="inlineStr">
        <is>
          <t>门店货架</t>
        </is>
      </c>
      <c r="C109" s="34" t="n">
        <v>45901.83333333334</v>
      </c>
      <c r="D109" s="34" t="n">
        <v>45903.45833333334</v>
      </c>
      <c r="E109" s="16" t="n">
        <v>10.9</v>
      </c>
      <c r="F109" s="16" t="n">
        <v>15.8</v>
      </c>
      <c r="G109" s="16" t="n">
        <v>8.5</v>
      </c>
      <c r="H109" s="35" t="n">
        <v>2.6</v>
      </c>
      <c r="I109" s="32" t="n">
        <v>0.8129999999999999</v>
      </c>
      <c r="J109" s="16" t="inlineStr">
        <is>
          <t>否</t>
        </is>
      </c>
      <c r="K109" s="16" t="inlineStr">
        <is>
          <t>温度波动</t>
        </is>
      </c>
    </row>
    <row r="110">
      <c r="A110" s="16" t="inlineStr">
        <is>
          <t>NY-KW-2508-022</t>
        </is>
      </c>
      <c r="B110" s="16" t="inlineStr">
        <is>
          <t>预冷</t>
        </is>
      </c>
      <c r="C110" s="34" t="n">
        <v>45908</v>
      </c>
      <c r="D110" s="34" t="n">
        <v>45908.375</v>
      </c>
      <c r="E110" s="16" t="n">
        <v>2.5</v>
      </c>
      <c r="F110" s="16" t="n">
        <v>3.7</v>
      </c>
      <c r="G110" s="16" t="n">
        <v>0.3</v>
      </c>
      <c r="H110" s="35" t="n">
        <v>0</v>
      </c>
      <c r="I110" s="32" t="n">
        <v>0.864</v>
      </c>
      <c r="J110" s="16" t="inlineStr">
        <is>
          <t>否</t>
        </is>
      </c>
      <c r="K110" s="16" t="inlineStr">
        <is>
          <t>正常</t>
        </is>
      </c>
    </row>
    <row r="111">
      <c r="A111" s="16" t="inlineStr">
        <is>
          <t>NY-KW-2508-022</t>
        </is>
      </c>
      <c r="B111" s="16" t="inlineStr">
        <is>
          <t>主仓冷藏</t>
        </is>
      </c>
      <c r="C111" s="34" t="n">
        <v>45908.33333333334</v>
      </c>
      <c r="D111" s="34" t="n">
        <v>45911.29166666666</v>
      </c>
      <c r="E111" s="16" t="n">
        <v>3.8</v>
      </c>
      <c r="F111" s="16" t="n">
        <v>8.800000000000001</v>
      </c>
      <c r="G111" s="16" t="n">
        <v>2.1</v>
      </c>
      <c r="H111" s="35" t="n">
        <v>1</v>
      </c>
      <c r="I111" s="32" t="n">
        <v>0.8120000000000001</v>
      </c>
      <c r="J111" s="16" t="inlineStr">
        <is>
          <t>否</t>
        </is>
      </c>
      <c r="K111" s="16" t="inlineStr">
        <is>
          <t>正常</t>
        </is>
      </c>
    </row>
    <row r="112">
      <c r="A112" s="16" t="inlineStr">
        <is>
          <t>NY-KW-2508-022</t>
        </is>
      </c>
      <c r="B112" s="16" t="inlineStr">
        <is>
          <t>干线运输</t>
        </is>
      </c>
      <c r="C112" s="34" t="n">
        <v>45911.33333333334</v>
      </c>
      <c r="D112" s="34" t="n">
        <v>45911.83333333334</v>
      </c>
      <c r="E112" s="16" t="n">
        <v>4.8</v>
      </c>
      <c r="F112" s="16" t="n">
        <v>9</v>
      </c>
      <c r="G112" s="16" t="n">
        <v>2.7</v>
      </c>
      <c r="H112" s="35" t="n">
        <v>3.2</v>
      </c>
      <c r="I112" s="32" t="n">
        <v>0.902</v>
      </c>
      <c r="J112" s="16" t="inlineStr">
        <is>
          <t>否</t>
        </is>
      </c>
      <c r="K112" s="16" t="inlineStr">
        <is>
          <t>温度波动</t>
        </is>
      </c>
    </row>
    <row r="113">
      <c r="A113" s="16" t="inlineStr">
        <is>
          <t>NY-KW-2508-022</t>
        </is>
      </c>
      <c r="B113" s="16" t="inlineStr">
        <is>
          <t>分仓暂存</t>
        </is>
      </c>
      <c r="C113" s="34" t="n">
        <v>45911.83333333334</v>
      </c>
      <c r="D113" s="34" t="n">
        <v>45913</v>
      </c>
      <c r="E113" s="16" t="n">
        <v>3.6</v>
      </c>
      <c r="F113" s="16" t="n">
        <v>8.4</v>
      </c>
      <c r="G113" s="16" t="n">
        <v>1.8</v>
      </c>
      <c r="H113" s="35" t="n">
        <v>1.7</v>
      </c>
      <c r="I113" s="32" t="n">
        <v>0.822</v>
      </c>
      <c r="J113" s="16" t="inlineStr">
        <is>
          <t>否</t>
        </is>
      </c>
      <c r="K113" s="16" t="inlineStr">
        <is>
          <t>需关注</t>
        </is>
      </c>
    </row>
    <row r="114">
      <c r="A114" s="16" t="inlineStr">
        <is>
          <t>NY-KW-2508-022</t>
        </is>
      </c>
      <c r="B114" s="16" t="inlineStr">
        <is>
          <t>门店货架</t>
        </is>
      </c>
      <c r="C114" s="34" t="n">
        <v>45912.83333333334</v>
      </c>
      <c r="D114" s="34" t="n">
        <v>45914.29166666666</v>
      </c>
      <c r="E114" s="16" t="n">
        <v>12.2</v>
      </c>
      <c r="F114" s="16" t="n">
        <v>14.5</v>
      </c>
      <c r="G114" s="16" t="n">
        <v>10.6</v>
      </c>
      <c r="H114" s="35" t="n">
        <v>0.6</v>
      </c>
      <c r="I114" s="32" t="n">
        <v>0.842</v>
      </c>
      <c r="J114" s="16" t="inlineStr">
        <is>
          <t>否</t>
        </is>
      </c>
      <c r="K114" s="16" t="inlineStr">
        <is>
          <t>正常</t>
        </is>
      </c>
    </row>
    <row r="115">
      <c r="A115" s="16" t="inlineStr">
        <is>
          <t>NY-KW-2508-023</t>
        </is>
      </c>
      <c r="B115" s="16" t="inlineStr">
        <is>
          <t>预冷</t>
        </is>
      </c>
      <c r="C115" s="34" t="n">
        <v>45911</v>
      </c>
      <c r="D115" s="34" t="n">
        <v>45911.58333333334</v>
      </c>
      <c r="E115" s="16" t="n">
        <v>3.6</v>
      </c>
      <c r="F115" s="16" t="n">
        <v>8.300000000000001</v>
      </c>
      <c r="G115" s="16" t="n">
        <v>2.9</v>
      </c>
      <c r="H115" s="35" t="n">
        <v>2.9</v>
      </c>
      <c r="I115" s="32" t="n">
        <v>0.91</v>
      </c>
      <c r="J115" s="16" t="inlineStr">
        <is>
          <t>否</t>
        </is>
      </c>
      <c r="K115" s="16" t="inlineStr">
        <is>
          <t>正常</t>
        </is>
      </c>
    </row>
    <row r="116">
      <c r="A116" s="16" t="inlineStr">
        <is>
          <t>NY-KW-2508-023</t>
        </is>
      </c>
      <c r="B116" s="16" t="inlineStr">
        <is>
          <t>主仓冷藏</t>
        </is>
      </c>
      <c r="C116" s="34" t="n">
        <v>45911.33333333334</v>
      </c>
      <c r="D116" s="34" t="n">
        <v>45914.29166666666</v>
      </c>
      <c r="E116" s="16" t="n">
        <v>4.1</v>
      </c>
      <c r="F116" s="16" t="n">
        <v>5.7</v>
      </c>
      <c r="G116" s="16" t="n">
        <v>2</v>
      </c>
      <c r="H116" s="35" t="n">
        <v>0</v>
      </c>
      <c r="I116" s="32" t="n">
        <v>0.916</v>
      </c>
      <c r="J116" s="16" t="inlineStr">
        <is>
          <t>否</t>
        </is>
      </c>
      <c r="K116" s="16" t="inlineStr">
        <is>
          <t>正常</t>
        </is>
      </c>
    </row>
    <row r="117">
      <c r="A117" s="16" t="inlineStr">
        <is>
          <t>NY-KW-2508-023</t>
        </is>
      </c>
      <c r="B117" s="16" t="inlineStr">
        <is>
          <t>干线运输</t>
        </is>
      </c>
      <c r="C117" s="34" t="n">
        <v>45914.33333333334</v>
      </c>
      <c r="D117" s="34" t="n">
        <v>45915</v>
      </c>
      <c r="E117" s="16" t="n">
        <v>3.8</v>
      </c>
      <c r="F117" s="16" t="n">
        <v>5.3</v>
      </c>
      <c r="G117" s="16" t="n">
        <v>1.3</v>
      </c>
      <c r="H117" s="35" t="n">
        <v>0</v>
      </c>
      <c r="I117" s="32" t="n">
        <v>0.806</v>
      </c>
      <c r="J117" s="16" t="inlineStr">
        <is>
          <t>否</t>
        </is>
      </c>
      <c r="K117" s="16" t="inlineStr">
        <is>
          <t>需关注</t>
        </is>
      </c>
    </row>
    <row r="118">
      <c r="A118" s="16" t="inlineStr">
        <is>
          <t>NY-KW-2508-023</t>
        </is>
      </c>
      <c r="B118" s="16" t="inlineStr">
        <is>
          <t>分仓暂存</t>
        </is>
      </c>
      <c r="C118" s="34" t="n">
        <v>45914.83333333334</v>
      </c>
      <c r="D118" s="34" t="n">
        <v>45916</v>
      </c>
      <c r="E118" s="16" t="n">
        <v>4.5</v>
      </c>
      <c r="F118" s="16" t="n">
        <v>6.6</v>
      </c>
      <c r="G118" s="16" t="n">
        <v>3.8</v>
      </c>
      <c r="H118" s="35" t="n">
        <v>0.5</v>
      </c>
      <c r="I118" s="32" t="n">
        <v>0.853</v>
      </c>
      <c r="J118" s="16" t="inlineStr">
        <is>
          <t>否</t>
        </is>
      </c>
      <c r="K118" s="16" t="inlineStr">
        <is>
          <t>到店后常温暴露偏长</t>
        </is>
      </c>
    </row>
    <row r="119">
      <c r="A119" s="16" t="inlineStr">
        <is>
          <t>NY-KW-2508-023</t>
        </is>
      </c>
      <c r="B119" s="16" t="inlineStr">
        <is>
          <t>门店货架</t>
        </is>
      </c>
      <c r="C119" s="34" t="n">
        <v>45915.83333333334</v>
      </c>
      <c r="D119" s="34" t="n">
        <v>45917.29166666666</v>
      </c>
      <c r="E119" s="16" t="n">
        <v>19.5</v>
      </c>
      <c r="F119" s="16" t="n">
        <v>21.6</v>
      </c>
      <c r="G119" s="16" t="n">
        <v>17.1</v>
      </c>
      <c r="H119" s="35" t="n">
        <v>2.9</v>
      </c>
      <c r="I119" s="32" t="n">
        <v>0.921</v>
      </c>
      <c r="J119" s="16" t="inlineStr">
        <is>
          <t>否</t>
        </is>
      </c>
      <c r="K119" s="16" t="inlineStr">
        <is>
          <t>温度波动</t>
        </is>
      </c>
    </row>
    <row r="120">
      <c r="A120" s="16" t="inlineStr">
        <is>
          <t>NY-KW-2508-024</t>
        </is>
      </c>
      <c r="B120" s="16" t="inlineStr">
        <is>
          <t>预冷</t>
        </is>
      </c>
      <c r="C120" s="34" t="n">
        <v>45921</v>
      </c>
      <c r="D120" s="34" t="n">
        <v>45921.25</v>
      </c>
      <c r="E120" s="16" t="n">
        <v>2.6</v>
      </c>
      <c r="F120" s="16" t="n">
        <v>3.9</v>
      </c>
      <c r="G120" s="16" t="n">
        <v>0.9</v>
      </c>
      <c r="H120" s="35" t="n">
        <v>0</v>
      </c>
      <c r="I120" s="32" t="n">
        <v>0.822</v>
      </c>
      <c r="J120" s="16" t="inlineStr">
        <is>
          <t>否</t>
        </is>
      </c>
      <c r="K120" s="16" t="inlineStr">
        <is>
          <t>正常</t>
        </is>
      </c>
    </row>
    <row r="121">
      <c r="A121" s="16" t="inlineStr">
        <is>
          <t>NY-KW-2508-024</t>
        </is>
      </c>
      <c r="B121" s="16" t="inlineStr">
        <is>
          <t>主仓冷藏</t>
        </is>
      </c>
      <c r="C121" s="34" t="n">
        <v>45921.33333333334</v>
      </c>
      <c r="D121" s="34" t="n">
        <v>45924.5</v>
      </c>
      <c r="E121" s="16" t="n">
        <v>2.5</v>
      </c>
      <c r="F121" s="16" t="n">
        <v>4.4</v>
      </c>
      <c r="G121" s="16" t="n">
        <v>0.4</v>
      </c>
      <c r="H121" s="35" t="n">
        <v>0</v>
      </c>
      <c r="I121" s="32" t="n">
        <v>0.855</v>
      </c>
      <c r="J121" s="16" t="inlineStr">
        <is>
          <t>否</t>
        </is>
      </c>
      <c r="K121" s="16" t="inlineStr">
        <is>
          <t>需关注</t>
        </is>
      </c>
    </row>
    <row r="122">
      <c r="A122" s="16" t="inlineStr">
        <is>
          <t>NY-KW-2508-024</t>
        </is>
      </c>
      <c r="B122" s="16" t="inlineStr">
        <is>
          <t>干线运输</t>
        </is>
      </c>
      <c r="C122" s="34" t="n">
        <v>45924.33333333334</v>
      </c>
      <c r="D122" s="34" t="n">
        <v>45924.79166666666</v>
      </c>
      <c r="E122" s="16" t="n">
        <v>6.1</v>
      </c>
      <c r="F122" s="16" t="n">
        <v>9.1</v>
      </c>
      <c r="G122" s="16" t="n">
        <v>4.9</v>
      </c>
      <c r="H122" s="35" t="n">
        <v>1.8</v>
      </c>
      <c r="I122" s="32" t="n">
        <v>0.892</v>
      </c>
      <c r="J122" s="16" t="inlineStr">
        <is>
          <t>否</t>
        </is>
      </c>
      <c r="K122" s="16" t="inlineStr">
        <is>
          <t>到店后常温暴露偏长</t>
        </is>
      </c>
    </row>
    <row r="123">
      <c r="A123" s="16" t="inlineStr">
        <is>
          <t>NY-KW-2508-024</t>
        </is>
      </c>
      <c r="B123" s="16" t="inlineStr">
        <is>
          <t>分仓暂存</t>
        </is>
      </c>
      <c r="C123" s="34" t="n">
        <v>45924.83333333334</v>
      </c>
      <c r="D123" s="34" t="n">
        <v>45925.79166666666</v>
      </c>
      <c r="E123" s="16" t="n">
        <v>3.6</v>
      </c>
      <c r="F123" s="16" t="n">
        <v>7.6</v>
      </c>
      <c r="G123" s="16" t="n">
        <v>2.1</v>
      </c>
      <c r="H123" s="35" t="n">
        <v>2.3</v>
      </c>
      <c r="I123" s="32" t="n">
        <v>0.799</v>
      </c>
      <c r="J123" s="16" t="inlineStr">
        <is>
          <t>否</t>
        </is>
      </c>
      <c r="K123" s="16" t="inlineStr">
        <is>
          <t>需关注</t>
        </is>
      </c>
    </row>
    <row r="124">
      <c r="A124" s="16" t="inlineStr">
        <is>
          <t>NY-KW-2508-024</t>
        </is>
      </c>
      <c r="B124" s="16" t="inlineStr">
        <is>
          <t>门店货架</t>
        </is>
      </c>
      <c r="C124" s="34" t="n">
        <v>45925.83333333334</v>
      </c>
      <c r="D124" s="34" t="n">
        <v>45927.375</v>
      </c>
      <c r="E124" s="16" t="n">
        <v>19.2</v>
      </c>
      <c r="F124" s="16" t="n">
        <v>21.9</v>
      </c>
      <c r="G124" s="16" t="n">
        <v>18.3</v>
      </c>
      <c r="H124" s="35" t="n">
        <v>4.1</v>
      </c>
      <c r="I124" s="32" t="n">
        <v>0.829</v>
      </c>
      <c r="J124" s="16" t="inlineStr">
        <is>
          <t>否</t>
        </is>
      </c>
      <c r="K124" s="16" t="inlineStr">
        <is>
          <t>需关注</t>
        </is>
      </c>
    </row>
    <row r="125">
      <c r="A125" s="16" t="inlineStr">
        <is>
          <t>NY-KW-2508-025</t>
        </is>
      </c>
      <c r="B125" s="16" t="inlineStr">
        <is>
          <t>预冷</t>
        </is>
      </c>
      <c r="C125" s="34" t="n">
        <v>45946</v>
      </c>
      <c r="D125" s="34" t="n">
        <v>45946.54166666666</v>
      </c>
      <c r="E125" s="16" t="n">
        <v>2.1</v>
      </c>
      <c r="F125" s="16" t="n">
        <v>6.3</v>
      </c>
      <c r="G125" s="16" t="n">
        <v>0.6</v>
      </c>
      <c r="H125" s="35" t="n">
        <v>0.4</v>
      </c>
      <c r="I125" s="32" t="n">
        <v>0.87</v>
      </c>
      <c r="J125" s="16" t="inlineStr">
        <is>
          <t>否</t>
        </is>
      </c>
      <c r="K125" s="16" t="inlineStr">
        <is>
          <t>到店后常温暴露偏长</t>
        </is>
      </c>
    </row>
    <row r="126">
      <c r="A126" s="16" t="inlineStr">
        <is>
          <t>NY-KW-2508-025</t>
        </is>
      </c>
      <c r="B126" s="16" t="inlineStr">
        <is>
          <t>主仓冷藏</t>
        </is>
      </c>
      <c r="C126" s="34" t="n">
        <v>45946.33333333334</v>
      </c>
      <c r="D126" s="34" t="n">
        <v>45949.5</v>
      </c>
      <c r="E126" s="16" t="n">
        <v>3.2</v>
      </c>
      <c r="F126" s="16" t="n">
        <v>5.3</v>
      </c>
      <c r="G126" s="16" t="n">
        <v>1.3</v>
      </c>
      <c r="H126" s="35" t="n">
        <v>0</v>
      </c>
      <c r="I126" s="32" t="n">
        <v>0.924</v>
      </c>
      <c r="J126" s="16" t="inlineStr">
        <is>
          <t>否</t>
        </is>
      </c>
      <c r="K126" s="16" t="inlineStr">
        <is>
          <t>需关注</t>
        </is>
      </c>
    </row>
    <row r="127">
      <c r="A127" s="16" t="inlineStr">
        <is>
          <t>NY-KW-2508-025</t>
        </is>
      </c>
      <c r="B127" s="16" t="inlineStr">
        <is>
          <t>干线运输</t>
        </is>
      </c>
      <c r="C127" s="34" t="n">
        <v>45949.33333333334</v>
      </c>
      <c r="D127" s="34" t="n">
        <v>45950</v>
      </c>
      <c r="E127" s="16" t="n">
        <v>6.1</v>
      </c>
      <c r="F127" s="16" t="n">
        <v>10.9</v>
      </c>
      <c r="G127" s="16" t="n">
        <v>4.3</v>
      </c>
      <c r="H127" s="35" t="n">
        <v>5.4</v>
      </c>
      <c r="I127" s="32" t="n">
        <v>0.906</v>
      </c>
      <c r="J127" s="16" t="inlineStr">
        <is>
          <t>否</t>
        </is>
      </c>
      <c r="K127" s="16" t="inlineStr">
        <is>
          <t>到店后常温暴露偏长</t>
        </is>
      </c>
    </row>
    <row r="128">
      <c r="A128" s="16" t="inlineStr">
        <is>
          <t>NY-KW-2508-025</t>
        </is>
      </c>
      <c r="B128" s="16" t="inlineStr">
        <is>
          <t>分仓暂存</t>
        </is>
      </c>
      <c r="C128" s="34" t="n">
        <v>45949.83333333334</v>
      </c>
      <c r="D128" s="34" t="n">
        <v>45951.08333333334</v>
      </c>
      <c r="E128" s="16" t="n">
        <v>2</v>
      </c>
      <c r="F128" s="16" t="n">
        <v>3.1</v>
      </c>
      <c r="G128" s="16" t="n">
        <v>0</v>
      </c>
      <c r="H128" s="35" t="n">
        <v>0</v>
      </c>
      <c r="I128" s="32" t="n">
        <v>0.892</v>
      </c>
      <c r="J128" s="16" t="inlineStr">
        <is>
          <t>否</t>
        </is>
      </c>
      <c r="K128" s="16" t="inlineStr">
        <is>
          <t>需关注</t>
        </is>
      </c>
    </row>
    <row r="129">
      <c r="A129" s="16" t="inlineStr">
        <is>
          <t>NY-KW-2508-025</t>
        </is>
      </c>
      <c r="B129" s="16" t="inlineStr">
        <is>
          <t>门店货架</t>
        </is>
      </c>
      <c r="C129" s="34" t="n">
        <v>45950.83333333334</v>
      </c>
      <c r="D129" s="34" t="n">
        <v>45952.29166666666</v>
      </c>
      <c r="E129" s="16" t="n">
        <v>11.3</v>
      </c>
      <c r="F129" s="16" t="n">
        <v>16.4</v>
      </c>
      <c r="G129" s="16" t="n">
        <v>8.9</v>
      </c>
      <c r="H129" s="35" t="n">
        <v>2.6</v>
      </c>
      <c r="I129" s="32" t="n">
        <v>0.791</v>
      </c>
      <c r="J129" s="16" t="inlineStr">
        <is>
          <t>否</t>
        </is>
      </c>
      <c r="K129" s="16" t="inlineStr">
        <is>
          <t>温度波动</t>
        </is>
      </c>
    </row>
    <row r="130">
      <c r="A130" s="16" t="inlineStr">
        <is>
          <t>NY-KW-2508-026</t>
        </is>
      </c>
      <c r="B130" s="16" t="inlineStr">
        <is>
          <t>预冷</t>
        </is>
      </c>
      <c r="C130" s="34" t="n">
        <v>45904</v>
      </c>
      <c r="D130" s="34" t="n">
        <v>45904.375</v>
      </c>
      <c r="E130" s="16" t="n">
        <v>4.2</v>
      </c>
      <c r="F130" s="16" t="n">
        <v>6.5</v>
      </c>
      <c r="G130" s="16" t="n">
        <v>3.2</v>
      </c>
      <c r="H130" s="35" t="n">
        <v>0.3</v>
      </c>
      <c r="I130" s="32" t="n">
        <v>0.82</v>
      </c>
      <c r="J130" s="16" t="inlineStr">
        <is>
          <t>否</t>
        </is>
      </c>
      <c r="K130" s="16" t="inlineStr">
        <is>
          <t>正常</t>
        </is>
      </c>
    </row>
    <row r="131">
      <c r="A131" s="16" t="inlineStr">
        <is>
          <t>NY-KW-2508-026</t>
        </is>
      </c>
      <c r="B131" s="16" t="inlineStr">
        <is>
          <t>主仓冷藏</t>
        </is>
      </c>
      <c r="C131" s="34" t="n">
        <v>45904.33333333334</v>
      </c>
      <c r="D131" s="34" t="n">
        <v>45907.29166666666</v>
      </c>
      <c r="E131" s="16" t="n">
        <v>4.3</v>
      </c>
      <c r="F131" s="16" t="n">
        <v>5.5</v>
      </c>
      <c r="G131" s="16" t="n">
        <v>2.3</v>
      </c>
      <c r="H131" s="35" t="n">
        <v>0</v>
      </c>
      <c r="I131" s="32" t="n">
        <v>0.797</v>
      </c>
      <c r="J131" s="16" t="inlineStr">
        <is>
          <t>否</t>
        </is>
      </c>
      <c r="K131" s="16" t="inlineStr">
        <is>
          <t>正常</t>
        </is>
      </c>
    </row>
    <row r="132">
      <c r="A132" s="16" t="inlineStr">
        <is>
          <t>NY-KW-2508-026</t>
        </is>
      </c>
      <c r="B132" s="16" t="inlineStr">
        <is>
          <t>干线运输</t>
        </is>
      </c>
      <c r="C132" s="34" t="n">
        <v>45907.33333333334</v>
      </c>
      <c r="D132" s="34" t="n">
        <v>45907.66666666666</v>
      </c>
      <c r="E132" s="16" t="n">
        <v>7.1</v>
      </c>
      <c r="F132" s="16" t="n">
        <v>8.1</v>
      </c>
      <c r="G132" s="16" t="n">
        <v>5.9</v>
      </c>
      <c r="H132" s="35" t="n">
        <v>1.1</v>
      </c>
      <c r="I132" s="32" t="n">
        <v>0.8</v>
      </c>
      <c r="J132" s="16" t="inlineStr">
        <is>
          <t>否</t>
        </is>
      </c>
      <c r="K132" s="16" t="inlineStr">
        <is>
          <t>正常</t>
        </is>
      </c>
    </row>
    <row r="133">
      <c r="A133" s="16" t="inlineStr">
        <is>
          <t>NY-KW-2508-026</t>
        </is>
      </c>
      <c r="B133" s="16" t="inlineStr">
        <is>
          <t>分仓暂存</t>
        </is>
      </c>
      <c r="C133" s="34" t="n">
        <v>45907.83333333334</v>
      </c>
      <c r="D133" s="34" t="n">
        <v>45908.83333333334</v>
      </c>
      <c r="E133" s="16" t="n">
        <v>1.7</v>
      </c>
      <c r="F133" s="16" t="n">
        <v>4.7</v>
      </c>
      <c r="G133" s="16" t="n">
        <v>0.9</v>
      </c>
      <c r="H133" s="35" t="n">
        <v>0</v>
      </c>
      <c r="I133" s="32" t="n">
        <v>0.913</v>
      </c>
      <c r="J133" s="16" t="inlineStr">
        <is>
          <t>否</t>
        </is>
      </c>
      <c r="K133" s="16" t="inlineStr">
        <is>
          <t>温度波动</t>
        </is>
      </c>
    </row>
    <row r="134">
      <c r="A134" s="16" t="inlineStr">
        <is>
          <t>NY-KW-2508-026</t>
        </is>
      </c>
      <c r="B134" s="16" t="inlineStr">
        <is>
          <t>门店货架</t>
        </is>
      </c>
      <c r="C134" s="34" t="n">
        <v>45908.83333333334</v>
      </c>
      <c r="D134" s="34" t="n">
        <v>45910.29166666666</v>
      </c>
      <c r="E134" s="16" t="n">
        <v>15.5</v>
      </c>
      <c r="F134" s="16" t="n">
        <v>17.8</v>
      </c>
      <c r="G134" s="16" t="n">
        <v>13.9</v>
      </c>
      <c r="H134" s="35" t="n">
        <v>4.9</v>
      </c>
      <c r="I134" s="32" t="n">
        <v>0.88</v>
      </c>
      <c r="J134" s="16" t="inlineStr">
        <is>
          <t>否</t>
        </is>
      </c>
      <c r="K134" s="16" t="inlineStr">
        <is>
          <t>正常</t>
        </is>
      </c>
    </row>
    <row r="135">
      <c r="A135" s="16" t="inlineStr">
        <is>
          <t>NY-KW-2508-027</t>
        </is>
      </c>
      <c r="B135" s="16" t="inlineStr">
        <is>
          <t>预冷</t>
        </is>
      </c>
      <c r="C135" s="34" t="n">
        <v>45906</v>
      </c>
      <c r="D135" s="34" t="n">
        <v>45906.41666666666</v>
      </c>
      <c r="E135" s="16" t="n">
        <v>3.3</v>
      </c>
      <c r="F135" s="16" t="n">
        <v>7.4</v>
      </c>
      <c r="G135" s="16" t="n">
        <v>2.4</v>
      </c>
      <c r="H135" s="35" t="n">
        <v>1.6</v>
      </c>
      <c r="I135" s="32" t="n">
        <v>0.834</v>
      </c>
      <c r="J135" s="16" t="inlineStr">
        <is>
          <t>否</t>
        </is>
      </c>
      <c r="K135" s="16" t="inlineStr">
        <is>
          <t>到店后常温暴露偏长</t>
        </is>
      </c>
    </row>
    <row r="136">
      <c r="A136" s="16" t="inlineStr">
        <is>
          <t>NY-KW-2508-027</t>
        </is>
      </c>
      <c r="B136" s="16" t="inlineStr">
        <is>
          <t>主仓冷藏</t>
        </is>
      </c>
      <c r="C136" s="34" t="n">
        <v>45906.33333333334</v>
      </c>
      <c r="D136" s="34" t="n">
        <v>45909.33333333334</v>
      </c>
      <c r="E136" s="16" t="n">
        <v>3.1</v>
      </c>
      <c r="F136" s="16" t="n">
        <v>4.8</v>
      </c>
      <c r="G136" s="16" t="n">
        <v>1.9</v>
      </c>
      <c r="H136" s="35" t="n">
        <v>0</v>
      </c>
      <c r="I136" s="32" t="n">
        <v>0.875</v>
      </c>
      <c r="J136" s="16" t="inlineStr">
        <is>
          <t>否</t>
        </is>
      </c>
      <c r="K136" s="16" t="inlineStr">
        <is>
          <t>正常</t>
        </is>
      </c>
    </row>
    <row r="137">
      <c r="A137" s="16" t="inlineStr">
        <is>
          <t>NY-KW-2508-027</t>
        </is>
      </c>
      <c r="B137" s="16" t="inlineStr">
        <is>
          <t>干线运输</t>
        </is>
      </c>
      <c r="C137" s="34" t="n">
        <v>45909.33333333334</v>
      </c>
      <c r="D137" s="34" t="n">
        <v>45909.66666666666</v>
      </c>
      <c r="E137" s="16" t="n">
        <v>6.3</v>
      </c>
      <c r="F137" s="16" t="n">
        <v>8.699999999999999</v>
      </c>
      <c r="G137" s="16" t="n">
        <v>4.7</v>
      </c>
      <c r="H137" s="35" t="n">
        <v>4</v>
      </c>
      <c r="I137" s="32" t="n">
        <v>0.8129999999999999</v>
      </c>
      <c r="J137" s="16" t="inlineStr">
        <is>
          <t>否</t>
        </is>
      </c>
      <c r="K137" s="16" t="inlineStr">
        <is>
          <t>需关注</t>
        </is>
      </c>
    </row>
    <row r="138">
      <c r="A138" s="16" t="inlineStr">
        <is>
          <t>NY-KW-2508-027</t>
        </is>
      </c>
      <c r="B138" s="16" t="inlineStr">
        <is>
          <t>分仓暂存</t>
        </is>
      </c>
      <c r="C138" s="34" t="n">
        <v>45909.83333333334</v>
      </c>
      <c r="D138" s="34" t="n">
        <v>45910.75</v>
      </c>
      <c r="E138" s="16" t="n">
        <v>4.4</v>
      </c>
      <c r="F138" s="16" t="n">
        <v>6.5</v>
      </c>
      <c r="G138" s="16" t="n">
        <v>2.4</v>
      </c>
      <c r="H138" s="35" t="n">
        <v>0.2</v>
      </c>
      <c r="I138" s="32" t="n">
        <v>0.833</v>
      </c>
      <c r="J138" s="16" t="inlineStr">
        <is>
          <t>否</t>
        </is>
      </c>
      <c r="K138" s="16" t="inlineStr">
        <is>
          <t>温度波动</t>
        </is>
      </c>
    </row>
    <row r="139">
      <c r="A139" s="16" t="inlineStr">
        <is>
          <t>NY-KW-2508-027</t>
        </is>
      </c>
      <c r="B139" s="16" t="inlineStr">
        <is>
          <t>门店货架</t>
        </is>
      </c>
      <c r="C139" s="34" t="n">
        <v>45910.83333333334</v>
      </c>
      <c r="D139" s="34" t="n">
        <v>45912.33333333334</v>
      </c>
      <c r="E139" s="16" t="n">
        <v>16</v>
      </c>
      <c r="F139" s="16" t="n">
        <v>21.3</v>
      </c>
      <c r="G139" s="16" t="n">
        <v>13.9</v>
      </c>
      <c r="H139" s="35" t="n">
        <v>8.4</v>
      </c>
      <c r="I139" s="32" t="n">
        <v>0.929</v>
      </c>
      <c r="J139" s="16" t="inlineStr">
        <is>
          <t>是</t>
        </is>
      </c>
      <c r="K139" s="16" t="inlineStr">
        <is>
          <t>到店后常温暴露偏长</t>
        </is>
      </c>
    </row>
    <row r="140">
      <c r="A140" s="16" t="inlineStr">
        <is>
          <t>NY-KW-2508-028</t>
        </is>
      </c>
      <c r="B140" s="16" t="inlineStr">
        <is>
          <t>预冷</t>
        </is>
      </c>
      <c r="C140" s="34" t="n">
        <v>45926</v>
      </c>
      <c r="D140" s="34" t="n">
        <v>45926.58333333334</v>
      </c>
      <c r="E140" s="16" t="n">
        <v>3.4</v>
      </c>
      <c r="F140" s="16" t="n">
        <v>7</v>
      </c>
      <c r="G140" s="16" t="n">
        <v>2.7</v>
      </c>
      <c r="H140" s="35" t="n">
        <v>0.8</v>
      </c>
      <c r="I140" s="32" t="n">
        <v>0.868</v>
      </c>
      <c r="J140" s="16" t="inlineStr">
        <is>
          <t>否</t>
        </is>
      </c>
      <c r="K140" s="16" t="inlineStr">
        <is>
          <t>到店后常温暴露偏长</t>
        </is>
      </c>
    </row>
    <row r="141">
      <c r="A141" s="16" t="inlineStr">
        <is>
          <t>NY-KW-2508-028</t>
        </is>
      </c>
      <c r="B141" s="16" t="inlineStr">
        <is>
          <t>主仓冷藏</t>
        </is>
      </c>
      <c r="C141" s="34" t="n">
        <v>45926.33333333334</v>
      </c>
      <c r="D141" s="34" t="n">
        <v>45929.29166666666</v>
      </c>
      <c r="E141" s="16" t="n">
        <v>3.9</v>
      </c>
      <c r="F141" s="16" t="n">
        <v>7</v>
      </c>
      <c r="G141" s="16" t="n">
        <v>2</v>
      </c>
      <c r="H141" s="35" t="n">
        <v>0.7</v>
      </c>
      <c r="I141" s="32" t="n">
        <v>0.8179999999999999</v>
      </c>
      <c r="J141" s="16" t="inlineStr">
        <is>
          <t>否</t>
        </is>
      </c>
      <c r="K141" s="16" t="inlineStr">
        <is>
          <t>需关注</t>
        </is>
      </c>
    </row>
    <row r="142">
      <c r="A142" s="16" t="inlineStr">
        <is>
          <t>NY-KW-2508-028</t>
        </is>
      </c>
      <c r="B142" s="16" t="inlineStr">
        <is>
          <t>干线运输</t>
        </is>
      </c>
      <c r="C142" s="34" t="n">
        <v>45929.33333333334</v>
      </c>
      <c r="D142" s="34" t="n">
        <v>45929.95833333334</v>
      </c>
      <c r="E142" s="16" t="n">
        <v>4.6</v>
      </c>
      <c r="F142" s="16" t="n">
        <v>7</v>
      </c>
      <c r="G142" s="16" t="n">
        <v>2.4</v>
      </c>
      <c r="H142" s="35" t="n">
        <v>1</v>
      </c>
      <c r="I142" s="32" t="n">
        <v>0.8139999999999999</v>
      </c>
      <c r="J142" s="16" t="inlineStr">
        <is>
          <t>否</t>
        </is>
      </c>
      <c r="K142" s="16" t="inlineStr">
        <is>
          <t>到店后常温暴露偏长</t>
        </is>
      </c>
    </row>
    <row r="143">
      <c r="A143" s="16" t="inlineStr">
        <is>
          <t>NY-KW-2508-028</t>
        </is>
      </c>
      <c r="B143" s="16" t="inlineStr">
        <is>
          <t>分仓暂存</t>
        </is>
      </c>
      <c r="C143" s="34" t="n">
        <v>45929.83333333334</v>
      </c>
      <c r="D143" s="34" t="n">
        <v>45930.95833333334</v>
      </c>
      <c r="E143" s="16" t="n">
        <v>3.5</v>
      </c>
      <c r="F143" s="16" t="n">
        <v>7.2</v>
      </c>
      <c r="G143" s="16" t="n">
        <v>1.7</v>
      </c>
      <c r="H143" s="35" t="n">
        <v>0.8</v>
      </c>
      <c r="I143" s="32" t="n">
        <v>0.832</v>
      </c>
      <c r="J143" s="16" t="inlineStr">
        <is>
          <t>否</t>
        </is>
      </c>
      <c r="K143" s="16" t="inlineStr">
        <is>
          <t>到店后常温暴露偏长</t>
        </is>
      </c>
    </row>
    <row r="144">
      <c r="A144" s="16" t="inlineStr">
        <is>
          <t>NY-KW-2508-028</t>
        </is>
      </c>
      <c r="B144" s="16" t="inlineStr">
        <is>
          <t>门店货架</t>
        </is>
      </c>
      <c r="C144" s="34" t="n">
        <v>45930.83333333334</v>
      </c>
      <c r="D144" s="34" t="n">
        <v>45932.45833333334</v>
      </c>
      <c r="E144" s="16" t="n">
        <v>15</v>
      </c>
      <c r="F144" s="16" t="n">
        <v>18</v>
      </c>
      <c r="G144" s="16" t="n">
        <v>12.9</v>
      </c>
      <c r="H144" s="35" t="n">
        <v>1</v>
      </c>
      <c r="I144" s="32" t="n">
        <v>0.869</v>
      </c>
      <c r="J144" s="16" t="inlineStr">
        <is>
          <t>否</t>
        </is>
      </c>
      <c r="K144" s="16" t="inlineStr">
        <is>
          <t>到店后常温暴露偏长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8" customWidth="1" min="9" max="9"/>
    <col width="18" customWidth="1" min="10" max="10"/>
  </cols>
  <sheetData>
    <row r="1" ht="28" customHeight="1">
      <c r="A1" s="3" t="inlineStr">
        <is>
          <t>质检抽检</t>
        </is>
      </c>
    </row>
    <row r="2" ht="32" customHeight="1">
      <c r="A2" s="7" t="inlineStr">
        <is>
          <t>来源：企业经营数据样例/06_质检抽检记录.xlsx。保留原始逐笔记录；日期、数量、金额和比例按字段类型呈现。</t>
        </is>
      </c>
    </row>
    <row r="4" ht="30" customHeight="1">
      <c r="A4" s="13" t="inlineStr">
        <is>
          <t>检测日期</t>
        </is>
      </c>
      <c r="B4" s="13" t="inlineStr">
        <is>
          <t>批次号</t>
        </is>
      </c>
      <c r="C4" s="13" t="inlineStr">
        <is>
          <t>入库后天数</t>
        </is>
      </c>
      <c r="D4" s="13" t="inlineStr">
        <is>
          <t>抽检果数</t>
        </is>
      </c>
      <c r="E4" s="13" t="inlineStr">
        <is>
          <t>平均硬度kgf</t>
        </is>
      </c>
      <c r="F4" s="13" t="inlineStr">
        <is>
          <t>糖度Brix</t>
        </is>
      </c>
      <c r="G4" s="13" t="inlineStr">
        <is>
          <t>外观等级</t>
        </is>
      </c>
      <c r="H4" s="13" t="inlineStr">
        <is>
          <t>销售建议</t>
        </is>
      </c>
      <c r="I4" s="13" t="inlineStr">
        <is>
          <t>主要问题</t>
        </is>
      </c>
      <c r="J4" s="13" t="inlineStr">
        <is>
          <t>检测小组</t>
        </is>
      </c>
    </row>
    <row r="5">
      <c r="A5" s="34" t="n">
        <v>45894</v>
      </c>
      <c r="B5" s="16" t="inlineStr">
        <is>
          <t>NY-KW-2508-001</t>
        </is>
      </c>
      <c r="C5" s="16" t="n">
        <v>0</v>
      </c>
      <c r="D5" s="35" t="n">
        <v>15</v>
      </c>
      <c r="E5" s="35" t="n">
        <v>7.48</v>
      </c>
      <c r="F5" s="16" t="n">
        <v>8.699999999999999</v>
      </c>
      <c r="G5" s="16" t="inlineStr">
        <is>
          <t>A</t>
        </is>
      </c>
      <c r="H5" s="16" t="inlineStr">
        <is>
          <t>可售</t>
        </is>
      </c>
      <c r="I5" s="16" t="inlineStr">
        <is>
          <t>偏硬</t>
        </is>
      </c>
      <c r="J5" s="16" t="inlineStr">
        <is>
          <t>南宁质检组</t>
        </is>
      </c>
    </row>
    <row r="6">
      <c r="A6" s="34" t="n">
        <v>45896</v>
      </c>
      <c r="B6" s="16" t="inlineStr">
        <is>
          <t>NY-KW-2508-001</t>
        </is>
      </c>
      <c r="C6" s="16" t="n">
        <v>2</v>
      </c>
      <c r="D6" s="35" t="n">
        <v>15</v>
      </c>
      <c r="E6" s="35" t="n">
        <v>6.27</v>
      </c>
      <c r="F6" s="16" t="n">
        <v>9.300000000000001</v>
      </c>
      <c r="G6" s="16" t="inlineStr">
        <is>
          <t>A</t>
        </is>
      </c>
      <c r="H6" s="16" t="inlineStr">
        <is>
          <t>可售</t>
        </is>
      </c>
      <c r="I6" s="16" t="inlineStr">
        <is>
          <t>无</t>
        </is>
      </c>
      <c r="J6" s="16" t="inlineStr">
        <is>
          <t>广州质检组</t>
        </is>
      </c>
    </row>
    <row r="7">
      <c r="A7" s="34" t="n">
        <v>45898</v>
      </c>
      <c r="B7" s="16" t="inlineStr">
        <is>
          <t>NY-KW-2508-001</t>
        </is>
      </c>
      <c r="C7" s="16" t="n">
        <v>4</v>
      </c>
      <c r="D7" s="35" t="n">
        <v>20</v>
      </c>
      <c r="E7" s="35" t="n">
        <v>5.21</v>
      </c>
      <c r="F7" s="16" t="n">
        <v>10.6</v>
      </c>
      <c r="G7" s="16" t="inlineStr">
        <is>
          <t>A</t>
        </is>
      </c>
      <c r="H7" s="16" t="inlineStr">
        <is>
          <t>可售</t>
        </is>
      </c>
      <c r="I7" s="16" t="inlineStr">
        <is>
          <t>适熟</t>
        </is>
      </c>
      <c r="J7" s="16" t="inlineStr">
        <is>
          <t>南宁质检组</t>
        </is>
      </c>
    </row>
    <row r="8">
      <c r="A8" s="34" t="n">
        <v>45900</v>
      </c>
      <c r="B8" s="16" t="inlineStr">
        <is>
          <t>NY-KW-2508-001</t>
        </is>
      </c>
      <c r="C8" s="16" t="n">
        <v>6</v>
      </c>
      <c r="D8" s="35" t="n">
        <v>12</v>
      </c>
      <c r="E8" s="35" t="n">
        <v>5.11</v>
      </c>
      <c r="F8" s="16" t="n">
        <v>12.2</v>
      </c>
      <c r="G8" s="16" t="inlineStr">
        <is>
          <t>B</t>
        </is>
      </c>
      <c r="H8" s="16" t="inlineStr">
        <is>
          <t>可售</t>
        </is>
      </c>
      <c r="I8" s="16" t="inlineStr">
        <is>
          <t>偏硬</t>
        </is>
      </c>
      <c r="J8" s="16" t="inlineStr">
        <is>
          <t>南宁质检组</t>
        </is>
      </c>
    </row>
    <row r="9">
      <c r="A9" s="34" t="n">
        <v>45902</v>
      </c>
      <c r="B9" s="16" t="inlineStr">
        <is>
          <t>NY-KW-2508-001</t>
        </is>
      </c>
      <c r="C9" s="16" t="n">
        <v>8</v>
      </c>
      <c r="D9" s="35" t="n">
        <v>12</v>
      </c>
      <c r="E9" s="35" t="n">
        <v>4.36</v>
      </c>
      <c r="F9" s="16" t="n">
        <v>12.4</v>
      </c>
      <c r="G9" s="16" t="inlineStr">
        <is>
          <t>B</t>
        </is>
      </c>
      <c r="H9" s="16" t="inlineStr">
        <is>
          <t>临界</t>
        </is>
      </c>
      <c r="I9" s="16" t="inlineStr">
        <is>
          <t>适熟</t>
        </is>
      </c>
      <c r="J9" s="16" t="inlineStr">
        <is>
          <t>南宁质检组</t>
        </is>
      </c>
    </row>
    <row r="10">
      <c r="A10" s="34" t="n">
        <v>45938</v>
      </c>
      <c r="B10" s="16" t="inlineStr">
        <is>
          <t>NY-KW-2508-002</t>
        </is>
      </c>
      <c r="C10" s="16" t="n">
        <v>0</v>
      </c>
      <c r="D10" s="35" t="n">
        <v>12</v>
      </c>
      <c r="E10" s="35" t="n">
        <v>8.449999999999999</v>
      </c>
      <c r="F10" s="16" t="n">
        <v>8.300000000000001</v>
      </c>
      <c r="G10" s="16" t="inlineStr">
        <is>
          <t>A</t>
        </is>
      </c>
      <c r="H10" s="16" t="inlineStr">
        <is>
          <t>可售</t>
        </is>
      </c>
      <c r="I10" s="16" t="inlineStr">
        <is>
          <t>偏硬</t>
        </is>
      </c>
      <c r="J10" s="16" t="inlineStr">
        <is>
          <t>广州质检组</t>
        </is>
      </c>
    </row>
    <row r="11">
      <c r="A11" s="34" t="n">
        <v>45940</v>
      </c>
      <c r="B11" s="16" t="inlineStr">
        <is>
          <t>NY-KW-2508-002</t>
        </is>
      </c>
      <c r="C11" s="16" t="n">
        <v>2</v>
      </c>
      <c r="D11" s="35" t="n">
        <v>20</v>
      </c>
      <c r="E11" s="35" t="n">
        <v>7.39</v>
      </c>
      <c r="F11" s="16" t="n">
        <v>9.4</v>
      </c>
      <c r="G11" s="16" t="inlineStr">
        <is>
          <t>B</t>
        </is>
      </c>
      <c r="H11" s="16" t="inlineStr">
        <is>
          <t>可售</t>
        </is>
      </c>
      <c r="I11" s="16" t="inlineStr">
        <is>
          <t>适熟</t>
        </is>
      </c>
      <c r="J11" s="16" t="inlineStr">
        <is>
          <t>广州质检组</t>
        </is>
      </c>
    </row>
    <row r="12">
      <c r="A12" s="34" t="n">
        <v>45942</v>
      </c>
      <c r="B12" s="16" t="inlineStr">
        <is>
          <t>NY-KW-2508-002</t>
        </is>
      </c>
      <c r="C12" s="16" t="n">
        <v>4</v>
      </c>
      <c r="D12" s="35" t="n">
        <v>15</v>
      </c>
      <c r="E12" s="35" t="n">
        <v>6.79</v>
      </c>
      <c r="F12" s="16" t="n">
        <v>9.699999999999999</v>
      </c>
      <c r="G12" s="16" t="inlineStr">
        <is>
          <t>A</t>
        </is>
      </c>
      <c r="H12" s="16" t="inlineStr">
        <is>
          <t>可售</t>
        </is>
      </c>
      <c r="I12" s="16" t="inlineStr">
        <is>
          <t>适熟</t>
        </is>
      </c>
      <c r="J12" s="16" t="inlineStr">
        <is>
          <t>深圳质检组</t>
        </is>
      </c>
    </row>
    <row r="13">
      <c r="A13" s="34" t="n">
        <v>45944</v>
      </c>
      <c r="B13" s="16" t="inlineStr">
        <is>
          <t>NY-KW-2508-002</t>
        </is>
      </c>
      <c r="C13" s="16" t="n">
        <v>6</v>
      </c>
      <c r="D13" s="35" t="n">
        <v>20</v>
      </c>
      <c r="E13" s="35" t="n">
        <v>3.67</v>
      </c>
      <c r="F13" s="16" t="n">
        <v>12.2</v>
      </c>
      <c r="G13" s="16" t="inlineStr">
        <is>
          <t>C</t>
        </is>
      </c>
      <c r="H13" s="16" t="inlineStr">
        <is>
          <t>临界</t>
        </is>
      </c>
      <c r="I13" s="16" t="inlineStr">
        <is>
          <t>偏软</t>
        </is>
      </c>
      <c r="J13" s="16" t="inlineStr">
        <is>
          <t>深圳质检组</t>
        </is>
      </c>
    </row>
    <row r="14">
      <c r="A14" s="34" t="n">
        <v>45946</v>
      </c>
      <c r="B14" s="16" t="inlineStr">
        <is>
          <t>NY-KW-2508-002</t>
        </is>
      </c>
      <c r="C14" s="16" t="n">
        <v>8</v>
      </c>
      <c r="D14" s="35" t="n">
        <v>12</v>
      </c>
      <c r="E14" s="35" t="n">
        <v>3.88</v>
      </c>
      <c r="F14" s="16" t="n">
        <v>12.4</v>
      </c>
      <c r="G14" s="16" t="inlineStr">
        <is>
          <t>C</t>
        </is>
      </c>
      <c r="H14" s="16" t="inlineStr">
        <is>
          <t>临界</t>
        </is>
      </c>
      <c r="I14" s="16" t="inlineStr">
        <is>
          <t>适熟</t>
        </is>
      </c>
      <c r="J14" s="16" t="inlineStr">
        <is>
          <t>深圳质检组</t>
        </is>
      </c>
    </row>
    <row r="15">
      <c r="A15" s="34" t="n">
        <v>45921</v>
      </c>
      <c r="B15" s="16" t="inlineStr">
        <is>
          <t>NY-KW-2508-003</t>
        </is>
      </c>
      <c r="C15" s="16" t="n">
        <v>0</v>
      </c>
      <c r="D15" s="35" t="n">
        <v>15</v>
      </c>
      <c r="E15" s="35" t="n">
        <v>6.37</v>
      </c>
      <c r="F15" s="16" t="n">
        <v>7.6</v>
      </c>
      <c r="G15" s="16" t="inlineStr">
        <is>
          <t>A</t>
        </is>
      </c>
      <c r="H15" s="16" t="inlineStr">
        <is>
          <t>可售</t>
        </is>
      </c>
      <c r="I15" s="16" t="inlineStr">
        <is>
          <t>偏硬</t>
        </is>
      </c>
      <c r="J15" s="16" t="inlineStr">
        <is>
          <t>南宁质检组</t>
        </is>
      </c>
    </row>
    <row r="16">
      <c r="A16" s="34" t="n">
        <v>45923</v>
      </c>
      <c r="B16" s="16" t="inlineStr">
        <is>
          <t>NY-KW-2508-003</t>
        </is>
      </c>
      <c r="C16" s="16" t="n">
        <v>2</v>
      </c>
      <c r="D16" s="35" t="n">
        <v>12</v>
      </c>
      <c r="E16" s="35" t="n">
        <v>4.96</v>
      </c>
      <c r="F16" s="16" t="n">
        <v>8.199999999999999</v>
      </c>
      <c r="G16" s="16" t="inlineStr">
        <is>
          <t>A</t>
        </is>
      </c>
      <c r="H16" s="16" t="inlineStr">
        <is>
          <t>可售</t>
        </is>
      </c>
      <c r="I16" s="16" t="inlineStr">
        <is>
          <t>偏硬</t>
        </is>
      </c>
      <c r="J16" s="16" t="inlineStr">
        <is>
          <t>广州质检组</t>
        </is>
      </c>
    </row>
    <row r="17">
      <c r="A17" s="34" t="n">
        <v>45925</v>
      </c>
      <c r="B17" s="16" t="inlineStr">
        <is>
          <t>NY-KW-2508-003</t>
        </is>
      </c>
      <c r="C17" s="16" t="n">
        <v>4</v>
      </c>
      <c r="D17" s="35" t="n">
        <v>12</v>
      </c>
      <c r="E17" s="35" t="n">
        <v>4.6</v>
      </c>
      <c r="F17" s="16" t="n">
        <v>9.199999999999999</v>
      </c>
      <c r="G17" s="16" t="inlineStr">
        <is>
          <t>A</t>
        </is>
      </c>
      <c r="H17" s="16" t="inlineStr">
        <is>
          <t>可售</t>
        </is>
      </c>
      <c r="I17" s="16" t="inlineStr">
        <is>
          <t>无</t>
        </is>
      </c>
      <c r="J17" s="16" t="inlineStr">
        <is>
          <t>深圳质检组</t>
        </is>
      </c>
    </row>
    <row r="18">
      <c r="A18" s="34" t="n">
        <v>45927</v>
      </c>
      <c r="B18" s="16" t="inlineStr">
        <is>
          <t>NY-KW-2508-003</t>
        </is>
      </c>
      <c r="C18" s="16" t="n">
        <v>6</v>
      </c>
      <c r="D18" s="35" t="n">
        <v>20</v>
      </c>
      <c r="E18" s="35" t="n">
        <v>3.14</v>
      </c>
      <c r="F18" s="16" t="n">
        <v>9.6</v>
      </c>
      <c r="G18" s="16" t="inlineStr">
        <is>
          <t>C</t>
        </is>
      </c>
      <c r="H18" s="16" t="inlineStr">
        <is>
          <t>临界</t>
        </is>
      </c>
      <c r="I18" s="16" t="inlineStr">
        <is>
          <t>偏软</t>
        </is>
      </c>
      <c r="J18" s="16" t="inlineStr">
        <is>
          <t>广州质检组</t>
        </is>
      </c>
    </row>
    <row r="19">
      <c r="A19" s="34" t="n">
        <v>45929</v>
      </c>
      <c r="B19" s="16" t="inlineStr">
        <is>
          <t>NY-KW-2508-003</t>
        </is>
      </c>
      <c r="C19" s="16" t="n">
        <v>8</v>
      </c>
      <c r="D19" s="35" t="n">
        <v>20</v>
      </c>
      <c r="E19" s="35" t="n">
        <v>1.8</v>
      </c>
      <c r="F19" s="16" t="n">
        <v>12.4</v>
      </c>
      <c r="G19" s="16" t="inlineStr">
        <is>
          <t>D</t>
        </is>
      </c>
      <c r="H19" s="16" t="inlineStr">
        <is>
          <t>不建议销售</t>
        </is>
      </c>
      <c r="I19" s="16" t="inlineStr">
        <is>
          <t>偏软</t>
        </is>
      </c>
      <c r="J19" s="16" t="inlineStr">
        <is>
          <t>广州质检组</t>
        </is>
      </c>
    </row>
    <row r="20">
      <c r="A20" s="34" t="n">
        <v>45937</v>
      </c>
      <c r="B20" s="16" t="inlineStr">
        <is>
          <t>NY-KW-2508-004</t>
        </is>
      </c>
      <c r="C20" s="16" t="n">
        <v>0</v>
      </c>
      <c r="D20" s="35" t="n">
        <v>20</v>
      </c>
      <c r="E20" s="35" t="n">
        <v>6.34</v>
      </c>
      <c r="F20" s="16" t="n">
        <v>9.4</v>
      </c>
      <c r="G20" s="16" t="inlineStr">
        <is>
          <t>A</t>
        </is>
      </c>
      <c r="H20" s="16" t="inlineStr">
        <is>
          <t>可售</t>
        </is>
      </c>
      <c r="I20" s="16" t="inlineStr">
        <is>
          <t>偏硬</t>
        </is>
      </c>
      <c r="J20" s="16" t="inlineStr">
        <is>
          <t>深圳质检组</t>
        </is>
      </c>
    </row>
    <row r="21">
      <c r="A21" s="34" t="n">
        <v>45939</v>
      </c>
      <c r="B21" s="16" t="inlineStr">
        <is>
          <t>NY-KW-2508-004</t>
        </is>
      </c>
      <c r="C21" s="16" t="n">
        <v>2</v>
      </c>
      <c r="D21" s="35" t="n">
        <v>20</v>
      </c>
      <c r="E21" s="35" t="n">
        <v>4.71</v>
      </c>
      <c r="F21" s="16" t="n">
        <v>10.7</v>
      </c>
      <c r="G21" s="16" t="inlineStr">
        <is>
          <t>A</t>
        </is>
      </c>
      <c r="H21" s="16" t="inlineStr">
        <is>
          <t>可售</t>
        </is>
      </c>
      <c r="I21" s="16" t="inlineStr">
        <is>
          <t>适熟</t>
        </is>
      </c>
      <c r="J21" s="16" t="inlineStr">
        <is>
          <t>广州质检组</t>
        </is>
      </c>
    </row>
    <row r="22">
      <c r="A22" s="34" t="n">
        <v>45941</v>
      </c>
      <c r="B22" s="16" t="inlineStr">
        <is>
          <t>NY-KW-2508-004</t>
        </is>
      </c>
      <c r="C22" s="16" t="n">
        <v>4</v>
      </c>
      <c r="D22" s="35" t="n">
        <v>12</v>
      </c>
      <c r="E22" s="35" t="n">
        <v>4.45</v>
      </c>
      <c r="F22" s="16" t="n">
        <v>11</v>
      </c>
      <c r="G22" s="16" t="inlineStr">
        <is>
          <t>B</t>
        </is>
      </c>
      <c r="H22" s="16" t="inlineStr">
        <is>
          <t>临界</t>
        </is>
      </c>
      <c r="I22" s="16" t="inlineStr">
        <is>
          <t>偏软</t>
        </is>
      </c>
      <c r="J22" s="16" t="inlineStr">
        <is>
          <t>南宁质检组</t>
        </is>
      </c>
    </row>
    <row r="23">
      <c r="A23" s="34" t="n">
        <v>45943</v>
      </c>
      <c r="B23" s="16" t="inlineStr">
        <is>
          <t>NY-KW-2508-004</t>
        </is>
      </c>
      <c r="C23" s="16" t="n">
        <v>6</v>
      </c>
      <c r="D23" s="35" t="n">
        <v>15</v>
      </c>
      <c r="E23" s="35" t="n">
        <v>1.61</v>
      </c>
      <c r="F23" s="16" t="n">
        <v>11.4</v>
      </c>
      <c r="G23" s="16" t="inlineStr">
        <is>
          <t>D</t>
        </is>
      </c>
      <c r="H23" s="16" t="inlineStr">
        <is>
          <t>不建议销售</t>
        </is>
      </c>
      <c r="I23" s="16" t="inlineStr">
        <is>
          <t>偏软</t>
        </is>
      </c>
      <c r="J23" s="16" t="inlineStr">
        <is>
          <t>深圳质检组</t>
        </is>
      </c>
    </row>
    <row r="24">
      <c r="A24" s="34" t="n">
        <v>45945</v>
      </c>
      <c r="B24" s="16" t="inlineStr">
        <is>
          <t>NY-KW-2508-004</t>
        </is>
      </c>
      <c r="C24" s="16" t="n">
        <v>8</v>
      </c>
      <c r="D24" s="35" t="n">
        <v>15</v>
      </c>
      <c r="E24" s="35" t="n">
        <v>0.7</v>
      </c>
      <c r="F24" s="16" t="n">
        <v>13.3</v>
      </c>
      <c r="G24" s="16" t="inlineStr">
        <is>
          <t>D</t>
        </is>
      </c>
      <c r="H24" s="16" t="inlineStr">
        <is>
          <t>不建议销售</t>
        </is>
      </c>
      <c r="I24" s="16" t="inlineStr">
        <is>
          <t>偏软</t>
        </is>
      </c>
      <c r="J24" s="16" t="inlineStr">
        <is>
          <t>深圳质检组</t>
        </is>
      </c>
    </row>
    <row r="25">
      <c r="A25" s="34" t="n">
        <v>45930</v>
      </c>
      <c r="B25" s="16" t="inlineStr">
        <is>
          <t>NY-KW-2508-005</t>
        </is>
      </c>
      <c r="C25" s="16" t="n">
        <v>0</v>
      </c>
      <c r="D25" s="35" t="n">
        <v>15</v>
      </c>
      <c r="E25" s="35" t="n">
        <v>8.130000000000001</v>
      </c>
      <c r="F25" s="16" t="n">
        <v>8.4</v>
      </c>
      <c r="G25" s="16" t="inlineStr">
        <is>
          <t>B</t>
        </is>
      </c>
      <c r="H25" s="16" t="inlineStr">
        <is>
          <t>可售</t>
        </is>
      </c>
      <c r="I25" s="16" t="inlineStr">
        <is>
          <t>适熟</t>
        </is>
      </c>
      <c r="J25" s="16" t="inlineStr">
        <is>
          <t>深圳质检组</t>
        </is>
      </c>
    </row>
    <row r="26">
      <c r="A26" s="34" t="n">
        <v>45932</v>
      </c>
      <c r="B26" s="16" t="inlineStr">
        <is>
          <t>NY-KW-2508-005</t>
        </is>
      </c>
      <c r="C26" s="16" t="n">
        <v>2</v>
      </c>
      <c r="D26" s="35" t="n">
        <v>15</v>
      </c>
      <c r="E26" s="35" t="n">
        <v>6.61</v>
      </c>
      <c r="F26" s="16" t="n">
        <v>9.5</v>
      </c>
      <c r="G26" s="16" t="inlineStr">
        <is>
          <t>A</t>
        </is>
      </c>
      <c r="H26" s="16" t="inlineStr">
        <is>
          <t>可售</t>
        </is>
      </c>
      <c r="I26" s="16" t="inlineStr">
        <is>
          <t>偏硬</t>
        </is>
      </c>
      <c r="J26" s="16" t="inlineStr">
        <is>
          <t>广州质检组</t>
        </is>
      </c>
    </row>
    <row r="27">
      <c r="A27" s="34" t="n">
        <v>45934</v>
      </c>
      <c r="B27" s="16" t="inlineStr">
        <is>
          <t>NY-KW-2508-005</t>
        </is>
      </c>
      <c r="C27" s="16" t="n">
        <v>4</v>
      </c>
      <c r="D27" s="35" t="n">
        <v>12</v>
      </c>
      <c r="E27" s="35" t="n">
        <v>5.52</v>
      </c>
      <c r="F27" s="16" t="n">
        <v>10.4</v>
      </c>
      <c r="G27" s="16" t="inlineStr">
        <is>
          <t>A</t>
        </is>
      </c>
      <c r="H27" s="16" t="inlineStr">
        <is>
          <t>可售</t>
        </is>
      </c>
      <c r="I27" s="16" t="inlineStr">
        <is>
          <t>偏硬</t>
        </is>
      </c>
      <c r="J27" s="16" t="inlineStr">
        <is>
          <t>深圳质检组</t>
        </is>
      </c>
    </row>
    <row r="28">
      <c r="A28" s="34" t="n">
        <v>45936</v>
      </c>
      <c r="B28" s="16" t="inlineStr">
        <is>
          <t>NY-KW-2508-005</t>
        </is>
      </c>
      <c r="C28" s="16" t="n">
        <v>6</v>
      </c>
      <c r="D28" s="35" t="n">
        <v>12</v>
      </c>
      <c r="E28" s="35" t="n">
        <v>4.51</v>
      </c>
      <c r="F28" s="16" t="n">
        <v>10.8</v>
      </c>
      <c r="G28" s="16" t="inlineStr">
        <is>
          <t>A</t>
        </is>
      </c>
      <c r="H28" s="16" t="inlineStr">
        <is>
          <t>可售</t>
        </is>
      </c>
      <c r="I28" s="16" t="inlineStr">
        <is>
          <t>偏硬</t>
        </is>
      </c>
      <c r="J28" s="16" t="inlineStr">
        <is>
          <t>深圳质检组</t>
        </is>
      </c>
    </row>
    <row r="29">
      <c r="A29" s="34" t="n">
        <v>45938</v>
      </c>
      <c r="B29" s="16" t="inlineStr">
        <is>
          <t>NY-KW-2508-005</t>
        </is>
      </c>
      <c r="C29" s="16" t="n">
        <v>8</v>
      </c>
      <c r="D29" s="35" t="n">
        <v>12</v>
      </c>
      <c r="E29" s="35" t="n">
        <v>3.2</v>
      </c>
      <c r="F29" s="16" t="n">
        <v>11.1</v>
      </c>
      <c r="G29" s="16" t="inlineStr">
        <is>
          <t>C</t>
        </is>
      </c>
      <c r="H29" s="16" t="inlineStr">
        <is>
          <t>临界</t>
        </is>
      </c>
      <c r="I29" s="16" t="inlineStr">
        <is>
          <t>适熟</t>
        </is>
      </c>
      <c r="J29" s="16" t="inlineStr">
        <is>
          <t>广州质检组</t>
        </is>
      </c>
    </row>
    <row r="30">
      <c r="A30" s="34" t="n">
        <v>45903</v>
      </c>
      <c r="B30" s="16" t="inlineStr">
        <is>
          <t>NY-KW-2508-006</t>
        </is>
      </c>
      <c r="C30" s="16" t="n">
        <v>0</v>
      </c>
      <c r="D30" s="35" t="n">
        <v>15</v>
      </c>
      <c r="E30" s="35" t="n">
        <v>7.25</v>
      </c>
      <c r="F30" s="16" t="n">
        <v>7.3</v>
      </c>
      <c r="G30" s="16" t="inlineStr">
        <is>
          <t>A</t>
        </is>
      </c>
      <c r="H30" s="16" t="inlineStr">
        <is>
          <t>可售</t>
        </is>
      </c>
      <c r="I30" s="16" t="inlineStr">
        <is>
          <t>偏硬</t>
        </is>
      </c>
      <c r="J30" s="16" t="inlineStr">
        <is>
          <t>广州质检组</t>
        </is>
      </c>
    </row>
    <row r="31">
      <c r="A31" s="34" t="n">
        <v>45905</v>
      </c>
      <c r="B31" s="16" t="inlineStr">
        <is>
          <t>NY-KW-2508-006</t>
        </is>
      </c>
      <c r="C31" s="16" t="n">
        <v>2</v>
      </c>
      <c r="D31" s="35" t="n">
        <v>12</v>
      </c>
      <c r="E31" s="35" t="n">
        <v>5.67</v>
      </c>
      <c r="F31" s="16" t="n">
        <v>8.5</v>
      </c>
      <c r="G31" s="16" t="inlineStr">
        <is>
          <t>A</t>
        </is>
      </c>
      <c r="H31" s="16" t="inlineStr">
        <is>
          <t>可售</t>
        </is>
      </c>
      <c r="I31" s="16" t="inlineStr">
        <is>
          <t>无</t>
        </is>
      </c>
      <c r="J31" s="16" t="inlineStr">
        <is>
          <t>广州质检组</t>
        </is>
      </c>
    </row>
    <row r="32">
      <c r="A32" s="34" t="n">
        <v>45907</v>
      </c>
      <c r="B32" s="16" t="inlineStr">
        <is>
          <t>NY-KW-2508-006</t>
        </is>
      </c>
      <c r="C32" s="16" t="n">
        <v>4</v>
      </c>
      <c r="D32" s="35" t="n">
        <v>15</v>
      </c>
      <c r="E32" s="35" t="n">
        <v>4.97</v>
      </c>
      <c r="F32" s="16" t="n">
        <v>9.300000000000001</v>
      </c>
      <c r="G32" s="16" t="inlineStr">
        <is>
          <t>A</t>
        </is>
      </c>
      <c r="H32" s="16" t="inlineStr">
        <is>
          <t>可售</t>
        </is>
      </c>
      <c r="I32" s="16" t="inlineStr">
        <is>
          <t>偏硬</t>
        </is>
      </c>
      <c r="J32" s="16" t="inlineStr">
        <is>
          <t>广州质检组</t>
        </is>
      </c>
    </row>
    <row r="33">
      <c r="A33" s="34" t="n">
        <v>45909</v>
      </c>
      <c r="B33" s="16" t="inlineStr">
        <is>
          <t>NY-KW-2508-006</t>
        </is>
      </c>
      <c r="C33" s="16" t="n">
        <v>6</v>
      </c>
      <c r="D33" s="35" t="n">
        <v>12</v>
      </c>
      <c r="E33" s="35" t="n">
        <v>4.67</v>
      </c>
      <c r="F33" s="16" t="n">
        <v>10.1</v>
      </c>
      <c r="G33" s="16" t="inlineStr">
        <is>
          <t>B</t>
        </is>
      </c>
      <c r="H33" s="16" t="inlineStr">
        <is>
          <t>可售</t>
        </is>
      </c>
      <c r="I33" s="16" t="inlineStr">
        <is>
          <t>无</t>
        </is>
      </c>
      <c r="J33" s="16" t="inlineStr">
        <is>
          <t>南宁质检组</t>
        </is>
      </c>
    </row>
    <row r="34">
      <c r="A34" s="34" t="n">
        <v>45911</v>
      </c>
      <c r="B34" s="16" t="inlineStr">
        <is>
          <t>NY-KW-2508-006</t>
        </is>
      </c>
      <c r="C34" s="16" t="n">
        <v>8</v>
      </c>
      <c r="D34" s="35" t="n">
        <v>20</v>
      </c>
      <c r="E34" s="35" t="n">
        <v>2.52</v>
      </c>
      <c r="F34" s="16" t="n">
        <v>11.1</v>
      </c>
      <c r="G34" s="16" t="inlineStr">
        <is>
          <t>B</t>
        </is>
      </c>
      <c r="H34" s="16" t="inlineStr">
        <is>
          <t>临界</t>
        </is>
      </c>
      <c r="I34" s="16" t="inlineStr">
        <is>
          <t>适熟</t>
        </is>
      </c>
      <c r="J34" s="16" t="inlineStr">
        <is>
          <t>深圳质检组</t>
        </is>
      </c>
    </row>
    <row r="35">
      <c r="A35" s="34" t="n">
        <v>45924</v>
      </c>
      <c r="B35" s="16" t="inlineStr">
        <is>
          <t>NY-KW-2508-007</t>
        </is>
      </c>
      <c r="C35" s="16" t="n">
        <v>0</v>
      </c>
      <c r="D35" s="35" t="n">
        <v>12</v>
      </c>
      <c r="E35" s="35" t="n">
        <v>6.85</v>
      </c>
      <c r="F35" s="16" t="n">
        <v>6.9</v>
      </c>
      <c r="G35" s="16" t="inlineStr">
        <is>
          <t>B</t>
        </is>
      </c>
      <c r="H35" s="16" t="inlineStr">
        <is>
          <t>可售</t>
        </is>
      </c>
      <c r="I35" s="16" t="inlineStr">
        <is>
          <t>无</t>
        </is>
      </c>
      <c r="J35" s="16" t="inlineStr">
        <is>
          <t>广州质检组</t>
        </is>
      </c>
    </row>
    <row r="36">
      <c r="A36" s="34" t="n">
        <v>45926</v>
      </c>
      <c r="B36" s="16" t="inlineStr">
        <is>
          <t>NY-KW-2508-007</t>
        </is>
      </c>
      <c r="C36" s="16" t="n">
        <v>2</v>
      </c>
      <c r="D36" s="35" t="n">
        <v>20</v>
      </c>
      <c r="E36" s="35" t="n">
        <v>5.44</v>
      </c>
      <c r="F36" s="16" t="n">
        <v>7.6</v>
      </c>
      <c r="G36" s="16" t="inlineStr">
        <is>
          <t>A</t>
        </is>
      </c>
      <c r="H36" s="16" t="inlineStr">
        <is>
          <t>可售</t>
        </is>
      </c>
      <c r="I36" s="16" t="inlineStr">
        <is>
          <t>适熟</t>
        </is>
      </c>
      <c r="J36" s="16" t="inlineStr">
        <is>
          <t>深圳质检组</t>
        </is>
      </c>
    </row>
    <row r="37">
      <c r="A37" s="34" t="n">
        <v>45928</v>
      </c>
      <c r="B37" s="16" t="inlineStr">
        <is>
          <t>NY-KW-2508-007</t>
        </is>
      </c>
      <c r="C37" s="16" t="n">
        <v>4</v>
      </c>
      <c r="D37" s="35" t="n">
        <v>20</v>
      </c>
      <c r="E37" s="35" t="n">
        <v>5.2</v>
      </c>
      <c r="F37" s="16" t="n">
        <v>9.6</v>
      </c>
      <c r="G37" s="16" t="inlineStr">
        <is>
          <t>B</t>
        </is>
      </c>
      <c r="H37" s="16" t="inlineStr">
        <is>
          <t>可售</t>
        </is>
      </c>
      <c r="I37" s="16" t="inlineStr">
        <is>
          <t>偏硬</t>
        </is>
      </c>
      <c r="J37" s="16" t="inlineStr">
        <is>
          <t>广州质检组</t>
        </is>
      </c>
    </row>
    <row r="38">
      <c r="A38" s="34" t="n">
        <v>45930</v>
      </c>
      <c r="B38" s="16" t="inlineStr">
        <is>
          <t>NY-KW-2508-007</t>
        </is>
      </c>
      <c r="C38" s="16" t="n">
        <v>6</v>
      </c>
      <c r="D38" s="35" t="n">
        <v>15</v>
      </c>
      <c r="E38" s="35" t="n">
        <v>4.13</v>
      </c>
      <c r="F38" s="16" t="n">
        <v>9.300000000000001</v>
      </c>
      <c r="G38" s="16" t="inlineStr">
        <is>
          <t>B</t>
        </is>
      </c>
      <c r="H38" s="16" t="inlineStr">
        <is>
          <t>临界</t>
        </is>
      </c>
      <c r="I38" s="16" t="inlineStr">
        <is>
          <t>适熟</t>
        </is>
      </c>
      <c r="J38" s="16" t="inlineStr">
        <is>
          <t>深圳质检组</t>
        </is>
      </c>
    </row>
    <row r="39">
      <c r="A39" s="34" t="n">
        <v>45932</v>
      </c>
      <c r="B39" s="16" t="inlineStr">
        <is>
          <t>NY-KW-2508-007</t>
        </is>
      </c>
      <c r="C39" s="16" t="n">
        <v>8</v>
      </c>
      <c r="D39" s="35" t="n">
        <v>15</v>
      </c>
      <c r="E39" s="35" t="n">
        <v>3.56</v>
      </c>
      <c r="F39" s="16" t="n">
        <v>9.9</v>
      </c>
      <c r="G39" s="16" t="inlineStr">
        <is>
          <t>B</t>
        </is>
      </c>
      <c r="H39" s="16" t="inlineStr">
        <is>
          <t>临界</t>
        </is>
      </c>
      <c r="I39" s="16" t="inlineStr">
        <is>
          <t>适熟</t>
        </is>
      </c>
      <c r="J39" s="16" t="inlineStr">
        <is>
          <t>深圳质检组</t>
        </is>
      </c>
    </row>
    <row r="40">
      <c r="A40" s="34" t="n">
        <v>45936</v>
      </c>
      <c r="B40" s="16" t="inlineStr">
        <is>
          <t>NY-KW-2508-008</t>
        </is>
      </c>
      <c r="C40" s="16" t="n">
        <v>0</v>
      </c>
      <c r="D40" s="35" t="n">
        <v>12</v>
      </c>
      <c r="E40" s="35" t="n">
        <v>6.33</v>
      </c>
      <c r="F40" s="16" t="n">
        <v>9.4</v>
      </c>
      <c r="G40" s="16" t="inlineStr">
        <is>
          <t>B</t>
        </is>
      </c>
      <c r="H40" s="16" t="inlineStr">
        <is>
          <t>可售</t>
        </is>
      </c>
      <c r="I40" s="16" t="inlineStr">
        <is>
          <t>偏硬</t>
        </is>
      </c>
      <c r="J40" s="16" t="inlineStr">
        <is>
          <t>南宁质检组</t>
        </is>
      </c>
    </row>
    <row r="41">
      <c r="A41" s="34" t="n">
        <v>45938</v>
      </c>
      <c r="B41" s="16" t="inlineStr">
        <is>
          <t>NY-KW-2508-008</t>
        </is>
      </c>
      <c r="C41" s="16" t="n">
        <v>2</v>
      </c>
      <c r="D41" s="35" t="n">
        <v>12</v>
      </c>
      <c r="E41" s="35" t="n">
        <v>5.1</v>
      </c>
      <c r="F41" s="16" t="n">
        <v>10.3</v>
      </c>
      <c r="G41" s="16" t="inlineStr">
        <is>
          <t>A</t>
        </is>
      </c>
      <c r="H41" s="16" t="inlineStr">
        <is>
          <t>可售</t>
        </is>
      </c>
      <c r="I41" s="16" t="inlineStr">
        <is>
          <t>无</t>
        </is>
      </c>
      <c r="J41" s="16" t="inlineStr">
        <is>
          <t>广州质检组</t>
        </is>
      </c>
    </row>
    <row r="42">
      <c r="A42" s="34" t="n">
        <v>45940</v>
      </c>
      <c r="B42" s="16" t="inlineStr">
        <is>
          <t>NY-KW-2508-008</t>
        </is>
      </c>
      <c r="C42" s="16" t="n">
        <v>4</v>
      </c>
      <c r="D42" s="35" t="n">
        <v>20</v>
      </c>
      <c r="E42" s="35" t="n">
        <v>4.62</v>
      </c>
      <c r="F42" s="16" t="n">
        <v>10.6</v>
      </c>
      <c r="G42" s="16" t="inlineStr">
        <is>
          <t>B</t>
        </is>
      </c>
      <c r="H42" s="16" t="inlineStr">
        <is>
          <t>可售</t>
        </is>
      </c>
      <c r="I42" s="16" t="inlineStr">
        <is>
          <t>适熟</t>
        </is>
      </c>
      <c r="J42" s="16" t="inlineStr">
        <is>
          <t>南宁质检组</t>
        </is>
      </c>
    </row>
    <row r="43">
      <c r="A43" s="34" t="n">
        <v>45942</v>
      </c>
      <c r="B43" s="16" t="inlineStr">
        <is>
          <t>NY-KW-2508-008</t>
        </is>
      </c>
      <c r="C43" s="16" t="n">
        <v>6</v>
      </c>
      <c r="D43" s="35" t="n">
        <v>12</v>
      </c>
      <c r="E43" s="35" t="n">
        <v>2.24</v>
      </c>
      <c r="F43" s="16" t="n">
        <v>11.5</v>
      </c>
      <c r="G43" s="16" t="inlineStr">
        <is>
          <t>D</t>
        </is>
      </c>
      <c r="H43" s="16" t="inlineStr">
        <is>
          <t>不建议销售</t>
        </is>
      </c>
      <c r="I43" s="16" t="inlineStr">
        <is>
          <t>偏软</t>
        </is>
      </c>
      <c r="J43" s="16" t="inlineStr">
        <is>
          <t>南宁质检组</t>
        </is>
      </c>
    </row>
    <row r="44">
      <c r="A44" s="34" t="n">
        <v>45944</v>
      </c>
      <c r="B44" s="16" t="inlineStr">
        <is>
          <t>NY-KW-2508-008</t>
        </is>
      </c>
      <c r="C44" s="16" t="n">
        <v>8</v>
      </c>
      <c r="D44" s="35" t="n">
        <v>15</v>
      </c>
      <c r="E44" s="35" t="n">
        <v>1.1</v>
      </c>
      <c r="F44" s="16" t="n">
        <v>13.3</v>
      </c>
      <c r="G44" s="16" t="inlineStr">
        <is>
          <t>D</t>
        </is>
      </c>
      <c r="H44" s="16" t="inlineStr">
        <is>
          <t>不建议销售</t>
        </is>
      </c>
      <c r="I44" s="16" t="inlineStr">
        <is>
          <t>偏软</t>
        </is>
      </c>
      <c r="J44" s="16" t="inlineStr">
        <is>
          <t>深圳质检组</t>
        </is>
      </c>
    </row>
    <row r="45">
      <c r="A45" s="34" t="n">
        <v>45925</v>
      </c>
      <c r="B45" s="16" t="inlineStr">
        <is>
          <t>NY-KW-2508-009</t>
        </is>
      </c>
      <c r="C45" s="16" t="n">
        <v>0</v>
      </c>
      <c r="D45" s="35" t="n">
        <v>20</v>
      </c>
      <c r="E45" s="35" t="n">
        <v>7.96</v>
      </c>
      <c r="F45" s="16" t="n">
        <v>9.6</v>
      </c>
      <c r="G45" s="16" t="inlineStr">
        <is>
          <t>A</t>
        </is>
      </c>
      <c r="H45" s="16" t="inlineStr">
        <is>
          <t>可售</t>
        </is>
      </c>
      <c r="I45" s="16" t="inlineStr">
        <is>
          <t>适熟</t>
        </is>
      </c>
      <c r="J45" s="16" t="inlineStr">
        <is>
          <t>广州质检组</t>
        </is>
      </c>
    </row>
    <row r="46">
      <c r="A46" s="34" t="n">
        <v>45927</v>
      </c>
      <c r="B46" s="16" t="inlineStr">
        <is>
          <t>NY-KW-2508-009</t>
        </is>
      </c>
      <c r="C46" s="16" t="n">
        <v>2</v>
      </c>
      <c r="D46" s="35" t="n">
        <v>12</v>
      </c>
      <c r="E46" s="35" t="n">
        <v>6.88</v>
      </c>
      <c r="F46" s="16" t="n">
        <v>10.7</v>
      </c>
      <c r="G46" s="16" t="inlineStr">
        <is>
          <t>A</t>
        </is>
      </c>
      <c r="H46" s="16" t="inlineStr">
        <is>
          <t>可售</t>
        </is>
      </c>
      <c r="I46" s="16" t="inlineStr">
        <is>
          <t>偏硬</t>
        </is>
      </c>
      <c r="J46" s="16" t="inlineStr">
        <is>
          <t>南宁质检组</t>
        </is>
      </c>
    </row>
    <row r="47">
      <c r="A47" s="34" t="n">
        <v>45929</v>
      </c>
      <c r="B47" s="16" t="inlineStr">
        <is>
          <t>NY-KW-2508-009</t>
        </is>
      </c>
      <c r="C47" s="16" t="n">
        <v>4</v>
      </c>
      <c r="D47" s="35" t="n">
        <v>20</v>
      </c>
      <c r="E47" s="35" t="n">
        <v>5.09</v>
      </c>
      <c r="F47" s="16" t="n">
        <v>11.9</v>
      </c>
      <c r="G47" s="16" t="inlineStr">
        <is>
          <t>B</t>
        </is>
      </c>
      <c r="H47" s="16" t="inlineStr">
        <is>
          <t>可售</t>
        </is>
      </c>
      <c r="I47" s="16" t="inlineStr">
        <is>
          <t>偏硬</t>
        </is>
      </c>
      <c r="J47" s="16" t="inlineStr">
        <is>
          <t>广州质检组</t>
        </is>
      </c>
    </row>
    <row r="48">
      <c r="A48" s="34" t="n">
        <v>45931</v>
      </c>
      <c r="B48" s="16" t="inlineStr">
        <is>
          <t>NY-KW-2508-009</t>
        </is>
      </c>
      <c r="C48" s="16" t="n">
        <v>6</v>
      </c>
      <c r="D48" s="35" t="n">
        <v>15</v>
      </c>
      <c r="E48" s="35" t="n">
        <v>3.86</v>
      </c>
      <c r="F48" s="16" t="n">
        <v>12.3</v>
      </c>
      <c r="G48" s="16" t="inlineStr">
        <is>
          <t>C</t>
        </is>
      </c>
      <c r="H48" s="16" t="inlineStr">
        <is>
          <t>临界</t>
        </is>
      </c>
      <c r="I48" s="16" t="inlineStr">
        <is>
          <t>适熟</t>
        </is>
      </c>
      <c r="J48" s="16" t="inlineStr">
        <is>
          <t>深圳质检组</t>
        </is>
      </c>
    </row>
    <row r="49">
      <c r="A49" s="34" t="n">
        <v>45933</v>
      </c>
      <c r="B49" s="16" t="inlineStr">
        <is>
          <t>NY-KW-2508-009</t>
        </is>
      </c>
      <c r="C49" s="16" t="n">
        <v>8</v>
      </c>
      <c r="D49" s="35" t="n">
        <v>12</v>
      </c>
      <c r="E49" s="35" t="n">
        <v>2.98</v>
      </c>
      <c r="F49" s="16" t="n">
        <v>14.6</v>
      </c>
      <c r="G49" s="16" t="inlineStr">
        <is>
          <t>B</t>
        </is>
      </c>
      <c r="H49" s="16" t="inlineStr">
        <is>
          <t>临界</t>
        </is>
      </c>
      <c r="I49" s="16" t="inlineStr">
        <is>
          <t>适熟</t>
        </is>
      </c>
      <c r="J49" s="16" t="inlineStr">
        <is>
          <t>南宁质检组</t>
        </is>
      </c>
    </row>
    <row r="50">
      <c r="A50" s="34" t="n">
        <v>45949</v>
      </c>
      <c r="B50" s="16" t="inlineStr">
        <is>
          <t>NY-KW-2508-010</t>
        </is>
      </c>
      <c r="C50" s="16" t="n">
        <v>0</v>
      </c>
      <c r="D50" s="35" t="n">
        <v>15</v>
      </c>
      <c r="E50" s="35" t="n">
        <v>6.59</v>
      </c>
      <c r="F50" s="16" t="n">
        <v>10</v>
      </c>
      <c r="G50" s="16" t="inlineStr">
        <is>
          <t>A</t>
        </is>
      </c>
      <c r="H50" s="16" t="inlineStr">
        <is>
          <t>可售</t>
        </is>
      </c>
      <c r="I50" s="16" t="inlineStr">
        <is>
          <t>无</t>
        </is>
      </c>
      <c r="J50" s="16" t="inlineStr">
        <is>
          <t>广州质检组</t>
        </is>
      </c>
    </row>
    <row r="51">
      <c r="A51" s="34" t="n">
        <v>45951</v>
      </c>
      <c r="B51" s="16" t="inlineStr">
        <is>
          <t>NY-KW-2508-010</t>
        </is>
      </c>
      <c r="C51" s="16" t="n">
        <v>2</v>
      </c>
      <c r="D51" s="35" t="n">
        <v>15</v>
      </c>
      <c r="E51" s="35" t="n">
        <v>5.1</v>
      </c>
      <c r="F51" s="16" t="n">
        <v>11.1</v>
      </c>
      <c r="G51" s="16" t="inlineStr">
        <is>
          <t>A</t>
        </is>
      </c>
      <c r="H51" s="16" t="inlineStr">
        <is>
          <t>可售</t>
        </is>
      </c>
      <c r="I51" s="16" t="inlineStr">
        <is>
          <t>无</t>
        </is>
      </c>
      <c r="J51" s="16" t="inlineStr">
        <is>
          <t>深圳质检组</t>
        </is>
      </c>
    </row>
    <row r="52">
      <c r="A52" s="34" t="n">
        <v>45953</v>
      </c>
      <c r="B52" s="16" t="inlineStr">
        <is>
          <t>NY-KW-2508-010</t>
        </is>
      </c>
      <c r="C52" s="16" t="n">
        <v>4</v>
      </c>
      <c r="D52" s="35" t="n">
        <v>12</v>
      </c>
      <c r="E52" s="35" t="n">
        <v>3.7</v>
      </c>
      <c r="F52" s="16" t="n">
        <v>12.5</v>
      </c>
      <c r="G52" s="16" t="inlineStr">
        <is>
          <t>B</t>
        </is>
      </c>
      <c r="H52" s="16" t="inlineStr">
        <is>
          <t>临界</t>
        </is>
      </c>
      <c r="I52" s="16" t="inlineStr">
        <is>
          <t>偏软</t>
        </is>
      </c>
      <c r="J52" s="16" t="inlineStr">
        <is>
          <t>深圳质检组</t>
        </is>
      </c>
    </row>
    <row r="53">
      <c r="A53" s="34" t="n">
        <v>45957</v>
      </c>
      <c r="B53" s="16" t="inlineStr">
        <is>
          <t>NY-KW-2508-010</t>
        </is>
      </c>
      <c r="C53" s="16" t="n">
        <v>8</v>
      </c>
      <c r="D53" s="35" t="n">
        <v>20</v>
      </c>
      <c r="E53" s="35" t="n">
        <v>1.8</v>
      </c>
      <c r="F53" s="16" t="n">
        <v>13.8</v>
      </c>
      <c r="G53" s="16" t="inlineStr">
        <is>
          <t>C</t>
        </is>
      </c>
      <c r="H53" s="16" t="inlineStr">
        <is>
          <t>不建议销售</t>
        </is>
      </c>
      <c r="I53" s="16" t="inlineStr">
        <is>
          <t>偏软</t>
        </is>
      </c>
      <c r="J53" s="16" t="inlineStr">
        <is>
          <t>深圳质检组</t>
        </is>
      </c>
    </row>
    <row r="54">
      <c r="A54" s="34" t="n">
        <v>45955</v>
      </c>
      <c r="B54" s="16" t="inlineStr">
        <is>
          <t>NY-KW-2508-010</t>
        </is>
      </c>
      <c r="C54" s="16" t="n">
        <v>6</v>
      </c>
      <c r="D54" s="35" t="n">
        <v>15</v>
      </c>
      <c r="E54" s="35" t="n">
        <v>3.03</v>
      </c>
      <c r="F54" s="16" t="n">
        <v>12.6</v>
      </c>
      <c r="G54" s="16" t="inlineStr">
        <is>
          <t>C</t>
        </is>
      </c>
      <c r="H54" s="16" t="inlineStr">
        <is>
          <t>临界</t>
        </is>
      </c>
      <c r="I54" s="16" t="inlineStr">
        <is>
          <t>适熟</t>
        </is>
      </c>
      <c r="J54" s="16" t="inlineStr">
        <is>
          <t>广州质检组</t>
        </is>
      </c>
    </row>
    <row r="55">
      <c r="A55" s="34" t="n">
        <v>45924</v>
      </c>
      <c r="B55" s="16" t="inlineStr">
        <is>
          <t>NY-KW-2508-011</t>
        </is>
      </c>
      <c r="C55" s="16" t="n">
        <v>0</v>
      </c>
      <c r="D55" s="35" t="n">
        <v>20</v>
      </c>
      <c r="E55" s="35" t="n">
        <v>8.550000000000001</v>
      </c>
      <c r="F55" s="16" t="n">
        <v>7.8</v>
      </c>
      <c r="G55" s="16" t="inlineStr">
        <is>
          <t>A</t>
        </is>
      </c>
      <c r="H55" s="16" t="inlineStr">
        <is>
          <t>可售</t>
        </is>
      </c>
      <c r="I55" s="16" t="inlineStr">
        <is>
          <t>无</t>
        </is>
      </c>
      <c r="J55" s="16" t="inlineStr">
        <is>
          <t>广州质检组</t>
        </is>
      </c>
    </row>
    <row r="56">
      <c r="A56" s="34" t="n">
        <v>45926</v>
      </c>
      <c r="B56" s="16" t="inlineStr">
        <is>
          <t>NY-KW-2508-011</t>
        </is>
      </c>
      <c r="C56" s="16" t="n">
        <v>2</v>
      </c>
      <c r="D56" s="35" t="n">
        <v>12</v>
      </c>
      <c r="E56" s="35" t="n">
        <v>7.64</v>
      </c>
      <c r="F56" s="16" t="n">
        <v>9.1</v>
      </c>
      <c r="G56" s="16" t="inlineStr">
        <is>
          <t>A</t>
        </is>
      </c>
      <c r="H56" s="16" t="inlineStr">
        <is>
          <t>可售</t>
        </is>
      </c>
      <c r="I56" s="16" t="inlineStr">
        <is>
          <t>偏硬</t>
        </is>
      </c>
      <c r="J56" s="16" t="inlineStr">
        <is>
          <t>广州质检组</t>
        </is>
      </c>
    </row>
    <row r="57">
      <c r="A57" s="34" t="n">
        <v>45928</v>
      </c>
      <c r="B57" s="16" t="inlineStr">
        <is>
          <t>NY-KW-2508-011</t>
        </is>
      </c>
      <c r="C57" s="16" t="n">
        <v>4</v>
      </c>
      <c r="D57" s="35" t="n">
        <v>12</v>
      </c>
      <c r="E57" s="35" t="n">
        <v>6.67</v>
      </c>
      <c r="F57" s="16" t="n">
        <v>10.2</v>
      </c>
      <c r="G57" s="16" t="inlineStr">
        <is>
          <t>A</t>
        </is>
      </c>
      <c r="H57" s="16" t="inlineStr">
        <is>
          <t>可售</t>
        </is>
      </c>
      <c r="I57" s="16" t="inlineStr">
        <is>
          <t>适熟</t>
        </is>
      </c>
      <c r="J57" s="16" t="inlineStr">
        <is>
          <t>广州质检组</t>
        </is>
      </c>
    </row>
    <row r="58">
      <c r="A58" s="34" t="n">
        <v>45930</v>
      </c>
      <c r="B58" s="16" t="inlineStr">
        <is>
          <t>NY-KW-2508-011</t>
        </is>
      </c>
      <c r="C58" s="16" t="n">
        <v>6</v>
      </c>
      <c r="D58" s="35" t="n">
        <v>15</v>
      </c>
      <c r="E58" s="35" t="n">
        <v>4.71</v>
      </c>
      <c r="F58" s="16" t="n">
        <v>12</v>
      </c>
      <c r="G58" s="16" t="inlineStr">
        <is>
          <t>A</t>
        </is>
      </c>
      <c r="H58" s="16" t="inlineStr">
        <is>
          <t>可售</t>
        </is>
      </c>
      <c r="I58" s="16" t="inlineStr">
        <is>
          <t>适熟</t>
        </is>
      </c>
      <c r="J58" s="16" t="inlineStr">
        <is>
          <t>深圳质检组</t>
        </is>
      </c>
    </row>
    <row r="59">
      <c r="A59" s="34" t="n">
        <v>45932</v>
      </c>
      <c r="B59" s="16" t="inlineStr">
        <is>
          <t>NY-KW-2508-011</t>
        </is>
      </c>
      <c r="C59" s="16" t="n">
        <v>8</v>
      </c>
      <c r="D59" s="35" t="n">
        <v>20</v>
      </c>
      <c r="E59" s="35" t="n">
        <v>4.65</v>
      </c>
      <c r="F59" s="16" t="n">
        <v>10.3</v>
      </c>
      <c r="G59" s="16" t="inlineStr">
        <is>
          <t>A</t>
        </is>
      </c>
      <c r="H59" s="16" t="inlineStr">
        <is>
          <t>可售</t>
        </is>
      </c>
      <c r="I59" s="16" t="inlineStr">
        <is>
          <t>无</t>
        </is>
      </c>
      <c r="J59" s="16" t="inlineStr">
        <is>
          <t>深圳质检组</t>
        </is>
      </c>
    </row>
    <row r="60">
      <c r="A60" s="34" t="n">
        <v>45918</v>
      </c>
      <c r="B60" s="16" t="inlineStr">
        <is>
          <t>NY-KW-2508-012</t>
        </is>
      </c>
      <c r="C60" s="16" t="n">
        <v>0</v>
      </c>
      <c r="D60" s="35" t="n">
        <v>12</v>
      </c>
      <c r="E60" s="35" t="n">
        <v>7.61</v>
      </c>
      <c r="F60" s="16" t="n">
        <v>8.9</v>
      </c>
      <c r="G60" s="16" t="inlineStr">
        <is>
          <t>B</t>
        </is>
      </c>
      <c r="H60" s="16" t="inlineStr">
        <is>
          <t>可售</t>
        </is>
      </c>
      <c r="I60" s="16" t="inlineStr">
        <is>
          <t>适熟</t>
        </is>
      </c>
      <c r="J60" s="16" t="inlineStr">
        <is>
          <t>广州质检组</t>
        </is>
      </c>
    </row>
    <row r="61">
      <c r="A61" s="34" t="n">
        <v>45920</v>
      </c>
      <c r="B61" s="16" t="inlineStr">
        <is>
          <t>NY-KW-2508-012</t>
        </is>
      </c>
      <c r="C61" s="16" t="n">
        <v>2</v>
      </c>
      <c r="D61" s="35" t="n">
        <v>15</v>
      </c>
      <c r="E61" s="35" t="n">
        <v>6.12</v>
      </c>
      <c r="F61" s="16" t="n">
        <v>10.2</v>
      </c>
      <c r="G61" s="16" t="inlineStr">
        <is>
          <t>B</t>
        </is>
      </c>
      <c r="H61" s="16" t="inlineStr">
        <is>
          <t>可售</t>
        </is>
      </c>
      <c r="I61" s="16" t="inlineStr">
        <is>
          <t>适熟</t>
        </is>
      </c>
      <c r="J61" s="16" t="inlineStr">
        <is>
          <t>深圳质检组</t>
        </is>
      </c>
    </row>
    <row r="62">
      <c r="A62" s="34" t="n">
        <v>45922</v>
      </c>
      <c r="B62" s="16" t="inlineStr">
        <is>
          <t>NY-KW-2508-012</t>
        </is>
      </c>
      <c r="C62" s="16" t="n">
        <v>4</v>
      </c>
      <c r="D62" s="35" t="n">
        <v>12</v>
      </c>
      <c r="E62" s="35" t="n">
        <v>4.76</v>
      </c>
      <c r="F62" s="16" t="n">
        <v>11.1</v>
      </c>
      <c r="G62" s="16" t="inlineStr">
        <is>
          <t>A</t>
        </is>
      </c>
      <c r="H62" s="16" t="inlineStr">
        <is>
          <t>可售</t>
        </is>
      </c>
      <c r="I62" s="16" t="inlineStr">
        <is>
          <t>无</t>
        </is>
      </c>
      <c r="J62" s="16" t="inlineStr">
        <is>
          <t>广州质检组</t>
        </is>
      </c>
    </row>
    <row r="63">
      <c r="A63" s="34" t="n">
        <v>45924</v>
      </c>
      <c r="B63" s="16" t="inlineStr">
        <is>
          <t>NY-KW-2508-012</t>
        </is>
      </c>
      <c r="C63" s="16" t="n">
        <v>6</v>
      </c>
      <c r="D63" s="35" t="n">
        <v>15</v>
      </c>
      <c r="E63" s="35" t="n">
        <v>4.99</v>
      </c>
      <c r="F63" s="16" t="n">
        <v>11.3</v>
      </c>
      <c r="G63" s="16" t="inlineStr">
        <is>
          <t>A</t>
        </is>
      </c>
      <c r="H63" s="16" t="inlineStr">
        <is>
          <t>可售</t>
        </is>
      </c>
      <c r="I63" s="16" t="inlineStr">
        <is>
          <t>适熟</t>
        </is>
      </c>
      <c r="J63" s="16" t="inlineStr">
        <is>
          <t>南宁质检组</t>
        </is>
      </c>
    </row>
    <row r="64">
      <c r="A64" s="34" t="n">
        <v>45926</v>
      </c>
      <c r="B64" s="16" t="inlineStr">
        <is>
          <t>NY-KW-2508-012</t>
        </is>
      </c>
      <c r="C64" s="16" t="n">
        <v>8</v>
      </c>
      <c r="D64" s="35" t="n">
        <v>12</v>
      </c>
      <c r="E64" s="35" t="n">
        <v>2.03</v>
      </c>
      <c r="F64" s="16" t="n">
        <v>13.7</v>
      </c>
      <c r="G64" s="16" t="inlineStr">
        <is>
          <t>C</t>
        </is>
      </c>
      <c r="H64" s="16" t="inlineStr">
        <is>
          <t>不建议销售</t>
        </is>
      </c>
      <c r="I64" s="16" t="inlineStr">
        <is>
          <t>偏软</t>
        </is>
      </c>
      <c r="J64" s="16" t="inlineStr">
        <is>
          <t>广州质检组</t>
        </is>
      </c>
    </row>
    <row r="65">
      <c r="A65" s="34" t="n">
        <v>45938</v>
      </c>
      <c r="B65" s="16" t="inlineStr">
        <is>
          <t>NY-KW-2508-013</t>
        </is>
      </c>
      <c r="C65" s="16" t="n">
        <v>0</v>
      </c>
      <c r="D65" s="35" t="n">
        <v>15</v>
      </c>
      <c r="E65" s="35" t="n">
        <v>8.44</v>
      </c>
      <c r="F65" s="16" t="n">
        <v>8.300000000000001</v>
      </c>
      <c r="G65" s="16" t="inlineStr">
        <is>
          <t>A</t>
        </is>
      </c>
      <c r="H65" s="16" t="inlineStr">
        <is>
          <t>可售</t>
        </is>
      </c>
      <c r="I65" s="16" t="inlineStr">
        <is>
          <t>无</t>
        </is>
      </c>
      <c r="J65" s="16" t="inlineStr">
        <is>
          <t>深圳质检组</t>
        </is>
      </c>
    </row>
    <row r="66">
      <c r="A66" s="34" t="n">
        <v>45940</v>
      </c>
      <c r="B66" s="16" t="inlineStr">
        <is>
          <t>NY-KW-2508-013</t>
        </is>
      </c>
      <c r="C66" s="16" t="n">
        <v>2</v>
      </c>
      <c r="D66" s="35" t="n">
        <v>20</v>
      </c>
      <c r="E66" s="35" t="n">
        <v>7.42</v>
      </c>
      <c r="F66" s="16" t="n">
        <v>9.6</v>
      </c>
      <c r="G66" s="16" t="inlineStr">
        <is>
          <t>A</t>
        </is>
      </c>
      <c r="H66" s="16" t="inlineStr">
        <is>
          <t>可售</t>
        </is>
      </c>
      <c r="I66" s="16" t="inlineStr">
        <is>
          <t>偏硬</t>
        </is>
      </c>
      <c r="J66" s="16" t="inlineStr">
        <is>
          <t>广州质检组</t>
        </is>
      </c>
    </row>
    <row r="67">
      <c r="A67" s="34" t="n">
        <v>45942</v>
      </c>
      <c r="B67" s="16" t="inlineStr">
        <is>
          <t>NY-KW-2508-013</t>
        </is>
      </c>
      <c r="C67" s="16" t="n">
        <v>4</v>
      </c>
      <c r="D67" s="35" t="n">
        <v>15</v>
      </c>
      <c r="E67" s="35" t="n">
        <v>5.78</v>
      </c>
      <c r="F67" s="16" t="n">
        <v>9.6</v>
      </c>
      <c r="G67" s="16" t="inlineStr">
        <is>
          <t>A</t>
        </is>
      </c>
      <c r="H67" s="16" t="inlineStr">
        <is>
          <t>可售</t>
        </is>
      </c>
      <c r="I67" s="16" t="inlineStr">
        <is>
          <t>偏硬</t>
        </is>
      </c>
      <c r="J67" s="16" t="inlineStr">
        <is>
          <t>广州质检组</t>
        </is>
      </c>
    </row>
    <row r="68">
      <c r="A68" s="34" t="n">
        <v>45944</v>
      </c>
      <c r="B68" s="16" t="inlineStr">
        <is>
          <t>NY-KW-2508-013</t>
        </is>
      </c>
      <c r="C68" s="16" t="n">
        <v>6</v>
      </c>
      <c r="D68" s="35" t="n">
        <v>12</v>
      </c>
      <c r="E68" s="35" t="n">
        <v>3.52</v>
      </c>
      <c r="F68" s="16" t="n">
        <v>10.8</v>
      </c>
      <c r="G68" s="16" t="inlineStr">
        <is>
          <t>B</t>
        </is>
      </c>
      <c r="H68" s="16" t="inlineStr">
        <is>
          <t>临界</t>
        </is>
      </c>
      <c r="I68" s="16" t="inlineStr">
        <is>
          <t>适熟</t>
        </is>
      </c>
      <c r="J68" s="16" t="inlineStr">
        <is>
          <t>深圳质检组</t>
        </is>
      </c>
    </row>
    <row r="69">
      <c r="A69" s="34" t="n">
        <v>45946</v>
      </c>
      <c r="B69" s="16" t="inlineStr">
        <is>
          <t>NY-KW-2508-013</t>
        </is>
      </c>
      <c r="C69" s="16" t="n">
        <v>8</v>
      </c>
      <c r="D69" s="35" t="n">
        <v>15</v>
      </c>
      <c r="E69" s="35" t="n">
        <v>3.56</v>
      </c>
      <c r="F69" s="16" t="n">
        <v>10.9</v>
      </c>
      <c r="G69" s="16" t="inlineStr">
        <is>
          <t>C</t>
        </is>
      </c>
      <c r="H69" s="16" t="inlineStr">
        <is>
          <t>临界</t>
        </is>
      </c>
      <c r="I69" s="16" t="inlineStr">
        <is>
          <t>偏软</t>
        </is>
      </c>
      <c r="J69" s="16" t="inlineStr">
        <is>
          <t>深圳质检组</t>
        </is>
      </c>
    </row>
    <row r="70">
      <c r="A70" s="34" t="n">
        <v>45933</v>
      </c>
      <c r="B70" s="16" t="inlineStr">
        <is>
          <t>NY-KW-2508-014</t>
        </is>
      </c>
      <c r="C70" s="16" t="n">
        <v>0</v>
      </c>
      <c r="D70" s="35" t="n">
        <v>12</v>
      </c>
      <c r="E70" s="35" t="n">
        <v>8.630000000000001</v>
      </c>
      <c r="F70" s="16" t="n">
        <v>8.6</v>
      </c>
      <c r="G70" s="16" t="inlineStr">
        <is>
          <t>B</t>
        </is>
      </c>
      <c r="H70" s="16" t="inlineStr">
        <is>
          <t>可售</t>
        </is>
      </c>
      <c r="I70" s="16" t="inlineStr">
        <is>
          <t>偏硬</t>
        </is>
      </c>
      <c r="J70" s="16" t="inlineStr">
        <is>
          <t>南宁质检组</t>
        </is>
      </c>
    </row>
    <row r="71">
      <c r="A71" s="34" t="n">
        <v>45935</v>
      </c>
      <c r="B71" s="16" t="inlineStr">
        <is>
          <t>NY-KW-2508-014</t>
        </is>
      </c>
      <c r="C71" s="16" t="n">
        <v>2</v>
      </c>
      <c r="D71" s="35" t="n">
        <v>12</v>
      </c>
      <c r="E71" s="35" t="n">
        <v>7.48</v>
      </c>
      <c r="F71" s="16" t="n">
        <v>9.300000000000001</v>
      </c>
      <c r="G71" s="16" t="inlineStr">
        <is>
          <t>A</t>
        </is>
      </c>
      <c r="H71" s="16" t="inlineStr">
        <is>
          <t>可售</t>
        </is>
      </c>
      <c r="I71" s="16" t="inlineStr">
        <is>
          <t>偏硬</t>
        </is>
      </c>
      <c r="J71" s="16" t="inlineStr">
        <is>
          <t>深圳质检组</t>
        </is>
      </c>
    </row>
    <row r="72">
      <c r="A72" s="34" t="n">
        <v>45937</v>
      </c>
      <c r="B72" s="16" t="inlineStr">
        <is>
          <t>NY-KW-2508-014</t>
        </is>
      </c>
      <c r="C72" s="16" t="n">
        <v>4</v>
      </c>
      <c r="D72" s="35" t="n">
        <v>20</v>
      </c>
      <c r="E72" s="35" t="n">
        <v>6.89</v>
      </c>
      <c r="F72" s="16" t="n">
        <v>11</v>
      </c>
      <c r="G72" s="16" t="inlineStr">
        <is>
          <t>A</t>
        </is>
      </c>
      <c r="H72" s="16" t="inlineStr">
        <is>
          <t>可售</t>
        </is>
      </c>
      <c r="I72" s="16" t="inlineStr">
        <is>
          <t>偏硬</t>
        </is>
      </c>
      <c r="J72" s="16" t="inlineStr">
        <is>
          <t>广州质检组</t>
        </is>
      </c>
    </row>
    <row r="73">
      <c r="A73" s="34" t="n">
        <v>45939</v>
      </c>
      <c r="B73" s="16" t="inlineStr">
        <is>
          <t>NY-KW-2508-014</t>
        </is>
      </c>
      <c r="C73" s="16" t="n">
        <v>6</v>
      </c>
      <c r="D73" s="35" t="n">
        <v>15</v>
      </c>
      <c r="E73" s="35" t="n">
        <v>4.59</v>
      </c>
      <c r="F73" s="16" t="n">
        <v>11.4</v>
      </c>
      <c r="G73" s="16" t="inlineStr">
        <is>
          <t>A</t>
        </is>
      </c>
      <c r="H73" s="16" t="inlineStr">
        <is>
          <t>可售</t>
        </is>
      </c>
      <c r="I73" s="16" t="inlineStr">
        <is>
          <t>偏硬</t>
        </is>
      </c>
      <c r="J73" s="16" t="inlineStr">
        <is>
          <t>广州质检组</t>
        </is>
      </c>
    </row>
    <row r="74">
      <c r="A74" s="34" t="n">
        <v>45941</v>
      </c>
      <c r="B74" s="16" t="inlineStr">
        <is>
          <t>NY-KW-2508-014</t>
        </is>
      </c>
      <c r="C74" s="16" t="n">
        <v>8</v>
      </c>
      <c r="D74" s="35" t="n">
        <v>20</v>
      </c>
      <c r="E74" s="35" t="n">
        <v>3.97</v>
      </c>
      <c r="F74" s="16" t="n">
        <v>12</v>
      </c>
      <c r="G74" s="16" t="inlineStr">
        <is>
          <t>C</t>
        </is>
      </c>
      <c r="H74" s="16" t="inlineStr">
        <is>
          <t>临界</t>
        </is>
      </c>
      <c r="I74" s="16" t="inlineStr">
        <is>
          <t>偏软</t>
        </is>
      </c>
      <c r="J74" s="16" t="inlineStr">
        <is>
          <t>南宁质检组</t>
        </is>
      </c>
    </row>
    <row r="75">
      <c r="A75" s="34" t="n">
        <v>45948</v>
      </c>
      <c r="B75" s="16" t="inlineStr">
        <is>
          <t>NY-KW-2508-015</t>
        </is>
      </c>
      <c r="C75" s="16" t="n">
        <v>0</v>
      </c>
      <c r="D75" s="35" t="n">
        <v>12</v>
      </c>
      <c r="E75" s="35" t="n">
        <v>7.7</v>
      </c>
      <c r="F75" s="16" t="n">
        <v>8</v>
      </c>
      <c r="G75" s="16" t="inlineStr">
        <is>
          <t>A</t>
        </is>
      </c>
      <c r="H75" s="16" t="inlineStr">
        <is>
          <t>可售</t>
        </is>
      </c>
      <c r="I75" s="16" t="inlineStr">
        <is>
          <t>无</t>
        </is>
      </c>
      <c r="J75" s="16" t="inlineStr">
        <is>
          <t>广州质检组</t>
        </is>
      </c>
    </row>
    <row r="76">
      <c r="A76" s="34" t="n">
        <v>45950</v>
      </c>
      <c r="B76" s="16" t="inlineStr">
        <is>
          <t>NY-KW-2508-015</t>
        </is>
      </c>
      <c r="C76" s="16" t="n">
        <v>2</v>
      </c>
      <c r="D76" s="35" t="n">
        <v>12</v>
      </c>
      <c r="E76" s="35" t="n">
        <v>6.27</v>
      </c>
      <c r="F76" s="16" t="n">
        <v>9.1</v>
      </c>
      <c r="G76" s="16" t="inlineStr">
        <is>
          <t>A</t>
        </is>
      </c>
      <c r="H76" s="16" t="inlineStr">
        <is>
          <t>可售</t>
        </is>
      </c>
      <c r="I76" s="16" t="inlineStr">
        <is>
          <t>适熟</t>
        </is>
      </c>
      <c r="J76" s="16" t="inlineStr">
        <is>
          <t>南宁质检组</t>
        </is>
      </c>
    </row>
    <row r="77">
      <c r="A77" s="34" t="n">
        <v>45952</v>
      </c>
      <c r="B77" s="16" t="inlineStr">
        <is>
          <t>NY-KW-2508-015</t>
        </is>
      </c>
      <c r="C77" s="16" t="n">
        <v>4</v>
      </c>
      <c r="D77" s="35" t="n">
        <v>15</v>
      </c>
      <c r="E77" s="35" t="n">
        <v>5.6</v>
      </c>
      <c r="F77" s="16" t="n">
        <v>9.9</v>
      </c>
      <c r="G77" s="16" t="inlineStr">
        <is>
          <t>A</t>
        </is>
      </c>
      <c r="H77" s="16" t="inlineStr">
        <is>
          <t>可售</t>
        </is>
      </c>
      <c r="I77" s="16" t="inlineStr">
        <is>
          <t>无</t>
        </is>
      </c>
      <c r="J77" s="16" t="inlineStr">
        <is>
          <t>广州质检组</t>
        </is>
      </c>
    </row>
    <row r="78">
      <c r="A78" s="34" t="n">
        <v>45954</v>
      </c>
      <c r="B78" s="16" t="inlineStr">
        <is>
          <t>NY-KW-2508-015</t>
        </is>
      </c>
      <c r="C78" s="16" t="n">
        <v>6</v>
      </c>
      <c r="D78" s="35" t="n">
        <v>12</v>
      </c>
      <c r="E78" s="35" t="n">
        <v>4.93</v>
      </c>
      <c r="F78" s="16" t="n">
        <v>10</v>
      </c>
      <c r="G78" s="16" t="inlineStr">
        <is>
          <t>A</t>
        </is>
      </c>
      <c r="H78" s="16" t="inlineStr">
        <is>
          <t>可售</t>
        </is>
      </c>
      <c r="I78" s="16" t="inlineStr">
        <is>
          <t>适熟</t>
        </is>
      </c>
      <c r="J78" s="16" t="inlineStr">
        <is>
          <t>深圳质检组</t>
        </is>
      </c>
    </row>
    <row r="79">
      <c r="A79" s="34" t="n">
        <v>45956</v>
      </c>
      <c r="B79" s="16" t="inlineStr">
        <is>
          <t>NY-KW-2508-015</t>
        </is>
      </c>
      <c r="C79" s="16" t="n">
        <v>8</v>
      </c>
      <c r="D79" s="35" t="n">
        <v>15</v>
      </c>
      <c r="E79" s="35" t="n">
        <v>2.06</v>
      </c>
      <c r="F79" s="16" t="n">
        <v>11.4</v>
      </c>
      <c r="G79" s="16" t="inlineStr">
        <is>
          <t>D</t>
        </is>
      </c>
      <c r="H79" s="16" t="inlineStr">
        <is>
          <t>不建议销售</t>
        </is>
      </c>
      <c r="I79" s="16" t="inlineStr">
        <is>
          <t>偏软</t>
        </is>
      </c>
      <c r="J79" s="16" t="inlineStr">
        <is>
          <t>南宁质检组</t>
        </is>
      </c>
    </row>
    <row r="80">
      <c r="A80" s="34" t="n">
        <v>45942</v>
      </c>
      <c r="B80" s="16" t="inlineStr">
        <is>
          <t>NY-KW-2508-016</t>
        </is>
      </c>
      <c r="C80" s="16" t="n">
        <v>0</v>
      </c>
      <c r="D80" s="35" t="n">
        <v>15</v>
      </c>
      <c r="E80" s="35" t="n">
        <v>8.51</v>
      </c>
      <c r="F80" s="16" t="n">
        <v>9.5</v>
      </c>
      <c r="G80" s="16" t="inlineStr">
        <is>
          <t>B</t>
        </is>
      </c>
      <c r="H80" s="16" t="inlineStr">
        <is>
          <t>可售</t>
        </is>
      </c>
      <c r="I80" s="16" t="inlineStr">
        <is>
          <t>偏硬</t>
        </is>
      </c>
      <c r="J80" s="16" t="inlineStr">
        <is>
          <t>深圳质检组</t>
        </is>
      </c>
    </row>
    <row r="81">
      <c r="A81" s="34" t="n">
        <v>45944</v>
      </c>
      <c r="B81" s="16" t="inlineStr">
        <is>
          <t>NY-KW-2508-016</t>
        </is>
      </c>
      <c r="C81" s="16" t="n">
        <v>2</v>
      </c>
      <c r="D81" s="35" t="n">
        <v>20</v>
      </c>
      <c r="E81" s="35" t="n">
        <v>7.66</v>
      </c>
      <c r="F81" s="16" t="n">
        <v>10.9</v>
      </c>
      <c r="G81" s="16" t="inlineStr">
        <is>
          <t>A</t>
        </is>
      </c>
      <c r="H81" s="16" t="inlineStr">
        <is>
          <t>可售</t>
        </is>
      </c>
      <c r="I81" s="16" t="inlineStr">
        <is>
          <t>无</t>
        </is>
      </c>
      <c r="J81" s="16" t="inlineStr">
        <is>
          <t>深圳质检组</t>
        </is>
      </c>
    </row>
    <row r="82">
      <c r="A82" s="34" t="n">
        <v>45946</v>
      </c>
      <c r="B82" s="16" t="inlineStr">
        <is>
          <t>NY-KW-2508-016</t>
        </is>
      </c>
      <c r="C82" s="16" t="n">
        <v>4</v>
      </c>
      <c r="D82" s="35" t="n">
        <v>15</v>
      </c>
      <c r="E82" s="35" t="n">
        <v>5.29</v>
      </c>
      <c r="F82" s="16" t="n">
        <v>10.9</v>
      </c>
      <c r="G82" s="16" t="inlineStr">
        <is>
          <t>A</t>
        </is>
      </c>
      <c r="H82" s="16" t="inlineStr">
        <is>
          <t>可售</t>
        </is>
      </c>
      <c r="I82" s="16" t="inlineStr">
        <is>
          <t>无</t>
        </is>
      </c>
      <c r="J82" s="16" t="inlineStr">
        <is>
          <t>南宁质检组</t>
        </is>
      </c>
    </row>
    <row r="83">
      <c r="A83" s="34" t="n">
        <v>45948</v>
      </c>
      <c r="B83" s="16" t="inlineStr">
        <is>
          <t>NY-KW-2508-016</t>
        </is>
      </c>
      <c r="C83" s="16" t="n">
        <v>6</v>
      </c>
      <c r="D83" s="35" t="n">
        <v>12</v>
      </c>
      <c r="E83" s="35" t="n">
        <v>3.66</v>
      </c>
      <c r="F83" s="16" t="n">
        <v>11.5</v>
      </c>
      <c r="G83" s="16" t="inlineStr">
        <is>
          <t>B</t>
        </is>
      </c>
      <c r="H83" s="16" t="inlineStr">
        <is>
          <t>临界</t>
        </is>
      </c>
      <c r="I83" s="16" t="inlineStr">
        <is>
          <t>偏软</t>
        </is>
      </c>
      <c r="J83" s="16" t="inlineStr">
        <is>
          <t>广州质检组</t>
        </is>
      </c>
    </row>
    <row r="84">
      <c r="A84" s="34" t="n">
        <v>45950</v>
      </c>
      <c r="B84" s="16" t="inlineStr">
        <is>
          <t>NY-KW-2508-016</t>
        </is>
      </c>
      <c r="C84" s="16" t="n">
        <v>8</v>
      </c>
      <c r="D84" s="35" t="n">
        <v>20</v>
      </c>
      <c r="E84" s="35" t="n">
        <v>3.57</v>
      </c>
      <c r="F84" s="16" t="n">
        <v>13.4</v>
      </c>
      <c r="G84" s="16" t="inlineStr">
        <is>
          <t>C</t>
        </is>
      </c>
      <c r="H84" s="16" t="inlineStr">
        <is>
          <t>临界</t>
        </is>
      </c>
      <c r="I84" s="16" t="inlineStr">
        <is>
          <t>适熟</t>
        </is>
      </c>
      <c r="J84" s="16" t="inlineStr">
        <is>
          <t>南宁质检组</t>
        </is>
      </c>
    </row>
    <row r="85">
      <c r="A85" s="34" t="n">
        <v>45930</v>
      </c>
      <c r="B85" s="16" t="inlineStr">
        <is>
          <t>NY-KW-2508-017</t>
        </is>
      </c>
      <c r="C85" s="16" t="n">
        <v>0</v>
      </c>
      <c r="D85" s="35" t="n">
        <v>12</v>
      </c>
      <c r="E85" s="35" t="n">
        <v>7.19</v>
      </c>
      <c r="F85" s="16" t="n">
        <v>9.4</v>
      </c>
      <c r="G85" s="16" t="inlineStr">
        <is>
          <t>A</t>
        </is>
      </c>
      <c r="H85" s="16" t="inlineStr">
        <is>
          <t>可售</t>
        </is>
      </c>
      <c r="I85" s="16" t="inlineStr">
        <is>
          <t>无</t>
        </is>
      </c>
      <c r="J85" s="16" t="inlineStr">
        <is>
          <t>广州质检组</t>
        </is>
      </c>
    </row>
    <row r="86">
      <c r="A86" s="34" t="n">
        <v>45932</v>
      </c>
      <c r="B86" s="16" t="inlineStr">
        <is>
          <t>NY-KW-2508-017</t>
        </is>
      </c>
      <c r="C86" s="16" t="n">
        <v>2</v>
      </c>
      <c r="D86" s="35" t="n">
        <v>20</v>
      </c>
      <c r="E86" s="35" t="n">
        <v>6.21</v>
      </c>
      <c r="F86" s="16" t="n">
        <v>10.4</v>
      </c>
      <c r="G86" s="16" t="inlineStr">
        <is>
          <t>A</t>
        </is>
      </c>
      <c r="H86" s="16" t="inlineStr">
        <is>
          <t>可售</t>
        </is>
      </c>
      <c r="I86" s="16" t="inlineStr">
        <is>
          <t>适熟</t>
        </is>
      </c>
      <c r="J86" s="16" t="inlineStr">
        <is>
          <t>南宁质检组</t>
        </is>
      </c>
    </row>
    <row r="87">
      <c r="A87" s="34" t="n">
        <v>45934</v>
      </c>
      <c r="B87" s="16" t="inlineStr">
        <is>
          <t>NY-KW-2508-017</t>
        </is>
      </c>
      <c r="C87" s="16" t="n">
        <v>4</v>
      </c>
      <c r="D87" s="35" t="n">
        <v>20</v>
      </c>
      <c r="E87" s="35" t="n">
        <v>4.37</v>
      </c>
      <c r="F87" s="16" t="n">
        <v>11.2</v>
      </c>
      <c r="G87" s="16" t="inlineStr">
        <is>
          <t>C</t>
        </is>
      </c>
      <c r="H87" s="16" t="inlineStr">
        <is>
          <t>临界</t>
        </is>
      </c>
      <c r="I87" s="16" t="inlineStr">
        <is>
          <t>偏软</t>
        </is>
      </c>
      <c r="J87" s="16" t="inlineStr">
        <is>
          <t>南宁质检组</t>
        </is>
      </c>
    </row>
    <row r="88">
      <c r="A88" s="34" t="n">
        <v>45936</v>
      </c>
      <c r="B88" s="16" t="inlineStr">
        <is>
          <t>NY-KW-2508-017</t>
        </is>
      </c>
      <c r="C88" s="16" t="n">
        <v>6</v>
      </c>
      <c r="D88" s="35" t="n">
        <v>20</v>
      </c>
      <c r="E88" s="35" t="n">
        <v>3.82</v>
      </c>
      <c r="F88" s="16" t="n">
        <v>12.1</v>
      </c>
      <c r="G88" s="16" t="inlineStr">
        <is>
          <t>B</t>
        </is>
      </c>
      <c r="H88" s="16" t="inlineStr">
        <is>
          <t>临界</t>
        </is>
      </c>
      <c r="I88" s="16" t="inlineStr">
        <is>
          <t>偏软</t>
        </is>
      </c>
      <c r="J88" s="16" t="inlineStr">
        <is>
          <t>南宁质检组</t>
        </is>
      </c>
    </row>
    <row r="89">
      <c r="A89" s="34" t="n">
        <v>45938</v>
      </c>
      <c r="B89" s="16" t="inlineStr">
        <is>
          <t>NY-KW-2508-017</t>
        </is>
      </c>
      <c r="C89" s="16" t="n">
        <v>8</v>
      </c>
      <c r="D89" s="35" t="n">
        <v>20</v>
      </c>
      <c r="E89" s="35" t="n">
        <v>0.84</v>
      </c>
      <c r="F89" s="16" t="n">
        <v>13.4</v>
      </c>
      <c r="G89" s="16" t="inlineStr">
        <is>
          <t>C</t>
        </is>
      </c>
      <c r="H89" s="16" t="inlineStr">
        <is>
          <t>不建议销售</t>
        </is>
      </c>
      <c r="I89" s="16" t="inlineStr">
        <is>
          <t>偏软</t>
        </is>
      </c>
      <c r="J89" s="16" t="inlineStr">
        <is>
          <t>广州质检组</t>
        </is>
      </c>
    </row>
    <row r="90">
      <c r="A90" s="34" t="n">
        <v>45939</v>
      </c>
      <c r="B90" s="16" t="inlineStr">
        <is>
          <t>NY-KW-2508-018</t>
        </is>
      </c>
      <c r="C90" s="16" t="n">
        <v>0</v>
      </c>
      <c r="D90" s="35" t="n">
        <v>15</v>
      </c>
      <c r="E90" s="35" t="n">
        <v>8.609999999999999</v>
      </c>
      <c r="F90" s="16" t="n">
        <v>9.6</v>
      </c>
      <c r="G90" s="16" t="inlineStr">
        <is>
          <t>A</t>
        </is>
      </c>
      <c r="H90" s="16" t="inlineStr">
        <is>
          <t>可售</t>
        </is>
      </c>
      <c r="I90" s="16" t="inlineStr">
        <is>
          <t>偏硬</t>
        </is>
      </c>
      <c r="J90" s="16" t="inlineStr">
        <is>
          <t>深圳质检组</t>
        </is>
      </c>
    </row>
    <row r="91">
      <c r="A91" s="34" t="n">
        <v>45941</v>
      </c>
      <c r="B91" s="16" t="inlineStr">
        <is>
          <t>NY-KW-2508-018</t>
        </is>
      </c>
      <c r="C91" s="16" t="n">
        <v>2</v>
      </c>
      <c r="D91" s="35" t="n">
        <v>12</v>
      </c>
      <c r="E91" s="35" t="n">
        <v>7.84</v>
      </c>
      <c r="F91" s="16" t="n">
        <v>11</v>
      </c>
      <c r="G91" s="16" t="inlineStr">
        <is>
          <t>A</t>
        </is>
      </c>
      <c r="H91" s="16" t="inlineStr">
        <is>
          <t>可售</t>
        </is>
      </c>
      <c r="I91" s="16" t="inlineStr">
        <is>
          <t>偏硬</t>
        </is>
      </c>
      <c r="J91" s="16" t="inlineStr">
        <is>
          <t>广州质检组</t>
        </is>
      </c>
    </row>
    <row r="92">
      <c r="A92" s="34" t="n">
        <v>45943</v>
      </c>
      <c r="B92" s="16" t="inlineStr">
        <is>
          <t>NY-KW-2508-018</t>
        </is>
      </c>
      <c r="C92" s="16" t="n">
        <v>4</v>
      </c>
      <c r="D92" s="35" t="n">
        <v>12</v>
      </c>
      <c r="E92" s="35" t="n">
        <v>5.4</v>
      </c>
      <c r="F92" s="16" t="n">
        <v>11.8</v>
      </c>
      <c r="G92" s="16" t="inlineStr">
        <is>
          <t>A</t>
        </is>
      </c>
      <c r="H92" s="16" t="inlineStr">
        <is>
          <t>可售</t>
        </is>
      </c>
      <c r="I92" s="16" t="inlineStr">
        <is>
          <t>无</t>
        </is>
      </c>
      <c r="J92" s="16" t="inlineStr">
        <is>
          <t>深圳质检组</t>
        </is>
      </c>
    </row>
    <row r="93">
      <c r="A93" s="34" t="n">
        <v>45945</v>
      </c>
      <c r="B93" s="16" t="inlineStr">
        <is>
          <t>NY-KW-2508-018</t>
        </is>
      </c>
      <c r="C93" s="16" t="n">
        <v>6</v>
      </c>
      <c r="D93" s="35" t="n">
        <v>15</v>
      </c>
      <c r="E93" s="35" t="n">
        <v>5.24</v>
      </c>
      <c r="F93" s="16" t="n">
        <v>13.7</v>
      </c>
      <c r="G93" s="16" t="inlineStr">
        <is>
          <t>B</t>
        </is>
      </c>
      <c r="H93" s="16" t="inlineStr">
        <is>
          <t>可售</t>
        </is>
      </c>
      <c r="I93" s="16" t="inlineStr">
        <is>
          <t>适熟</t>
        </is>
      </c>
      <c r="J93" s="16" t="inlineStr">
        <is>
          <t>南宁质检组</t>
        </is>
      </c>
    </row>
    <row r="94">
      <c r="A94" s="34" t="n">
        <v>45947</v>
      </c>
      <c r="B94" s="16" t="inlineStr">
        <is>
          <t>NY-KW-2508-018</t>
        </is>
      </c>
      <c r="C94" s="16" t="n">
        <v>8</v>
      </c>
      <c r="D94" s="35" t="n">
        <v>15</v>
      </c>
      <c r="E94" s="35" t="n">
        <v>3.69</v>
      </c>
      <c r="F94" s="16" t="n">
        <v>12.4</v>
      </c>
      <c r="G94" s="16" t="inlineStr">
        <is>
          <t>B</t>
        </is>
      </c>
      <c r="H94" s="16" t="inlineStr">
        <is>
          <t>临界</t>
        </is>
      </c>
      <c r="I94" s="16" t="inlineStr">
        <is>
          <t>适熟</t>
        </is>
      </c>
      <c r="J94" s="16" t="inlineStr">
        <is>
          <t>广州质检组</t>
        </is>
      </c>
    </row>
    <row r="95">
      <c r="A95" s="34" t="n">
        <v>45920</v>
      </c>
      <c r="B95" s="16" t="inlineStr">
        <is>
          <t>NY-KW-2508-019</t>
        </is>
      </c>
      <c r="C95" s="16" t="n">
        <v>0</v>
      </c>
      <c r="D95" s="35" t="n">
        <v>12</v>
      </c>
      <c r="E95" s="35" t="n">
        <v>6.56</v>
      </c>
      <c r="F95" s="16" t="n">
        <v>8.800000000000001</v>
      </c>
      <c r="G95" s="16" t="inlineStr">
        <is>
          <t>A</t>
        </is>
      </c>
      <c r="H95" s="16" t="inlineStr">
        <is>
          <t>可售</t>
        </is>
      </c>
      <c r="I95" s="16" t="inlineStr">
        <is>
          <t>偏硬</t>
        </is>
      </c>
      <c r="J95" s="16" t="inlineStr">
        <is>
          <t>广州质检组</t>
        </is>
      </c>
    </row>
    <row r="96">
      <c r="A96" s="34" t="n">
        <v>45922</v>
      </c>
      <c r="B96" s="16" t="inlineStr">
        <is>
          <t>NY-KW-2508-019</t>
        </is>
      </c>
      <c r="C96" s="16" t="n">
        <v>2</v>
      </c>
      <c r="D96" s="35" t="n">
        <v>12</v>
      </c>
      <c r="E96" s="35" t="n">
        <v>5.25</v>
      </c>
      <c r="F96" s="16" t="n">
        <v>10.1</v>
      </c>
      <c r="G96" s="16" t="inlineStr">
        <is>
          <t>A</t>
        </is>
      </c>
      <c r="H96" s="16" t="inlineStr">
        <is>
          <t>可售</t>
        </is>
      </c>
      <c r="I96" s="16" t="inlineStr">
        <is>
          <t>适熟</t>
        </is>
      </c>
      <c r="J96" s="16" t="inlineStr">
        <is>
          <t>南宁质检组</t>
        </is>
      </c>
    </row>
    <row r="97">
      <c r="A97" s="34" t="n">
        <v>45924</v>
      </c>
      <c r="B97" s="16" t="inlineStr">
        <is>
          <t>NY-KW-2508-019</t>
        </is>
      </c>
      <c r="C97" s="16" t="n">
        <v>4</v>
      </c>
      <c r="D97" s="35" t="n">
        <v>12</v>
      </c>
      <c r="E97" s="35" t="n">
        <v>3.5</v>
      </c>
      <c r="F97" s="16" t="n">
        <v>10.1</v>
      </c>
      <c r="G97" s="16" t="inlineStr">
        <is>
          <t>C</t>
        </is>
      </c>
      <c r="H97" s="16" t="inlineStr">
        <is>
          <t>临界</t>
        </is>
      </c>
      <c r="I97" s="16" t="inlineStr">
        <is>
          <t>偏软</t>
        </is>
      </c>
      <c r="J97" s="16" t="inlineStr">
        <is>
          <t>广州质检组</t>
        </is>
      </c>
    </row>
    <row r="98">
      <c r="A98" s="34" t="n">
        <v>45926</v>
      </c>
      <c r="B98" s="16" t="inlineStr">
        <is>
          <t>NY-KW-2508-019</t>
        </is>
      </c>
      <c r="C98" s="16" t="n">
        <v>6</v>
      </c>
      <c r="D98" s="35" t="n">
        <v>20</v>
      </c>
      <c r="E98" s="35" t="n">
        <v>3.42</v>
      </c>
      <c r="F98" s="16" t="n">
        <v>11.4</v>
      </c>
      <c r="G98" s="16" t="inlineStr">
        <is>
          <t>C</t>
        </is>
      </c>
      <c r="H98" s="16" t="inlineStr">
        <is>
          <t>临界</t>
        </is>
      </c>
      <c r="I98" s="16" t="inlineStr">
        <is>
          <t>偏软</t>
        </is>
      </c>
      <c r="J98" s="16" t="inlineStr">
        <is>
          <t>深圳质检组</t>
        </is>
      </c>
    </row>
    <row r="99">
      <c r="A99" s="34" t="n">
        <v>45928</v>
      </c>
      <c r="B99" s="16" t="inlineStr">
        <is>
          <t>NY-KW-2508-019</t>
        </is>
      </c>
      <c r="C99" s="16" t="n">
        <v>8</v>
      </c>
      <c r="D99" s="35" t="n">
        <v>20</v>
      </c>
      <c r="E99" s="35" t="n">
        <v>2.95</v>
      </c>
      <c r="F99" s="16" t="n">
        <v>11.2</v>
      </c>
      <c r="G99" s="16" t="inlineStr">
        <is>
          <t>B</t>
        </is>
      </c>
      <c r="H99" s="16" t="inlineStr">
        <is>
          <t>临界</t>
        </is>
      </c>
      <c r="I99" s="16" t="inlineStr">
        <is>
          <t>适熟</t>
        </is>
      </c>
      <c r="J99" s="16" t="inlineStr">
        <is>
          <t>南宁质检组</t>
        </is>
      </c>
    </row>
    <row r="100">
      <c r="A100" s="34" t="n">
        <v>45918</v>
      </c>
      <c r="B100" s="16" t="inlineStr">
        <is>
          <t>NY-KW-2508-020</t>
        </is>
      </c>
      <c r="C100" s="16" t="n">
        <v>0</v>
      </c>
      <c r="D100" s="35" t="n">
        <v>15</v>
      </c>
      <c r="E100" s="35" t="n">
        <v>6.94</v>
      </c>
      <c r="F100" s="16" t="n">
        <v>9.6</v>
      </c>
      <c r="G100" s="16" t="inlineStr">
        <is>
          <t>A</t>
        </is>
      </c>
      <c r="H100" s="16" t="inlineStr">
        <is>
          <t>可售</t>
        </is>
      </c>
      <c r="I100" s="16" t="inlineStr">
        <is>
          <t>偏硬</t>
        </is>
      </c>
      <c r="J100" s="16" t="inlineStr">
        <is>
          <t>南宁质检组</t>
        </is>
      </c>
    </row>
    <row r="101">
      <c r="A101" s="34" t="n">
        <v>45920</v>
      </c>
      <c r="B101" s="16" t="inlineStr">
        <is>
          <t>NY-KW-2508-020</t>
        </is>
      </c>
      <c r="C101" s="16" t="n">
        <v>2</v>
      </c>
      <c r="D101" s="35" t="n">
        <v>15</v>
      </c>
      <c r="E101" s="35" t="n">
        <v>6.11</v>
      </c>
      <c r="F101" s="16" t="n">
        <v>10.3</v>
      </c>
      <c r="G101" s="16" t="inlineStr">
        <is>
          <t>A</t>
        </is>
      </c>
      <c r="H101" s="16" t="inlineStr">
        <is>
          <t>可售</t>
        </is>
      </c>
      <c r="I101" s="16" t="inlineStr">
        <is>
          <t>偏硬</t>
        </is>
      </c>
      <c r="J101" s="16" t="inlineStr">
        <is>
          <t>南宁质检组</t>
        </is>
      </c>
    </row>
    <row r="102">
      <c r="A102" s="34" t="n">
        <v>45922</v>
      </c>
      <c r="B102" s="16" t="inlineStr">
        <is>
          <t>NY-KW-2508-020</t>
        </is>
      </c>
      <c r="C102" s="16" t="n">
        <v>4</v>
      </c>
      <c r="D102" s="35" t="n">
        <v>15</v>
      </c>
      <c r="E102" s="35" t="n">
        <v>4.22</v>
      </c>
      <c r="F102" s="16" t="n">
        <v>11.8</v>
      </c>
      <c r="G102" s="16" t="inlineStr">
        <is>
          <t>C</t>
        </is>
      </c>
      <c r="H102" s="16" t="inlineStr">
        <is>
          <t>临界</t>
        </is>
      </c>
      <c r="I102" s="16" t="inlineStr">
        <is>
          <t>偏软</t>
        </is>
      </c>
      <c r="J102" s="16" t="inlineStr">
        <is>
          <t>广州质检组</t>
        </is>
      </c>
    </row>
    <row r="103">
      <c r="A103" s="34" t="n">
        <v>45924</v>
      </c>
      <c r="B103" s="16" t="inlineStr">
        <is>
          <t>NY-KW-2508-020</t>
        </is>
      </c>
      <c r="C103" s="16" t="n">
        <v>6</v>
      </c>
      <c r="D103" s="35" t="n">
        <v>12</v>
      </c>
      <c r="E103" s="35" t="n">
        <v>3.63</v>
      </c>
      <c r="F103" s="16" t="n">
        <v>11.5</v>
      </c>
      <c r="G103" s="16" t="inlineStr">
        <is>
          <t>C</t>
        </is>
      </c>
      <c r="H103" s="16" t="inlineStr">
        <is>
          <t>临界</t>
        </is>
      </c>
      <c r="I103" s="16" t="inlineStr">
        <is>
          <t>偏软</t>
        </is>
      </c>
      <c r="J103" s="16" t="inlineStr">
        <is>
          <t>广州质检组</t>
        </is>
      </c>
    </row>
    <row r="104">
      <c r="A104" s="34" t="n">
        <v>45926</v>
      </c>
      <c r="B104" s="16" t="inlineStr">
        <is>
          <t>NY-KW-2508-020</t>
        </is>
      </c>
      <c r="C104" s="16" t="n">
        <v>8</v>
      </c>
      <c r="D104" s="35" t="n">
        <v>12</v>
      </c>
      <c r="E104" s="35" t="n">
        <v>2.29</v>
      </c>
      <c r="F104" s="16" t="n">
        <v>14.9</v>
      </c>
      <c r="G104" s="16" t="inlineStr">
        <is>
          <t>D</t>
        </is>
      </c>
      <c r="H104" s="16" t="inlineStr">
        <is>
          <t>不建议销售</t>
        </is>
      </c>
      <c r="I104" s="16" t="inlineStr">
        <is>
          <t>偏软</t>
        </is>
      </c>
      <c r="J104" s="16" t="inlineStr">
        <is>
          <t>南宁质检组</t>
        </is>
      </c>
    </row>
    <row r="105">
      <c r="A105" s="34" t="n">
        <v>45897</v>
      </c>
      <c r="B105" s="16" t="inlineStr">
        <is>
          <t>NY-KW-2508-021</t>
        </is>
      </c>
      <c r="C105" s="16" t="n">
        <v>0</v>
      </c>
      <c r="D105" s="35" t="n">
        <v>12</v>
      </c>
      <c r="E105" s="35" t="n">
        <v>8.66</v>
      </c>
      <c r="F105" s="16" t="n">
        <v>7.8</v>
      </c>
      <c r="G105" s="16" t="inlineStr">
        <is>
          <t>B</t>
        </is>
      </c>
      <c r="H105" s="16" t="inlineStr">
        <is>
          <t>可售</t>
        </is>
      </c>
      <c r="I105" s="16" t="inlineStr">
        <is>
          <t>无</t>
        </is>
      </c>
      <c r="J105" s="16" t="inlineStr">
        <is>
          <t>广州质检组</t>
        </is>
      </c>
    </row>
    <row r="106">
      <c r="A106" s="34" t="n">
        <v>45899</v>
      </c>
      <c r="B106" s="16" t="inlineStr">
        <is>
          <t>NY-KW-2508-021</t>
        </is>
      </c>
      <c r="C106" s="16" t="n">
        <v>2</v>
      </c>
      <c r="D106" s="35" t="n">
        <v>12</v>
      </c>
      <c r="E106" s="35" t="n">
        <v>7.39</v>
      </c>
      <c r="F106" s="16" t="n">
        <v>8.6</v>
      </c>
      <c r="G106" s="16" t="inlineStr">
        <is>
          <t>A</t>
        </is>
      </c>
      <c r="H106" s="16" t="inlineStr">
        <is>
          <t>可售</t>
        </is>
      </c>
      <c r="I106" s="16" t="inlineStr">
        <is>
          <t>无</t>
        </is>
      </c>
      <c r="J106" s="16" t="inlineStr">
        <is>
          <t>南宁质检组</t>
        </is>
      </c>
    </row>
    <row r="107">
      <c r="A107" s="34" t="n">
        <v>45901</v>
      </c>
      <c r="B107" s="16" t="inlineStr">
        <is>
          <t>NY-KW-2508-021</t>
        </is>
      </c>
      <c r="C107" s="16" t="n">
        <v>4</v>
      </c>
      <c r="D107" s="35" t="n">
        <v>12</v>
      </c>
      <c r="E107" s="35" t="n">
        <v>7.09</v>
      </c>
      <c r="F107" s="16" t="n">
        <v>9.5</v>
      </c>
      <c r="G107" s="16" t="inlineStr">
        <is>
          <t>A</t>
        </is>
      </c>
      <c r="H107" s="16" t="inlineStr">
        <is>
          <t>可售</t>
        </is>
      </c>
      <c r="I107" s="16" t="inlineStr">
        <is>
          <t>偏硬</t>
        </is>
      </c>
      <c r="J107" s="16" t="inlineStr">
        <is>
          <t>广州质检组</t>
        </is>
      </c>
    </row>
    <row r="108">
      <c r="A108" s="34" t="n">
        <v>45903</v>
      </c>
      <c r="B108" s="16" t="inlineStr">
        <is>
          <t>NY-KW-2508-021</t>
        </is>
      </c>
      <c r="C108" s="16" t="n">
        <v>6</v>
      </c>
      <c r="D108" s="35" t="n">
        <v>15</v>
      </c>
      <c r="E108" s="35" t="n">
        <v>6.36</v>
      </c>
      <c r="F108" s="16" t="n">
        <v>11.1</v>
      </c>
      <c r="G108" s="16" t="inlineStr">
        <is>
          <t>A</t>
        </is>
      </c>
      <c r="H108" s="16" t="inlineStr">
        <is>
          <t>可售</t>
        </is>
      </c>
      <c r="I108" s="16" t="inlineStr">
        <is>
          <t>无</t>
        </is>
      </c>
      <c r="J108" s="16" t="inlineStr">
        <is>
          <t>深圳质检组</t>
        </is>
      </c>
    </row>
    <row r="109">
      <c r="A109" s="34" t="n">
        <v>45905</v>
      </c>
      <c r="B109" s="16" t="inlineStr">
        <is>
          <t>NY-KW-2508-021</t>
        </is>
      </c>
      <c r="C109" s="16" t="n">
        <v>8</v>
      </c>
      <c r="D109" s="35" t="n">
        <v>20</v>
      </c>
      <c r="E109" s="35" t="n">
        <v>5.45</v>
      </c>
      <c r="F109" s="16" t="n">
        <v>11.6</v>
      </c>
      <c r="G109" s="16" t="inlineStr">
        <is>
          <t>B</t>
        </is>
      </c>
      <c r="H109" s="16" t="inlineStr">
        <is>
          <t>可售</t>
        </is>
      </c>
      <c r="I109" s="16" t="inlineStr">
        <is>
          <t>无</t>
        </is>
      </c>
      <c r="J109" s="16" t="inlineStr">
        <is>
          <t>深圳质检组</t>
        </is>
      </c>
    </row>
    <row r="110">
      <c r="A110" s="34" t="n">
        <v>45908</v>
      </c>
      <c r="B110" s="16" t="inlineStr">
        <is>
          <t>NY-KW-2508-022</t>
        </is>
      </c>
      <c r="C110" s="16" t="n">
        <v>0</v>
      </c>
      <c r="D110" s="35" t="n">
        <v>12</v>
      </c>
      <c r="E110" s="35" t="n">
        <v>7.46</v>
      </c>
      <c r="F110" s="16" t="n">
        <v>7.2</v>
      </c>
      <c r="G110" s="16" t="inlineStr">
        <is>
          <t>B</t>
        </is>
      </c>
      <c r="H110" s="16" t="inlineStr">
        <is>
          <t>可售</t>
        </is>
      </c>
      <c r="I110" s="16" t="inlineStr">
        <is>
          <t>适熟</t>
        </is>
      </c>
      <c r="J110" s="16" t="inlineStr">
        <is>
          <t>深圳质检组</t>
        </is>
      </c>
    </row>
    <row r="111">
      <c r="A111" s="34" t="n">
        <v>45910</v>
      </c>
      <c r="B111" s="16" t="inlineStr">
        <is>
          <t>NY-KW-2508-022</t>
        </is>
      </c>
      <c r="C111" s="16" t="n">
        <v>2</v>
      </c>
      <c r="D111" s="35" t="n">
        <v>20</v>
      </c>
      <c r="E111" s="35" t="n">
        <v>6.33</v>
      </c>
      <c r="F111" s="16" t="n">
        <v>8.300000000000001</v>
      </c>
      <c r="G111" s="16" t="inlineStr">
        <is>
          <t>A</t>
        </is>
      </c>
      <c r="H111" s="16" t="inlineStr">
        <is>
          <t>可售</t>
        </is>
      </c>
      <c r="I111" s="16" t="inlineStr">
        <is>
          <t>偏硬</t>
        </is>
      </c>
      <c r="J111" s="16" t="inlineStr">
        <is>
          <t>南宁质检组</t>
        </is>
      </c>
    </row>
    <row r="112">
      <c r="A112" s="34" t="n">
        <v>45912</v>
      </c>
      <c r="B112" s="16" t="inlineStr">
        <is>
          <t>NY-KW-2508-022</t>
        </is>
      </c>
      <c r="C112" s="16" t="n">
        <v>4</v>
      </c>
      <c r="D112" s="35" t="n">
        <v>12</v>
      </c>
      <c r="E112" s="35" t="n">
        <v>5.3</v>
      </c>
      <c r="F112" s="16" t="n">
        <v>8.4</v>
      </c>
      <c r="G112" s="16" t="inlineStr">
        <is>
          <t>B</t>
        </is>
      </c>
      <c r="H112" s="16" t="inlineStr">
        <is>
          <t>可售</t>
        </is>
      </c>
      <c r="I112" s="16" t="inlineStr">
        <is>
          <t>偏硬</t>
        </is>
      </c>
      <c r="J112" s="16" t="inlineStr">
        <is>
          <t>南宁质检组</t>
        </is>
      </c>
    </row>
    <row r="113">
      <c r="A113" s="34" t="n">
        <v>45914</v>
      </c>
      <c r="B113" s="16" t="inlineStr">
        <is>
          <t>NY-KW-2508-022</t>
        </is>
      </c>
      <c r="C113" s="16" t="n">
        <v>6</v>
      </c>
      <c r="D113" s="35" t="n">
        <v>15</v>
      </c>
      <c r="E113" s="35" t="n">
        <v>4.33</v>
      </c>
      <c r="F113" s="16" t="n">
        <v>9.4</v>
      </c>
      <c r="G113" s="16" t="inlineStr">
        <is>
          <t>C</t>
        </is>
      </c>
      <c r="H113" s="16" t="inlineStr">
        <is>
          <t>临界</t>
        </is>
      </c>
      <c r="I113" s="16" t="inlineStr">
        <is>
          <t>适熟</t>
        </is>
      </c>
      <c r="J113" s="16" t="inlineStr">
        <is>
          <t>南宁质检组</t>
        </is>
      </c>
    </row>
    <row r="114">
      <c r="A114" s="34" t="n">
        <v>45916</v>
      </c>
      <c r="B114" s="16" t="inlineStr">
        <is>
          <t>NY-KW-2508-022</t>
        </is>
      </c>
      <c r="C114" s="16" t="n">
        <v>8</v>
      </c>
      <c r="D114" s="35" t="n">
        <v>12</v>
      </c>
      <c r="E114" s="35" t="n">
        <v>2.56</v>
      </c>
      <c r="F114" s="16" t="n">
        <v>12.2</v>
      </c>
      <c r="G114" s="16" t="inlineStr">
        <is>
          <t>B</t>
        </is>
      </c>
      <c r="H114" s="16" t="inlineStr">
        <is>
          <t>临界</t>
        </is>
      </c>
      <c r="I114" s="16" t="inlineStr">
        <is>
          <t>适熟</t>
        </is>
      </c>
      <c r="J114" s="16" t="inlineStr">
        <is>
          <t>深圳质检组</t>
        </is>
      </c>
    </row>
    <row r="115">
      <c r="A115" s="34" t="n">
        <v>45911</v>
      </c>
      <c r="B115" s="16" t="inlineStr">
        <is>
          <t>NY-KW-2508-023</t>
        </is>
      </c>
      <c r="C115" s="16" t="n">
        <v>0</v>
      </c>
      <c r="D115" s="35" t="n">
        <v>12</v>
      </c>
      <c r="E115" s="35" t="n">
        <v>6.9</v>
      </c>
      <c r="F115" s="16" t="n">
        <v>10.1</v>
      </c>
      <c r="G115" s="16" t="inlineStr">
        <is>
          <t>A</t>
        </is>
      </c>
      <c r="H115" s="16" t="inlineStr">
        <is>
          <t>可售</t>
        </is>
      </c>
      <c r="I115" s="16" t="inlineStr">
        <is>
          <t>适熟</t>
        </is>
      </c>
      <c r="J115" s="16" t="inlineStr">
        <is>
          <t>深圳质检组</t>
        </is>
      </c>
    </row>
    <row r="116">
      <c r="A116" s="34" t="n">
        <v>45913</v>
      </c>
      <c r="B116" s="16" t="inlineStr">
        <is>
          <t>NY-KW-2508-023</t>
        </is>
      </c>
      <c r="C116" s="16" t="n">
        <v>2</v>
      </c>
      <c r="D116" s="35" t="n">
        <v>12</v>
      </c>
      <c r="E116" s="35" t="n">
        <v>5.84</v>
      </c>
      <c r="F116" s="16" t="n">
        <v>10.9</v>
      </c>
      <c r="G116" s="16" t="inlineStr">
        <is>
          <t>B</t>
        </is>
      </c>
      <c r="H116" s="16" t="inlineStr">
        <is>
          <t>可售</t>
        </is>
      </c>
      <c r="I116" s="16" t="inlineStr">
        <is>
          <t>无</t>
        </is>
      </c>
      <c r="J116" s="16" t="inlineStr">
        <is>
          <t>广州质检组</t>
        </is>
      </c>
    </row>
    <row r="117">
      <c r="A117" s="34" t="n">
        <v>45915</v>
      </c>
      <c r="B117" s="16" t="inlineStr">
        <is>
          <t>NY-KW-2508-023</t>
        </is>
      </c>
      <c r="C117" s="16" t="n">
        <v>4</v>
      </c>
      <c r="D117" s="35" t="n">
        <v>20</v>
      </c>
      <c r="E117" s="35" t="n">
        <v>4.6</v>
      </c>
      <c r="F117" s="16" t="n">
        <v>11.4</v>
      </c>
      <c r="G117" s="16" t="inlineStr">
        <is>
          <t>A</t>
        </is>
      </c>
      <c r="H117" s="16" t="inlineStr">
        <is>
          <t>可售</t>
        </is>
      </c>
      <c r="I117" s="16" t="inlineStr">
        <is>
          <t>适熟</t>
        </is>
      </c>
      <c r="J117" s="16" t="inlineStr">
        <is>
          <t>广州质检组</t>
        </is>
      </c>
    </row>
    <row r="118">
      <c r="A118" s="34" t="n">
        <v>45917</v>
      </c>
      <c r="B118" s="16" t="inlineStr">
        <is>
          <t>NY-KW-2508-023</t>
        </is>
      </c>
      <c r="C118" s="16" t="n">
        <v>6</v>
      </c>
      <c r="D118" s="35" t="n">
        <v>20</v>
      </c>
      <c r="E118" s="35" t="n">
        <v>3.91</v>
      </c>
      <c r="F118" s="16" t="n">
        <v>13.7</v>
      </c>
      <c r="G118" s="16" t="inlineStr">
        <is>
          <t>C</t>
        </is>
      </c>
      <c r="H118" s="16" t="inlineStr">
        <is>
          <t>临界</t>
        </is>
      </c>
      <c r="I118" s="16" t="inlineStr">
        <is>
          <t>偏软</t>
        </is>
      </c>
      <c r="J118" s="16" t="inlineStr">
        <is>
          <t>南宁质检组</t>
        </is>
      </c>
    </row>
    <row r="119">
      <c r="A119" s="34" t="n">
        <v>45919</v>
      </c>
      <c r="B119" s="16" t="inlineStr">
        <is>
          <t>NY-KW-2508-023</t>
        </is>
      </c>
      <c r="C119" s="16" t="n">
        <v>8</v>
      </c>
      <c r="D119" s="35" t="n">
        <v>15</v>
      </c>
      <c r="E119" s="35" t="n">
        <v>3.45</v>
      </c>
      <c r="F119" s="16" t="n">
        <v>13.3</v>
      </c>
      <c r="G119" s="16" t="inlineStr">
        <is>
          <t>C</t>
        </is>
      </c>
      <c r="H119" s="16" t="inlineStr">
        <is>
          <t>临界</t>
        </is>
      </c>
      <c r="I119" s="16" t="inlineStr">
        <is>
          <t>偏软</t>
        </is>
      </c>
      <c r="J119" s="16" t="inlineStr">
        <is>
          <t>广州质检组</t>
        </is>
      </c>
    </row>
    <row r="120">
      <c r="A120" s="34" t="n">
        <v>45921</v>
      </c>
      <c r="B120" s="16" t="inlineStr">
        <is>
          <t>NY-KW-2508-024</t>
        </is>
      </c>
      <c r="C120" s="16" t="n">
        <v>0</v>
      </c>
      <c r="D120" s="35" t="n">
        <v>20</v>
      </c>
      <c r="E120" s="35" t="n">
        <v>8.369999999999999</v>
      </c>
      <c r="F120" s="16" t="n">
        <v>8.800000000000001</v>
      </c>
      <c r="G120" s="16" t="inlineStr">
        <is>
          <t>A</t>
        </is>
      </c>
      <c r="H120" s="16" t="inlineStr">
        <is>
          <t>可售</t>
        </is>
      </c>
      <c r="I120" s="16" t="inlineStr">
        <is>
          <t>偏硬</t>
        </is>
      </c>
      <c r="J120" s="16" t="inlineStr">
        <is>
          <t>深圳质检组</t>
        </is>
      </c>
    </row>
    <row r="121">
      <c r="A121" s="34" t="n">
        <v>45923</v>
      </c>
      <c r="B121" s="16" t="inlineStr">
        <is>
          <t>NY-KW-2508-024</t>
        </is>
      </c>
      <c r="C121" s="16" t="n">
        <v>2</v>
      </c>
      <c r="D121" s="35" t="n">
        <v>12</v>
      </c>
      <c r="E121" s="35" t="n">
        <v>7.1</v>
      </c>
      <c r="F121" s="16" t="n">
        <v>10.1</v>
      </c>
      <c r="G121" s="16" t="inlineStr">
        <is>
          <t>B</t>
        </is>
      </c>
      <c r="H121" s="16" t="inlineStr">
        <is>
          <t>可售</t>
        </is>
      </c>
      <c r="I121" s="16" t="inlineStr">
        <is>
          <t>偏硬</t>
        </is>
      </c>
      <c r="J121" s="16" t="inlineStr">
        <is>
          <t>广州质检组</t>
        </is>
      </c>
    </row>
    <row r="122">
      <c r="A122" s="34" t="n">
        <v>45925</v>
      </c>
      <c r="B122" s="16" t="inlineStr">
        <is>
          <t>NY-KW-2508-024</t>
        </is>
      </c>
      <c r="C122" s="16" t="n">
        <v>4</v>
      </c>
      <c r="D122" s="35" t="n">
        <v>12</v>
      </c>
      <c r="E122" s="35" t="n">
        <v>5.44</v>
      </c>
      <c r="F122" s="16" t="n">
        <v>10.6</v>
      </c>
      <c r="G122" s="16" t="inlineStr">
        <is>
          <t>A</t>
        </is>
      </c>
      <c r="H122" s="16" t="inlineStr">
        <is>
          <t>可售</t>
        </is>
      </c>
      <c r="I122" s="16" t="inlineStr">
        <is>
          <t>偏硬</t>
        </is>
      </c>
      <c r="J122" s="16" t="inlineStr">
        <is>
          <t>南宁质检组</t>
        </is>
      </c>
    </row>
    <row r="123">
      <c r="A123" s="34" t="n">
        <v>45927</v>
      </c>
      <c r="B123" s="16" t="inlineStr">
        <is>
          <t>NY-KW-2508-024</t>
        </is>
      </c>
      <c r="C123" s="16" t="n">
        <v>6</v>
      </c>
      <c r="D123" s="35" t="n">
        <v>20</v>
      </c>
      <c r="E123" s="35" t="n">
        <v>4.88</v>
      </c>
      <c r="F123" s="16" t="n">
        <v>12.9</v>
      </c>
      <c r="G123" s="16" t="inlineStr">
        <is>
          <t>B</t>
        </is>
      </c>
      <c r="H123" s="16" t="inlineStr">
        <is>
          <t>可售</t>
        </is>
      </c>
      <c r="I123" s="16" t="inlineStr">
        <is>
          <t>偏硬</t>
        </is>
      </c>
      <c r="J123" s="16" t="inlineStr">
        <is>
          <t>广州质检组</t>
        </is>
      </c>
    </row>
    <row r="124">
      <c r="A124" s="34" t="n">
        <v>45929</v>
      </c>
      <c r="B124" s="16" t="inlineStr">
        <is>
          <t>NY-KW-2508-024</t>
        </is>
      </c>
      <c r="C124" s="16" t="n">
        <v>8</v>
      </c>
      <c r="D124" s="35" t="n">
        <v>15</v>
      </c>
      <c r="E124" s="35" t="n">
        <v>2.1</v>
      </c>
      <c r="F124" s="16" t="n">
        <v>13.7</v>
      </c>
      <c r="G124" s="16" t="inlineStr">
        <is>
          <t>C</t>
        </is>
      </c>
      <c r="H124" s="16" t="inlineStr">
        <is>
          <t>不建议销售</t>
        </is>
      </c>
      <c r="I124" s="16" t="inlineStr">
        <is>
          <t>偏软</t>
        </is>
      </c>
      <c r="J124" s="16" t="inlineStr">
        <is>
          <t>广州质检组</t>
        </is>
      </c>
    </row>
    <row r="125">
      <c r="A125" s="34" t="n">
        <v>45946</v>
      </c>
      <c r="B125" s="16" t="inlineStr">
        <is>
          <t>NY-KW-2508-025</t>
        </is>
      </c>
      <c r="C125" s="16" t="n">
        <v>0</v>
      </c>
      <c r="D125" s="35" t="n">
        <v>12</v>
      </c>
      <c r="E125" s="35" t="n">
        <v>8.25</v>
      </c>
      <c r="F125" s="16" t="n">
        <v>9.5</v>
      </c>
      <c r="G125" s="16" t="inlineStr">
        <is>
          <t>A</t>
        </is>
      </c>
      <c r="H125" s="16" t="inlineStr">
        <is>
          <t>可售</t>
        </is>
      </c>
      <c r="I125" s="16" t="inlineStr">
        <is>
          <t>偏硬</t>
        </is>
      </c>
      <c r="J125" s="16" t="inlineStr">
        <is>
          <t>深圳质检组</t>
        </is>
      </c>
    </row>
    <row r="126">
      <c r="A126" s="34" t="n">
        <v>45948</v>
      </c>
      <c r="B126" s="16" t="inlineStr">
        <is>
          <t>NY-KW-2508-025</t>
        </is>
      </c>
      <c r="C126" s="16" t="n">
        <v>2</v>
      </c>
      <c r="D126" s="35" t="n">
        <v>20</v>
      </c>
      <c r="E126" s="35" t="n">
        <v>6.91</v>
      </c>
      <c r="F126" s="16" t="n">
        <v>10.1</v>
      </c>
      <c r="G126" s="16" t="inlineStr">
        <is>
          <t>A</t>
        </is>
      </c>
      <c r="H126" s="16" t="inlineStr">
        <is>
          <t>可售</t>
        </is>
      </c>
      <c r="I126" s="16" t="inlineStr">
        <is>
          <t>无</t>
        </is>
      </c>
      <c r="J126" s="16" t="inlineStr">
        <is>
          <t>广州质检组</t>
        </is>
      </c>
    </row>
    <row r="127">
      <c r="A127" s="34" t="n">
        <v>45950</v>
      </c>
      <c r="B127" s="16" t="inlineStr">
        <is>
          <t>NY-KW-2508-025</t>
        </is>
      </c>
      <c r="C127" s="16" t="n">
        <v>4</v>
      </c>
      <c r="D127" s="35" t="n">
        <v>12</v>
      </c>
      <c r="E127" s="35" t="n">
        <v>5.47</v>
      </c>
      <c r="F127" s="16" t="n">
        <v>11.3</v>
      </c>
      <c r="G127" s="16" t="inlineStr">
        <is>
          <t>A</t>
        </is>
      </c>
      <c r="H127" s="16" t="inlineStr">
        <is>
          <t>可售</t>
        </is>
      </c>
      <c r="I127" s="16" t="inlineStr">
        <is>
          <t>无</t>
        </is>
      </c>
      <c r="J127" s="16" t="inlineStr">
        <is>
          <t>广州质检组</t>
        </is>
      </c>
    </row>
    <row r="128">
      <c r="A128" s="34" t="n">
        <v>45952</v>
      </c>
      <c r="B128" s="16" t="inlineStr">
        <is>
          <t>NY-KW-2508-025</t>
        </is>
      </c>
      <c r="C128" s="16" t="n">
        <v>6</v>
      </c>
      <c r="D128" s="35" t="n">
        <v>12</v>
      </c>
      <c r="E128" s="35" t="n">
        <v>5.71</v>
      </c>
      <c r="F128" s="16" t="n">
        <v>12.5</v>
      </c>
      <c r="G128" s="16" t="inlineStr">
        <is>
          <t>A</t>
        </is>
      </c>
      <c r="H128" s="16" t="inlineStr">
        <is>
          <t>可售</t>
        </is>
      </c>
      <c r="I128" s="16" t="inlineStr">
        <is>
          <t>偏硬</t>
        </is>
      </c>
      <c r="J128" s="16" t="inlineStr">
        <is>
          <t>南宁质检组</t>
        </is>
      </c>
    </row>
    <row r="129">
      <c r="A129" s="34" t="n">
        <v>45954</v>
      </c>
      <c r="B129" s="16" t="inlineStr">
        <is>
          <t>NY-KW-2508-025</t>
        </is>
      </c>
      <c r="C129" s="16" t="n">
        <v>8</v>
      </c>
      <c r="D129" s="35" t="n">
        <v>20</v>
      </c>
      <c r="E129" s="35" t="n">
        <v>2</v>
      </c>
      <c r="F129" s="16" t="n">
        <v>13.6</v>
      </c>
      <c r="G129" s="16" t="inlineStr">
        <is>
          <t>C</t>
        </is>
      </c>
      <c r="H129" s="16" t="inlineStr">
        <is>
          <t>不建议销售</t>
        </is>
      </c>
      <c r="I129" s="16" t="inlineStr">
        <is>
          <t>偏软</t>
        </is>
      </c>
      <c r="J129" s="16" t="inlineStr">
        <is>
          <t>广州质检组</t>
        </is>
      </c>
    </row>
    <row r="130">
      <c r="A130" s="34" t="n">
        <v>45904</v>
      </c>
      <c r="B130" s="16" t="inlineStr">
        <is>
          <t>NY-KW-2508-026</t>
        </is>
      </c>
      <c r="C130" s="16" t="n">
        <v>0</v>
      </c>
      <c r="D130" s="35" t="n">
        <v>15</v>
      </c>
      <c r="E130" s="35" t="n">
        <v>8.640000000000001</v>
      </c>
      <c r="F130" s="16" t="n">
        <v>9.1</v>
      </c>
      <c r="G130" s="16" t="inlineStr">
        <is>
          <t>B</t>
        </is>
      </c>
      <c r="H130" s="16" t="inlineStr">
        <is>
          <t>可售</t>
        </is>
      </c>
      <c r="I130" s="16" t="inlineStr">
        <is>
          <t>适熟</t>
        </is>
      </c>
      <c r="J130" s="16" t="inlineStr">
        <is>
          <t>广州质检组</t>
        </is>
      </c>
    </row>
    <row r="131">
      <c r="A131" s="34" t="n">
        <v>45906</v>
      </c>
      <c r="B131" s="16" t="inlineStr">
        <is>
          <t>NY-KW-2508-026</t>
        </is>
      </c>
      <c r="C131" s="16" t="n">
        <v>2</v>
      </c>
      <c r="D131" s="35" t="n">
        <v>15</v>
      </c>
      <c r="E131" s="35" t="n">
        <v>7.82</v>
      </c>
      <c r="F131" s="16" t="n">
        <v>10.4</v>
      </c>
      <c r="G131" s="16" t="inlineStr">
        <is>
          <t>A</t>
        </is>
      </c>
      <c r="H131" s="16" t="inlineStr">
        <is>
          <t>可售</t>
        </is>
      </c>
      <c r="I131" s="16" t="inlineStr">
        <is>
          <t>无</t>
        </is>
      </c>
      <c r="J131" s="16" t="inlineStr">
        <is>
          <t>南宁质检组</t>
        </is>
      </c>
    </row>
    <row r="132">
      <c r="A132" s="34" t="n">
        <v>45908</v>
      </c>
      <c r="B132" s="16" t="inlineStr">
        <is>
          <t>NY-KW-2508-026</t>
        </is>
      </c>
      <c r="C132" s="16" t="n">
        <v>4</v>
      </c>
      <c r="D132" s="35" t="n">
        <v>12</v>
      </c>
      <c r="E132" s="35" t="n">
        <v>6.21</v>
      </c>
      <c r="F132" s="16" t="n">
        <v>10.3</v>
      </c>
      <c r="G132" s="16" t="inlineStr">
        <is>
          <t>B</t>
        </is>
      </c>
      <c r="H132" s="16" t="inlineStr">
        <is>
          <t>可售</t>
        </is>
      </c>
      <c r="I132" s="16" t="inlineStr">
        <is>
          <t>无</t>
        </is>
      </c>
      <c r="J132" s="16" t="inlineStr">
        <is>
          <t>广州质检组</t>
        </is>
      </c>
    </row>
    <row r="133">
      <c r="A133" s="34" t="n">
        <v>45910</v>
      </c>
      <c r="B133" s="16" t="inlineStr">
        <is>
          <t>NY-KW-2508-026</t>
        </is>
      </c>
      <c r="C133" s="16" t="n">
        <v>6</v>
      </c>
      <c r="D133" s="35" t="n">
        <v>20</v>
      </c>
      <c r="E133" s="35" t="n">
        <v>3.99</v>
      </c>
      <c r="F133" s="16" t="n">
        <v>12.2</v>
      </c>
      <c r="G133" s="16" t="inlineStr">
        <is>
          <t>C</t>
        </is>
      </c>
      <c r="H133" s="16" t="inlineStr">
        <is>
          <t>临界</t>
        </is>
      </c>
      <c r="I133" s="16" t="inlineStr">
        <is>
          <t>适熟</t>
        </is>
      </c>
      <c r="J133" s="16" t="inlineStr">
        <is>
          <t>广州质检组</t>
        </is>
      </c>
    </row>
    <row r="134">
      <c r="A134" s="34" t="n">
        <v>45912</v>
      </c>
      <c r="B134" s="16" t="inlineStr">
        <is>
          <t>NY-KW-2508-026</t>
        </is>
      </c>
      <c r="C134" s="16" t="n">
        <v>8</v>
      </c>
      <c r="D134" s="35" t="n">
        <v>12</v>
      </c>
      <c r="E134" s="35" t="n">
        <v>2.5</v>
      </c>
      <c r="F134" s="16" t="n">
        <v>13.5</v>
      </c>
      <c r="G134" s="16" t="inlineStr">
        <is>
          <t>C</t>
        </is>
      </c>
      <c r="H134" s="16" t="inlineStr">
        <is>
          <t>不建议销售</t>
        </is>
      </c>
      <c r="I134" s="16" t="inlineStr">
        <is>
          <t>偏软</t>
        </is>
      </c>
      <c r="J134" s="16" t="inlineStr">
        <is>
          <t>深圳质检组</t>
        </is>
      </c>
    </row>
    <row r="135">
      <c r="A135" s="34" t="n">
        <v>45906</v>
      </c>
      <c r="B135" s="16" t="inlineStr">
        <is>
          <t>NY-KW-2508-027</t>
        </is>
      </c>
      <c r="C135" s="16" t="n">
        <v>0</v>
      </c>
      <c r="D135" s="35" t="n">
        <v>20</v>
      </c>
      <c r="E135" s="35" t="n">
        <v>6.48</v>
      </c>
      <c r="F135" s="16" t="n">
        <v>9.9</v>
      </c>
      <c r="G135" s="16" t="inlineStr">
        <is>
          <t>A</t>
        </is>
      </c>
      <c r="H135" s="16" t="inlineStr">
        <is>
          <t>可售</t>
        </is>
      </c>
      <c r="I135" s="16" t="inlineStr">
        <is>
          <t>偏硬</t>
        </is>
      </c>
      <c r="J135" s="16" t="inlineStr">
        <is>
          <t>广州质检组</t>
        </is>
      </c>
    </row>
    <row r="136">
      <c r="A136" s="34" t="n">
        <v>45908</v>
      </c>
      <c r="B136" s="16" t="inlineStr">
        <is>
          <t>NY-KW-2508-027</t>
        </is>
      </c>
      <c r="C136" s="16" t="n">
        <v>2</v>
      </c>
      <c r="D136" s="35" t="n">
        <v>12</v>
      </c>
      <c r="E136" s="35" t="n">
        <v>5.34</v>
      </c>
      <c r="F136" s="16" t="n">
        <v>10.7</v>
      </c>
      <c r="G136" s="16" t="inlineStr">
        <is>
          <t>B</t>
        </is>
      </c>
      <c r="H136" s="16" t="inlineStr">
        <is>
          <t>可售</t>
        </is>
      </c>
      <c r="I136" s="16" t="inlineStr">
        <is>
          <t>无</t>
        </is>
      </c>
      <c r="J136" s="16" t="inlineStr">
        <is>
          <t>深圳质检组</t>
        </is>
      </c>
    </row>
    <row r="137">
      <c r="A137" s="34" t="n">
        <v>45910</v>
      </c>
      <c r="B137" s="16" t="inlineStr">
        <is>
          <t>NY-KW-2508-027</t>
        </is>
      </c>
      <c r="C137" s="16" t="n">
        <v>4</v>
      </c>
      <c r="D137" s="35" t="n">
        <v>15</v>
      </c>
      <c r="E137" s="35" t="n">
        <v>4.7</v>
      </c>
      <c r="F137" s="16" t="n">
        <v>11.8</v>
      </c>
      <c r="G137" s="16" t="inlineStr">
        <is>
          <t>B</t>
        </is>
      </c>
      <c r="H137" s="16" t="inlineStr">
        <is>
          <t>可售</t>
        </is>
      </c>
      <c r="I137" s="16" t="inlineStr">
        <is>
          <t>无</t>
        </is>
      </c>
      <c r="J137" s="16" t="inlineStr">
        <is>
          <t>南宁质检组</t>
        </is>
      </c>
    </row>
    <row r="138">
      <c r="A138" s="34" t="n">
        <v>45912</v>
      </c>
      <c r="B138" s="16" t="inlineStr">
        <is>
          <t>NY-KW-2508-027</t>
        </is>
      </c>
      <c r="C138" s="16" t="n">
        <v>6</v>
      </c>
      <c r="D138" s="35" t="n">
        <v>15</v>
      </c>
      <c r="E138" s="35" t="n">
        <v>2.14</v>
      </c>
      <c r="F138" s="16" t="n">
        <v>13.6</v>
      </c>
      <c r="G138" s="16" t="inlineStr">
        <is>
          <t>C</t>
        </is>
      </c>
      <c r="H138" s="16" t="inlineStr">
        <is>
          <t>不建议销售</t>
        </is>
      </c>
      <c r="I138" s="16" t="inlineStr">
        <is>
          <t>偏软</t>
        </is>
      </c>
      <c r="J138" s="16" t="inlineStr">
        <is>
          <t>深圳质检组</t>
        </is>
      </c>
    </row>
    <row r="139">
      <c r="A139" s="34" t="n">
        <v>45914</v>
      </c>
      <c r="B139" s="16" t="inlineStr">
        <is>
          <t>NY-KW-2508-027</t>
        </is>
      </c>
      <c r="C139" s="16" t="n">
        <v>8</v>
      </c>
      <c r="D139" s="35" t="n">
        <v>15</v>
      </c>
      <c r="E139" s="35" t="n">
        <v>0.86</v>
      </c>
      <c r="F139" s="16" t="n">
        <v>15</v>
      </c>
      <c r="G139" s="16" t="inlineStr">
        <is>
          <t>D</t>
        </is>
      </c>
      <c r="H139" s="16" t="inlineStr">
        <is>
          <t>不建议销售</t>
        </is>
      </c>
      <c r="I139" s="16" t="inlineStr">
        <is>
          <t>偏软</t>
        </is>
      </c>
      <c r="J139" s="16" t="inlineStr">
        <is>
          <t>南宁质检组</t>
        </is>
      </c>
    </row>
    <row r="140">
      <c r="A140" s="34" t="n">
        <v>45926</v>
      </c>
      <c r="B140" s="16" t="inlineStr">
        <is>
          <t>NY-KW-2508-028</t>
        </is>
      </c>
      <c r="C140" s="16" t="n">
        <v>0</v>
      </c>
      <c r="D140" s="35" t="n">
        <v>15</v>
      </c>
      <c r="E140" s="35" t="n">
        <v>7.69</v>
      </c>
      <c r="F140" s="16" t="n">
        <v>7.6</v>
      </c>
      <c r="G140" s="16" t="inlineStr">
        <is>
          <t>A</t>
        </is>
      </c>
      <c r="H140" s="16" t="inlineStr">
        <is>
          <t>可售</t>
        </is>
      </c>
      <c r="I140" s="16" t="inlineStr">
        <is>
          <t>无</t>
        </is>
      </c>
      <c r="J140" s="16" t="inlineStr">
        <is>
          <t>深圳质检组</t>
        </is>
      </c>
    </row>
    <row r="141">
      <c r="A141" s="34" t="n">
        <v>45928</v>
      </c>
      <c r="B141" s="16" t="inlineStr">
        <is>
          <t>NY-KW-2508-028</t>
        </is>
      </c>
      <c r="C141" s="16" t="n">
        <v>2</v>
      </c>
      <c r="D141" s="35" t="n">
        <v>15</v>
      </c>
      <c r="E141" s="35" t="n">
        <v>6.29</v>
      </c>
      <c r="F141" s="16" t="n">
        <v>8.9</v>
      </c>
      <c r="G141" s="16" t="inlineStr">
        <is>
          <t>A</t>
        </is>
      </c>
      <c r="H141" s="16" t="inlineStr">
        <is>
          <t>可售</t>
        </is>
      </c>
      <c r="I141" s="16" t="inlineStr">
        <is>
          <t>适熟</t>
        </is>
      </c>
      <c r="J141" s="16" t="inlineStr">
        <is>
          <t>南宁质检组</t>
        </is>
      </c>
    </row>
    <row r="142">
      <c r="A142" s="34" t="n">
        <v>45930</v>
      </c>
      <c r="B142" s="16" t="inlineStr">
        <is>
          <t>NY-KW-2508-028</t>
        </is>
      </c>
      <c r="C142" s="16" t="n">
        <v>4</v>
      </c>
      <c r="D142" s="35" t="n">
        <v>15</v>
      </c>
      <c r="E142" s="35" t="n">
        <v>5.26</v>
      </c>
      <c r="F142" s="16" t="n">
        <v>9.800000000000001</v>
      </c>
      <c r="G142" s="16" t="inlineStr">
        <is>
          <t>B</t>
        </is>
      </c>
      <c r="H142" s="16" t="inlineStr">
        <is>
          <t>可售</t>
        </is>
      </c>
      <c r="I142" s="16" t="inlineStr">
        <is>
          <t>偏硬</t>
        </is>
      </c>
      <c r="J142" s="16" t="inlineStr">
        <is>
          <t>深圳质检组</t>
        </is>
      </c>
    </row>
    <row r="143">
      <c r="A143" s="34" t="n">
        <v>45932</v>
      </c>
      <c r="B143" s="16" t="inlineStr">
        <is>
          <t>NY-KW-2508-028</t>
        </is>
      </c>
      <c r="C143" s="16" t="n">
        <v>6</v>
      </c>
      <c r="D143" s="35" t="n">
        <v>20</v>
      </c>
      <c r="E143" s="35" t="n">
        <v>4.86</v>
      </c>
      <c r="F143" s="16" t="n">
        <v>10</v>
      </c>
      <c r="G143" s="16" t="inlineStr">
        <is>
          <t>A</t>
        </is>
      </c>
      <c r="H143" s="16" t="inlineStr">
        <is>
          <t>可售</t>
        </is>
      </c>
      <c r="I143" s="16" t="inlineStr">
        <is>
          <t>无</t>
        </is>
      </c>
      <c r="J143" s="16" t="inlineStr">
        <is>
          <t>广州质检组</t>
        </is>
      </c>
    </row>
    <row r="144">
      <c r="A144" s="34" t="n">
        <v>45934</v>
      </c>
      <c r="B144" s="16" t="inlineStr">
        <is>
          <t>NY-KW-2508-028</t>
        </is>
      </c>
      <c r="C144" s="16" t="n">
        <v>8</v>
      </c>
      <c r="D144" s="35" t="n">
        <v>20</v>
      </c>
      <c r="E144" s="35" t="n">
        <v>3.39</v>
      </c>
      <c r="F144" s="16" t="n">
        <v>10.1</v>
      </c>
      <c r="G144" s="16" t="inlineStr">
        <is>
          <t>C</t>
        </is>
      </c>
      <c r="H144" s="16" t="inlineStr">
        <is>
          <t>临界</t>
        </is>
      </c>
      <c r="I144" s="16" t="inlineStr">
        <is>
          <t>适熟</t>
        </is>
      </c>
      <c r="J144" s="16" t="inlineStr">
        <is>
          <t>南宁质检组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28" customWidth="1" min="5" max="5"/>
    <col width="16" customWidth="1" min="6" max="6"/>
  </cols>
  <sheetData>
    <row r="1" ht="28" customHeight="1">
      <c r="A1" s="3" t="inlineStr">
        <is>
          <t>处理成本</t>
        </is>
      </c>
    </row>
    <row r="2" ht="32" customHeight="1">
      <c r="A2" s="7" t="inlineStr">
        <is>
          <t>来源：企业经营数据样例/07_采后处理成本记录.xlsx。保留原始逐笔记录；日期、数量、金额和比例按字段类型呈现。</t>
        </is>
      </c>
    </row>
    <row r="4" ht="30" customHeight="1">
      <c r="A4" s="13" t="inlineStr">
        <is>
          <t>月份</t>
        </is>
      </c>
      <c r="B4" s="13" t="inlineStr">
        <is>
          <t>费用项目</t>
        </is>
      </c>
      <c r="C4" s="13" t="inlineStr">
        <is>
          <t>计量单位</t>
        </is>
      </c>
      <c r="D4" s="13" t="inlineStr">
        <is>
          <t>参考单价</t>
        </is>
      </c>
      <c r="E4" s="13" t="inlineStr">
        <is>
          <t>口径说明</t>
        </is>
      </c>
      <c r="F4" s="13" t="inlineStr">
        <is>
          <t>负责部门</t>
        </is>
      </c>
    </row>
    <row r="5">
      <c r="A5" s="16" t="inlineStr">
        <is>
          <t>2025-08</t>
        </is>
      </c>
      <c r="B5" s="16" t="inlineStr">
        <is>
          <t>处理药剂</t>
        </is>
      </c>
      <c r="C5" s="16" t="inlineStr">
        <is>
          <t>元/kg果</t>
        </is>
      </c>
      <c r="D5" s="36" t="n">
        <v>0.03</v>
      </c>
      <c r="E5" s="16" t="inlineStr">
        <is>
          <t>按试点采购价和使用量折算</t>
        </is>
      </c>
      <c r="F5" s="16" t="inlineStr">
        <is>
          <t>研发中心</t>
        </is>
      </c>
    </row>
    <row r="6">
      <c r="A6" s="16" t="inlineStr">
        <is>
          <t>2025-08</t>
        </is>
      </c>
      <c r="B6" s="16" t="inlineStr">
        <is>
          <t>现场人工</t>
        </is>
      </c>
      <c r="C6" s="16" t="inlineStr">
        <is>
          <t>元/kg果</t>
        </is>
      </c>
      <c r="D6" s="36" t="n">
        <v>0.049</v>
      </c>
      <c r="E6" s="16" t="inlineStr">
        <is>
          <t>增加分拣和处理工时</t>
        </is>
      </c>
      <c r="F6" s="16" t="inlineStr">
        <is>
          <t>仓储部</t>
        </is>
      </c>
    </row>
    <row r="7">
      <c r="A7" s="16" t="inlineStr">
        <is>
          <t>2025-08</t>
        </is>
      </c>
      <c r="B7" s="16" t="inlineStr">
        <is>
          <t>设备折旧</t>
        </is>
      </c>
      <c r="C7" s="16" t="inlineStr">
        <is>
          <t>元/kg果</t>
        </is>
      </c>
      <c r="D7" s="36" t="n">
        <v>0.025</v>
      </c>
      <c r="E7" s="16" t="inlineStr">
        <is>
          <t>处理池/喷淋设备按处理量分摊</t>
        </is>
      </c>
      <c r="F7" s="16" t="inlineStr">
        <is>
          <t>运营部</t>
        </is>
      </c>
    </row>
    <row r="8">
      <c r="A8" s="16" t="inlineStr">
        <is>
          <t>2025-08</t>
        </is>
      </c>
      <c r="B8" s="16" t="inlineStr">
        <is>
          <t>残留检测</t>
        </is>
      </c>
      <c r="C8" s="16" t="inlineStr">
        <is>
          <t>元/批</t>
        </is>
      </c>
      <c r="D8" s="36" t="n">
        <v>848.521</v>
      </c>
      <c r="E8" s="16" t="inlineStr">
        <is>
          <t>送检费用，实际以检测机构报价为准</t>
        </is>
      </c>
      <c r="F8" s="16" t="inlineStr">
        <is>
          <t>质量部</t>
        </is>
      </c>
    </row>
    <row r="9">
      <c r="A9" s="16" t="inlineStr">
        <is>
          <t>2025-08</t>
        </is>
      </c>
      <c r="B9" s="16" t="inlineStr">
        <is>
          <t>品质复检</t>
        </is>
      </c>
      <c r="C9" s="16" t="inlineStr">
        <is>
          <t>元/批</t>
        </is>
      </c>
      <c r="D9" s="36" t="n">
        <v>237.863</v>
      </c>
      <c r="E9" s="16" t="inlineStr">
        <is>
          <t>硬度、糖度、外观抽检</t>
        </is>
      </c>
      <c r="F9" s="16" t="inlineStr">
        <is>
          <t>质量部</t>
        </is>
      </c>
    </row>
    <row r="10">
      <c r="A10" s="16" t="inlineStr">
        <is>
          <t>2025-08</t>
        </is>
      </c>
      <c r="B10" s="16" t="inlineStr">
        <is>
          <t>记录与追溯</t>
        </is>
      </c>
      <c r="C10" s="16" t="inlineStr">
        <is>
          <t>元/批</t>
        </is>
      </c>
      <c r="D10" s="36" t="n">
        <v>83.646</v>
      </c>
      <c r="E10" s="16" t="inlineStr">
        <is>
          <t>扫码、批次记录、表单维护</t>
        </is>
      </c>
      <c r="F10" s="16" t="inlineStr">
        <is>
          <t>仓储部</t>
        </is>
      </c>
    </row>
    <row r="11">
      <c r="A11" s="16" t="inlineStr">
        <is>
          <t>2025-08</t>
        </is>
      </c>
      <c r="B11" s="16" t="inlineStr">
        <is>
          <t>废液处理</t>
        </is>
      </c>
      <c r="C11" s="16" t="inlineStr">
        <is>
          <t>元/批</t>
        </is>
      </c>
      <c r="D11" s="36" t="n">
        <v>294.607</v>
      </c>
      <c r="E11" s="16" t="inlineStr">
        <is>
          <t>如采用浸泡方式需计入</t>
        </is>
      </c>
      <c r="F11" s="16" t="inlineStr">
        <is>
          <t>运营部</t>
        </is>
      </c>
    </row>
    <row r="12">
      <c r="A12" s="16" t="inlineStr">
        <is>
          <t>2025-08</t>
        </is>
      </c>
      <c r="B12" s="16" t="inlineStr">
        <is>
          <t>员工培训</t>
        </is>
      </c>
      <c r="C12" s="16" t="inlineStr">
        <is>
          <t>元/月</t>
        </is>
      </c>
      <c r="D12" s="36" t="n">
        <v>4960.821</v>
      </c>
      <c r="E12" s="16" t="inlineStr">
        <is>
          <t>试点期培训和SOP执行</t>
        </is>
      </c>
      <c r="F12" s="16" t="inlineStr">
        <is>
          <t>运营部</t>
        </is>
      </c>
    </row>
    <row r="13">
      <c r="A13" s="16" t="inlineStr">
        <is>
          <t>2025-09</t>
        </is>
      </c>
      <c r="B13" s="16" t="inlineStr">
        <is>
          <t>处理药剂</t>
        </is>
      </c>
      <c r="C13" s="16" t="inlineStr">
        <is>
          <t>元/kg果</t>
        </is>
      </c>
      <c r="D13" s="36" t="n">
        <v>0.031</v>
      </c>
      <c r="E13" s="16" t="inlineStr">
        <is>
          <t>按试点采购价和使用量折算</t>
        </is>
      </c>
      <c r="F13" s="16" t="inlineStr">
        <is>
          <t>研发中心</t>
        </is>
      </c>
    </row>
    <row r="14">
      <c r="A14" s="16" t="inlineStr">
        <is>
          <t>2025-09</t>
        </is>
      </c>
      <c r="B14" s="16" t="inlineStr">
        <is>
          <t>现场人工</t>
        </is>
      </c>
      <c r="C14" s="16" t="inlineStr">
        <is>
          <t>元/kg果</t>
        </is>
      </c>
      <c r="D14" s="36" t="n">
        <v>0.048</v>
      </c>
      <c r="E14" s="16" t="inlineStr">
        <is>
          <t>增加分拣和处理工时</t>
        </is>
      </c>
      <c r="F14" s="16" t="inlineStr">
        <is>
          <t>仓储部</t>
        </is>
      </c>
    </row>
    <row r="15">
      <c r="A15" s="16" t="inlineStr">
        <is>
          <t>2025-09</t>
        </is>
      </c>
      <c r="B15" s="16" t="inlineStr">
        <is>
          <t>设备折旧</t>
        </is>
      </c>
      <c r="C15" s="16" t="inlineStr">
        <is>
          <t>元/kg果</t>
        </is>
      </c>
      <c r="D15" s="36" t="n">
        <v>0.022</v>
      </c>
      <c r="E15" s="16" t="inlineStr">
        <is>
          <t>处理池/喷淋设备按处理量分摊</t>
        </is>
      </c>
      <c r="F15" s="16" t="inlineStr">
        <is>
          <t>运营部</t>
        </is>
      </c>
    </row>
    <row r="16">
      <c r="A16" s="16" t="inlineStr">
        <is>
          <t>2025-09</t>
        </is>
      </c>
      <c r="B16" s="16" t="inlineStr">
        <is>
          <t>残留检测</t>
        </is>
      </c>
      <c r="C16" s="16" t="inlineStr">
        <is>
          <t>元/批</t>
        </is>
      </c>
      <c r="D16" s="36" t="n">
        <v>884.277</v>
      </c>
      <c r="E16" s="16" t="inlineStr">
        <is>
          <t>送检费用，实际以检测机构报价为准</t>
        </is>
      </c>
      <c r="F16" s="16" t="inlineStr">
        <is>
          <t>质量部</t>
        </is>
      </c>
    </row>
    <row r="17">
      <c r="A17" s="16" t="inlineStr">
        <is>
          <t>2025-09</t>
        </is>
      </c>
      <c r="B17" s="16" t="inlineStr">
        <is>
          <t>品质复检</t>
        </is>
      </c>
      <c r="C17" s="16" t="inlineStr">
        <is>
          <t>元/批</t>
        </is>
      </c>
      <c r="D17" s="36" t="n">
        <v>206.403</v>
      </c>
      <c r="E17" s="16" t="inlineStr">
        <is>
          <t>硬度、糖度、外观抽检</t>
        </is>
      </c>
      <c r="F17" s="16" t="inlineStr">
        <is>
          <t>质量部</t>
        </is>
      </c>
    </row>
    <row r="18">
      <c r="A18" s="16" t="inlineStr">
        <is>
          <t>2025-09</t>
        </is>
      </c>
      <c r="B18" s="16" t="inlineStr">
        <is>
          <t>记录与追溯</t>
        </is>
      </c>
      <c r="C18" s="16" t="inlineStr">
        <is>
          <t>元/批</t>
        </is>
      </c>
      <c r="D18" s="36" t="n">
        <v>94.161</v>
      </c>
      <c r="E18" s="16" t="inlineStr">
        <is>
          <t>扫码、批次记录、表单维护</t>
        </is>
      </c>
      <c r="F18" s="16" t="inlineStr">
        <is>
          <t>仓储部</t>
        </is>
      </c>
    </row>
    <row r="19">
      <c r="A19" s="16" t="inlineStr">
        <is>
          <t>2025-09</t>
        </is>
      </c>
      <c r="B19" s="16" t="inlineStr">
        <is>
          <t>废液处理</t>
        </is>
      </c>
      <c r="C19" s="16" t="inlineStr">
        <is>
          <t>元/批</t>
        </is>
      </c>
      <c r="D19" s="36" t="n">
        <v>274.091</v>
      </c>
      <c r="E19" s="16" t="inlineStr">
        <is>
          <t>如采用浸泡方式需计入</t>
        </is>
      </c>
      <c r="F19" s="16" t="inlineStr">
        <is>
          <t>运营部</t>
        </is>
      </c>
    </row>
    <row r="20">
      <c r="A20" s="16" t="inlineStr">
        <is>
          <t>2025-09</t>
        </is>
      </c>
      <c r="B20" s="16" t="inlineStr">
        <is>
          <t>员工培训</t>
        </is>
      </c>
      <c r="C20" s="16" t="inlineStr">
        <is>
          <t>元/月</t>
        </is>
      </c>
      <c r="D20" s="36" t="n">
        <v>4928.187</v>
      </c>
      <c r="E20" s="16" t="inlineStr">
        <is>
          <t>试点期培训和SOP执行</t>
        </is>
      </c>
      <c r="F20" s="16" t="inlineStr">
        <is>
          <t>运营部</t>
        </is>
      </c>
    </row>
    <row r="21">
      <c r="A21" s="16" t="inlineStr">
        <is>
          <t>2025-10</t>
        </is>
      </c>
      <c r="B21" s="16" t="inlineStr">
        <is>
          <t>处理药剂</t>
        </is>
      </c>
      <c r="C21" s="16" t="inlineStr">
        <is>
          <t>元/kg果</t>
        </is>
      </c>
      <c r="D21" s="36" t="n">
        <v>0.029</v>
      </c>
      <c r="E21" s="16" t="inlineStr">
        <is>
          <t>按试点采购价和使用量折算</t>
        </is>
      </c>
      <c r="F21" s="16" t="inlineStr">
        <is>
          <t>研发中心</t>
        </is>
      </c>
    </row>
    <row r="22">
      <c r="A22" s="16" t="inlineStr">
        <is>
          <t>2025-10</t>
        </is>
      </c>
      <c r="B22" s="16" t="inlineStr">
        <is>
          <t>现场人工</t>
        </is>
      </c>
      <c r="C22" s="16" t="inlineStr">
        <is>
          <t>元/kg果</t>
        </is>
      </c>
      <c r="D22" s="36" t="n">
        <v>0.041</v>
      </c>
      <c r="E22" s="16" t="inlineStr">
        <is>
          <t>增加分拣和处理工时</t>
        </is>
      </c>
      <c r="F22" s="16" t="inlineStr">
        <is>
          <t>仓储部</t>
        </is>
      </c>
    </row>
    <row r="23">
      <c r="A23" s="16" t="inlineStr">
        <is>
          <t>2025-10</t>
        </is>
      </c>
      <c r="B23" s="16" t="inlineStr">
        <is>
          <t>设备折旧</t>
        </is>
      </c>
      <c r="C23" s="16" t="inlineStr">
        <is>
          <t>元/kg果</t>
        </is>
      </c>
      <c r="D23" s="36" t="n">
        <v>0.027</v>
      </c>
      <c r="E23" s="16" t="inlineStr">
        <is>
          <t>处理池/喷淋设备按处理量分摊</t>
        </is>
      </c>
      <c r="F23" s="16" t="inlineStr">
        <is>
          <t>运营部</t>
        </is>
      </c>
    </row>
    <row r="24">
      <c r="A24" s="16" t="inlineStr">
        <is>
          <t>2025-10</t>
        </is>
      </c>
      <c r="B24" s="16" t="inlineStr">
        <is>
          <t>残留检测</t>
        </is>
      </c>
      <c r="C24" s="16" t="inlineStr">
        <is>
          <t>元/批</t>
        </is>
      </c>
      <c r="D24" s="36" t="n">
        <v>867.4880000000001</v>
      </c>
      <c r="E24" s="16" t="inlineStr">
        <is>
          <t>送检费用，实际以检测机构报价为准</t>
        </is>
      </c>
      <c r="F24" s="16" t="inlineStr">
        <is>
          <t>质量部</t>
        </is>
      </c>
    </row>
    <row r="25">
      <c r="A25" s="16" t="inlineStr">
        <is>
          <t>2025-10</t>
        </is>
      </c>
      <c r="B25" s="16" t="inlineStr">
        <is>
          <t>品质复检</t>
        </is>
      </c>
      <c r="C25" s="16" t="inlineStr">
        <is>
          <t>元/批</t>
        </is>
      </c>
      <c r="D25" s="36" t="n">
        <v>243.368</v>
      </c>
      <c r="E25" s="16" t="inlineStr">
        <is>
          <t>硬度、糖度、外观抽检</t>
        </is>
      </c>
      <c r="F25" s="16" t="inlineStr">
        <is>
          <t>质量部</t>
        </is>
      </c>
    </row>
    <row r="26">
      <c r="A26" s="16" t="inlineStr">
        <is>
          <t>2025-10</t>
        </is>
      </c>
      <c r="B26" s="16" t="inlineStr">
        <is>
          <t>记录与追溯</t>
        </is>
      </c>
      <c r="C26" s="16" t="inlineStr">
        <is>
          <t>元/批</t>
        </is>
      </c>
      <c r="D26" s="36" t="n">
        <v>98.54300000000001</v>
      </c>
      <c r="E26" s="16" t="inlineStr">
        <is>
          <t>扫码、批次记录、表单维护</t>
        </is>
      </c>
      <c r="F26" s="16" t="inlineStr">
        <is>
          <t>仓储部</t>
        </is>
      </c>
    </row>
    <row r="27">
      <c r="A27" s="16" t="inlineStr">
        <is>
          <t>2025-10</t>
        </is>
      </c>
      <c r="B27" s="16" t="inlineStr">
        <is>
          <t>废液处理</t>
        </is>
      </c>
      <c r="C27" s="16" t="inlineStr">
        <is>
          <t>元/批</t>
        </is>
      </c>
      <c r="D27" s="36" t="n">
        <v>288.296</v>
      </c>
      <c r="E27" s="16" t="inlineStr">
        <is>
          <t>如采用浸泡方式需计入</t>
        </is>
      </c>
      <c r="F27" s="16" t="inlineStr">
        <is>
          <t>运营部</t>
        </is>
      </c>
    </row>
    <row r="28">
      <c r="A28" s="16" t="inlineStr">
        <is>
          <t>2025-10</t>
        </is>
      </c>
      <c r="B28" s="16" t="inlineStr">
        <is>
          <t>员工培训</t>
        </is>
      </c>
      <c r="C28" s="16" t="inlineStr">
        <is>
          <t>元/月</t>
        </is>
      </c>
      <c r="D28" s="36" t="n">
        <v>5284.588</v>
      </c>
      <c r="E28" s="16" t="inlineStr">
        <is>
          <t>试点期培训和SOP执行</t>
        </is>
      </c>
      <c r="F28" s="16" t="inlineStr">
        <is>
          <t>运营部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3" customWidth="1" min="10" max="10"/>
    <col width="24" customWidth="1" min="11" max="11"/>
  </cols>
  <sheetData>
    <row r="1" ht="28" customHeight="1">
      <c r="A1" s="3" t="inlineStr">
        <is>
          <t>渠道动销</t>
        </is>
      </c>
    </row>
    <row r="2" ht="32" customHeight="1">
      <c r="A2" s="7" t="inlineStr">
        <is>
          <t>来源：企业经营数据样例/08_渠道到货与动销表现.xlsx。保留原始逐笔记录；日期、数量、金额和比例按字段类型呈现。</t>
        </is>
      </c>
    </row>
    <row r="4" ht="30" customHeight="1">
      <c r="A4" s="13" t="inlineStr">
        <is>
          <t>到货单号</t>
        </is>
      </c>
      <c r="B4" s="13" t="inlineStr">
        <is>
          <t>到货日期</t>
        </is>
      </c>
      <c r="C4" s="13" t="inlineStr">
        <is>
          <t>批次号</t>
        </is>
      </c>
      <c r="D4" s="13" t="inlineStr">
        <is>
          <t>渠道</t>
        </is>
      </c>
      <c r="E4" s="13" t="inlineStr">
        <is>
          <t>城市</t>
        </is>
      </c>
      <c r="F4" s="13" t="inlineStr">
        <is>
          <t>到货kg</t>
        </is>
      </c>
      <c r="G4" s="13" t="inlineStr">
        <is>
          <t>可正常销售kg</t>
        </is>
      </c>
      <c r="H4" s="13" t="inlineStr">
        <is>
          <t>到货偏软比例</t>
        </is>
      </c>
      <c r="I4" s="13" t="inlineStr">
        <is>
          <t>折价销售比例</t>
        </is>
      </c>
      <c r="J4" s="13" t="inlineStr">
        <is>
          <t>售完天数</t>
        </is>
      </c>
      <c r="K4" s="13" t="inlineStr">
        <is>
          <t>渠道反馈</t>
        </is>
      </c>
    </row>
    <row r="5">
      <c r="A5" s="16" t="inlineStr">
        <is>
          <t>DH-2508-0001</t>
        </is>
      </c>
      <c r="B5" s="34" t="n">
        <v>45924</v>
      </c>
      <c r="C5" s="16" t="inlineStr">
        <is>
          <t>NY-KW-2508-020</t>
        </is>
      </c>
      <c r="D5" s="16" t="inlineStr">
        <is>
          <t>连锁门店</t>
        </is>
      </c>
      <c r="E5" s="16" t="inlineStr">
        <is>
          <t>广州</t>
        </is>
      </c>
      <c r="F5" s="35" t="n">
        <v>415.4</v>
      </c>
      <c r="G5" s="35" t="n">
        <v>363.9</v>
      </c>
      <c r="H5" s="32" t="n">
        <v>0.124</v>
      </c>
      <c r="I5" s="32" t="n">
        <v>0.102</v>
      </c>
      <c r="J5" s="16" t="n">
        <v>2.5</v>
      </c>
      <c r="K5" s="16" t="inlineStr">
        <is>
          <t>正常</t>
        </is>
      </c>
    </row>
    <row r="6">
      <c r="A6" s="16" t="inlineStr">
        <is>
          <t>DH-2508-0002</t>
        </is>
      </c>
      <c r="B6" s="34" t="n">
        <v>45956</v>
      </c>
      <c r="C6" s="16" t="inlineStr">
        <is>
          <t>NY-KW-2508-010</t>
        </is>
      </c>
      <c r="D6" s="16" t="inlineStr">
        <is>
          <t>连锁门店</t>
        </is>
      </c>
      <c r="E6" s="16" t="inlineStr">
        <is>
          <t>东莞</t>
        </is>
      </c>
      <c r="F6" s="35" t="n">
        <v>129</v>
      </c>
      <c r="G6" s="35" t="n">
        <v>124.6</v>
      </c>
      <c r="H6" s="32" t="n">
        <v>0.034</v>
      </c>
      <c r="I6" s="32" t="n">
        <v>0.031</v>
      </c>
      <c r="J6" s="16" t="n">
        <v>4.6</v>
      </c>
      <c r="K6" s="16" t="inlineStr">
        <is>
          <t>正常</t>
        </is>
      </c>
    </row>
    <row r="7">
      <c r="A7" s="16" t="inlineStr">
        <is>
          <t>DH-2508-0003</t>
        </is>
      </c>
      <c r="B7" s="34" t="n">
        <v>45924</v>
      </c>
      <c r="C7" s="16" t="inlineStr">
        <is>
          <t>NY-KW-2508-019</t>
        </is>
      </c>
      <c r="D7" s="16" t="inlineStr">
        <is>
          <t>社区电商</t>
        </is>
      </c>
      <c r="E7" s="16" t="inlineStr">
        <is>
          <t>惠州</t>
        </is>
      </c>
      <c r="F7" s="35" t="n">
        <v>169.9</v>
      </c>
      <c r="G7" s="35" t="n">
        <v>160.7</v>
      </c>
      <c r="H7" s="32" t="n">
        <v>0.054</v>
      </c>
      <c r="I7" s="32" t="n">
        <v>0.057</v>
      </c>
      <c r="J7" s="16" t="n">
        <v>3.4</v>
      </c>
      <c r="K7" s="16" t="inlineStr">
        <is>
          <t>动销慢</t>
        </is>
      </c>
    </row>
    <row r="8">
      <c r="A8" s="16" t="inlineStr">
        <is>
          <t>DH-2508-0004</t>
        </is>
      </c>
      <c r="B8" s="34" t="n">
        <v>45923</v>
      </c>
      <c r="C8" s="16" t="inlineStr">
        <is>
          <t>NY-KW-2508-012</t>
        </is>
      </c>
      <c r="D8" s="16" t="inlineStr">
        <is>
          <t>批发客户</t>
        </is>
      </c>
      <c r="E8" s="16" t="inlineStr">
        <is>
          <t>惠州</t>
        </is>
      </c>
      <c r="F8" s="35" t="n">
        <v>819.4</v>
      </c>
      <c r="G8" s="35" t="n">
        <v>763.7</v>
      </c>
      <c r="H8" s="32" t="n">
        <v>0.068</v>
      </c>
      <c r="I8" s="32" t="n">
        <v>0.075</v>
      </c>
      <c r="J8" s="16" t="n">
        <v>1.8</v>
      </c>
      <c r="K8" s="16" t="inlineStr">
        <is>
          <t>补货及时</t>
        </is>
      </c>
    </row>
    <row r="9">
      <c r="A9" s="16" t="inlineStr">
        <is>
          <t>DH-2508-0005</t>
        </is>
      </c>
      <c r="B9" s="34" t="n">
        <v>45955</v>
      </c>
      <c r="C9" s="16" t="inlineStr">
        <is>
          <t>NY-KW-2508-010</t>
        </is>
      </c>
      <c r="D9" s="16" t="inlineStr">
        <is>
          <t>批发客户</t>
        </is>
      </c>
      <c r="E9" s="16" t="inlineStr">
        <is>
          <t>东莞</t>
        </is>
      </c>
      <c r="F9" s="35" t="n">
        <v>661.4</v>
      </c>
      <c r="G9" s="35" t="n">
        <v>545</v>
      </c>
      <c r="H9" s="32" t="n">
        <v>0.176</v>
      </c>
      <c r="I9" s="32" t="n">
        <v>0.126</v>
      </c>
      <c r="J9" s="16" t="n">
        <v>4.6</v>
      </c>
      <c r="K9" s="16" t="inlineStr">
        <is>
          <t>补货及时</t>
        </is>
      </c>
    </row>
    <row r="10">
      <c r="A10" s="16" t="inlineStr">
        <is>
          <t>DH-2508-0006</t>
        </is>
      </c>
      <c r="B10" s="34" t="n">
        <v>45933</v>
      </c>
      <c r="C10" s="16" t="inlineStr">
        <is>
          <t>NY-KW-2508-017</t>
        </is>
      </c>
      <c r="D10" s="16" t="inlineStr">
        <is>
          <t>连锁门店</t>
        </is>
      </c>
      <c r="E10" s="16" t="inlineStr">
        <is>
          <t>深圳</t>
        </is>
      </c>
      <c r="F10" s="35" t="n">
        <v>683</v>
      </c>
      <c r="G10" s="35" t="n">
        <v>633.1</v>
      </c>
      <c r="H10" s="32" t="n">
        <v>0.073</v>
      </c>
      <c r="I10" s="32" t="n">
        <v>0.041</v>
      </c>
      <c r="J10" s="16" t="n">
        <v>3.5</v>
      </c>
      <c r="K10" s="16" t="inlineStr">
        <is>
          <t>偏软反馈</t>
        </is>
      </c>
    </row>
    <row r="11">
      <c r="A11" s="16" t="inlineStr">
        <is>
          <t>DH-2508-0007</t>
        </is>
      </c>
      <c r="B11" s="34" t="n">
        <v>45927</v>
      </c>
      <c r="C11" s="16" t="inlineStr">
        <is>
          <t>NY-KW-2508-028</t>
        </is>
      </c>
      <c r="D11" s="16" t="inlineStr">
        <is>
          <t>连锁门店</t>
        </is>
      </c>
      <c r="E11" s="16" t="inlineStr">
        <is>
          <t>南宁</t>
        </is>
      </c>
      <c r="F11" s="35" t="n">
        <v>622.4</v>
      </c>
      <c r="G11" s="35" t="n">
        <v>548.3</v>
      </c>
      <c r="H11" s="32" t="n">
        <v>0.119</v>
      </c>
      <c r="I11" s="32" t="n">
        <v>0.061</v>
      </c>
      <c r="J11" s="16" t="n">
        <v>1.8</v>
      </c>
      <c r="K11" s="16" t="inlineStr">
        <is>
          <t>正常</t>
        </is>
      </c>
    </row>
    <row r="12">
      <c r="A12" s="16" t="inlineStr">
        <is>
          <t>DH-2508-0008</t>
        </is>
      </c>
      <c r="B12" s="34" t="n">
        <v>45915</v>
      </c>
      <c r="C12" s="16" t="inlineStr">
        <is>
          <t>NY-KW-2508-023</t>
        </is>
      </c>
      <c r="D12" s="16" t="inlineStr">
        <is>
          <t>企业团购</t>
        </is>
      </c>
      <c r="E12" s="16" t="inlineStr">
        <is>
          <t>东莞</t>
        </is>
      </c>
      <c r="F12" s="35" t="n">
        <v>1092.9</v>
      </c>
      <c r="G12" s="35" t="n">
        <v>997.8</v>
      </c>
      <c r="H12" s="32" t="n">
        <v>0.08699999999999999</v>
      </c>
      <c r="I12" s="32" t="n">
        <v>0.055</v>
      </c>
      <c r="J12" s="16" t="n">
        <v>2.4</v>
      </c>
      <c r="K12" s="16" t="inlineStr">
        <is>
          <t>正常</t>
        </is>
      </c>
    </row>
    <row r="13">
      <c r="A13" s="16" t="inlineStr">
        <is>
          <t>DH-2508-0009</t>
        </is>
      </c>
      <c r="B13" s="34" t="n">
        <v>45897</v>
      </c>
      <c r="C13" s="16" t="inlineStr">
        <is>
          <t>NY-KW-2508-001</t>
        </is>
      </c>
      <c r="D13" s="16" t="inlineStr">
        <is>
          <t>社区电商</t>
        </is>
      </c>
      <c r="E13" s="16" t="inlineStr">
        <is>
          <t>珠海</t>
        </is>
      </c>
      <c r="F13" s="35" t="n">
        <v>1046.1</v>
      </c>
      <c r="G13" s="35" t="n">
        <v>953</v>
      </c>
      <c r="H13" s="32" t="n">
        <v>0.089</v>
      </c>
      <c r="I13" s="32" t="n">
        <v>0.06</v>
      </c>
      <c r="J13" s="16" t="n">
        <v>4.3</v>
      </c>
      <c r="K13" s="16" t="inlineStr">
        <is>
          <t>正常</t>
        </is>
      </c>
    </row>
    <row r="14">
      <c r="A14" s="16" t="inlineStr">
        <is>
          <t>DH-2508-0010</t>
        </is>
      </c>
      <c r="B14" s="34" t="n">
        <v>45910</v>
      </c>
      <c r="C14" s="16" t="inlineStr">
        <is>
          <t>NY-KW-2508-026</t>
        </is>
      </c>
      <c r="D14" s="16" t="inlineStr">
        <is>
          <t>社区电商</t>
        </is>
      </c>
      <c r="E14" s="16" t="inlineStr">
        <is>
          <t>东莞</t>
        </is>
      </c>
      <c r="F14" s="35" t="n">
        <v>422.1</v>
      </c>
      <c r="G14" s="35" t="n">
        <v>386.6</v>
      </c>
      <c r="H14" s="32" t="n">
        <v>0.08400000000000001</v>
      </c>
      <c r="I14" s="32" t="n">
        <v>0.09</v>
      </c>
      <c r="J14" s="16" t="n">
        <v>4.1</v>
      </c>
      <c r="K14" s="16" t="inlineStr">
        <is>
          <t>正常</t>
        </is>
      </c>
    </row>
    <row r="15">
      <c r="A15" s="16" t="inlineStr">
        <is>
          <t>DH-2508-0011</t>
        </is>
      </c>
      <c r="B15" s="34" t="n">
        <v>45928</v>
      </c>
      <c r="C15" s="16" t="inlineStr">
        <is>
          <t>NY-KW-2508-009</t>
        </is>
      </c>
      <c r="D15" s="16" t="inlineStr">
        <is>
          <t>社区电商</t>
        </is>
      </c>
      <c r="E15" s="16" t="inlineStr">
        <is>
          <t>深圳</t>
        </is>
      </c>
      <c r="F15" s="35" t="n">
        <v>1102.2</v>
      </c>
      <c r="G15" s="35" t="n">
        <v>921.4</v>
      </c>
      <c r="H15" s="32" t="n">
        <v>0.164</v>
      </c>
      <c r="I15" s="32" t="n">
        <v>0.133</v>
      </c>
      <c r="J15" s="16" t="n">
        <v>3.7</v>
      </c>
      <c r="K15" s="16" t="inlineStr">
        <is>
          <t>补货及时</t>
        </is>
      </c>
    </row>
    <row r="16">
      <c r="A16" s="16" t="inlineStr">
        <is>
          <t>DH-2508-0012</t>
        </is>
      </c>
      <c r="B16" s="34" t="n">
        <v>45955</v>
      </c>
      <c r="C16" s="16" t="inlineStr">
        <is>
          <t>NY-KW-2508-010</t>
        </is>
      </c>
      <c r="D16" s="16" t="inlineStr">
        <is>
          <t>连锁门店</t>
        </is>
      </c>
      <c r="E16" s="16" t="inlineStr">
        <is>
          <t>佛山</t>
        </is>
      </c>
      <c r="F16" s="35" t="n">
        <v>573.4</v>
      </c>
      <c r="G16" s="35" t="n">
        <v>552.2</v>
      </c>
      <c r="H16" s="32" t="n">
        <v>0.037</v>
      </c>
      <c r="I16" s="32" t="n">
        <v>0.047</v>
      </c>
      <c r="J16" s="16" t="n">
        <v>3.1</v>
      </c>
      <c r="K16" s="16" t="inlineStr">
        <is>
          <t>补货及时</t>
        </is>
      </c>
    </row>
    <row r="17">
      <c r="A17" s="16" t="inlineStr">
        <is>
          <t>DH-2508-0013</t>
        </is>
      </c>
      <c r="B17" s="34" t="n">
        <v>45919</v>
      </c>
      <c r="C17" s="16" t="inlineStr">
        <is>
          <t>NY-KW-2508-020</t>
        </is>
      </c>
      <c r="D17" s="16" t="inlineStr">
        <is>
          <t>连锁门店</t>
        </is>
      </c>
      <c r="E17" s="16" t="inlineStr">
        <is>
          <t>珠海</t>
        </is>
      </c>
      <c r="F17" s="35" t="n">
        <v>903.9</v>
      </c>
      <c r="G17" s="35" t="n">
        <v>789.1</v>
      </c>
      <c r="H17" s="32" t="n">
        <v>0.127</v>
      </c>
      <c r="I17" s="32" t="n">
        <v>0.166</v>
      </c>
      <c r="J17" s="16" t="n">
        <v>2.3</v>
      </c>
      <c r="K17" s="16" t="inlineStr">
        <is>
          <t>正常</t>
        </is>
      </c>
    </row>
    <row r="18">
      <c r="A18" s="16" t="inlineStr">
        <is>
          <t>DH-2508-0014</t>
        </is>
      </c>
      <c r="B18" s="34" t="n">
        <v>45939</v>
      </c>
      <c r="C18" s="16" t="inlineStr">
        <is>
          <t>NY-KW-2508-008</t>
        </is>
      </c>
      <c r="D18" s="16" t="inlineStr">
        <is>
          <t>社区电商</t>
        </is>
      </c>
      <c r="E18" s="16" t="inlineStr">
        <is>
          <t>珠海</t>
        </is>
      </c>
      <c r="F18" s="35" t="n">
        <v>1133.4</v>
      </c>
      <c r="G18" s="35" t="n">
        <v>1013.3</v>
      </c>
      <c r="H18" s="32" t="n">
        <v>0.106</v>
      </c>
      <c r="I18" s="32" t="n">
        <v>0.067</v>
      </c>
      <c r="J18" s="16" t="n">
        <v>2.7</v>
      </c>
      <c r="K18" s="16" t="inlineStr">
        <is>
          <t>正常</t>
        </is>
      </c>
    </row>
    <row r="19">
      <c r="A19" s="16" t="inlineStr">
        <is>
          <t>DH-2508-0015</t>
        </is>
      </c>
      <c r="B19" s="34" t="n">
        <v>45926</v>
      </c>
      <c r="C19" s="16" t="inlineStr">
        <is>
          <t>NY-KW-2508-019</t>
        </is>
      </c>
      <c r="D19" s="16" t="inlineStr">
        <is>
          <t>社区电商</t>
        </is>
      </c>
      <c r="E19" s="16" t="inlineStr">
        <is>
          <t>广州</t>
        </is>
      </c>
      <c r="F19" s="35" t="n">
        <v>1066.3</v>
      </c>
      <c r="G19" s="35" t="n">
        <v>1001.3</v>
      </c>
      <c r="H19" s="32" t="n">
        <v>0.061</v>
      </c>
      <c r="I19" s="32" t="n">
        <v>0.08400000000000001</v>
      </c>
      <c r="J19" s="16" t="n">
        <v>2.9</v>
      </c>
      <c r="K19" s="16" t="inlineStr">
        <is>
          <t>需关注货架期</t>
        </is>
      </c>
    </row>
    <row r="20">
      <c r="A20" s="16" t="inlineStr">
        <is>
          <t>DH-2508-0016</t>
        </is>
      </c>
      <c r="B20" s="34" t="n">
        <v>45930</v>
      </c>
      <c r="C20" s="16" t="inlineStr">
        <is>
          <t>NY-KW-2508-028</t>
        </is>
      </c>
      <c r="D20" s="16" t="inlineStr">
        <is>
          <t>社区电商</t>
        </is>
      </c>
      <c r="E20" s="16" t="inlineStr">
        <is>
          <t>广州</t>
        </is>
      </c>
      <c r="F20" s="35" t="n">
        <v>1116.8</v>
      </c>
      <c r="G20" s="35" t="n">
        <v>973.8</v>
      </c>
      <c r="H20" s="32" t="n">
        <v>0.128</v>
      </c>
      <c r="I20" s="32" t="n">
        <v>0.092</v>
      </c>
      <c r="J20" s="16" t="n">
        <v>1.7</v>
      </c>
      <c r="K20" s="16" t="inlineStr">
        <is>
          <t>正常</t>
        </is>
      </c>
    </row>
    <row r="21">
      <c r="A21" s="16" t="inlineStr">
        <is>
          <t>DH-2508-0017</t>
        </is>
      </c>
      <c r="B21" s="34" t="n">
        <v>45942</v>
      </c>
      <c r="C21" s="16" t="inlineStr">
        <is>
          <t>NY-KW-2508-002</t>
        </is>
      </c>
      <c r="D21" s="16" t="inlineStr">
        <is>
          <t>批发客户</t>
        </is>
      </c>
      <c r="E21" s="16" t="inlineStr">
        <is>
          <t>惠州</t>
        </is>
      </c>
      <c r="F21" s="35" t="n">
        <v>775</v>
      </c>
      <c r="G21" s="35" t="n">
        <v>716.9</v>
      </c>
      <c r="H21" s="32" t="n">
        <v>0.075</v>
      </c>
      <c r="I21" s="32" t="n">
        <v>0.096</v>
      </c>
      <c r="J21" s="16" t="n">
        <v>2.6</v>
      </c>
      <c r="K21" s="16" t="inlineStr">
        <is>
          <t>需关注货架期</t>
        </is>
      </c>
    </row>
    <row r="22">
      <c r="A22" s="16" t="inlineStr">
        <is>
          <t>DH-2508-0018</t>
        </is>
      </c>
      <c r="B22" s="34" t="n">
        <v>45906</v>
      </c>
      <c r="C22" s="16" t="inlineStr">
        <is>
          <t>NY-KW-2508-006</t>
        </is>
      </c>
      <c r="D22" s="16" t="inlineStr">
        <is>
          <t>连锁门店</t>
        </is>
      </c>
      <c r="E22" s="16" t="inlineStr">
        <is>
          <t>广州</t>
        </is>
      </c>
      <c r="F22" s="35" t="n">
        <v>836</v>
      </c>
      <c r="G22" s="35" t="n">
        <v>802.6</v>
      </c>
      <c r="H22" s="32" t="n">
        <v>0.04</v>
      </c>
      <c r="I22" s="32" t="n">
        <v>0.027</v>
      </c>
      <c r="J22" s="16" t="n">
        <v>2.5</v>
      </c>
      <c r="K22" s="16" t="inlineStr">
        <is>
          <t>补货及时</t>
        </is>
      </c>
    </row>
    <row r="23">
      <c r="A23" s="16" t="inlineStr">
        <is>
          <t>DH-2508-0019</t>
        </is>
      </c>
      <c r="B23" s="34" t="n">
        <v>45920</v>
      </c>
      <c r="C23" s="16" t="inlineStr">
        <is>
          <t>NY-KW-2508-020</t>
        </is>
      </c>
      <c r="D23" s="16" t="inlineStr">
        <is>
          <t>社区电商</t>
        </is>
      </c>
      <c r="E23" s="16" t="inlineStr">
        <is>
          <t>南宁</t>
        </is>
      </c>
      <c r="F23" s="35" t="n">
        <v>404.6</v>
      </c>
      <c r="G23" s="35" t="n">
        <v>372.2</v>
      </c>
      <c r="H23" s="32" t="n">
        <v>0.08</v>
      </c>
      <c r="I23" s="32" t="n">
        <v>0.052</v>
      </c>
      <c r="J23" s="16" t="n">
        <v>3.9</v>
      </c>
      <c r="K23" s="16" t="inlineStr">
        <is>
          <t>补货及时</t>
        </is>
      </c>
    </row>
    <row r="24">
      <c r="A24" s="16" t="inlineStr">
        <is>
          <t>DH-2508-0020</t>
        </is>
      </c>
      <c r="B24" s="34" t="n">
        <v>45924</v>
      </c>
      <c r="C24" s="16" t="inlineStr">
        <is>
          <t>NY-KW-2508-020</t>
        </is>
      </c>
      <c r="D24" s="16" t="inlineStr">
        <is>
          <t>社区电商</t>
        </is>
      </c>
      <c r="E24" s="16" t="inlineStr">
        <is>
          <t>惠州</t>
        </is>
      </c>
      <c r="F24" s="35" t="n">
        <v>1039.2</v>
      </c>
      <c r="G24" s="35" t="n">
        <v>936.3</v>
      </c>
      <c r="H24" s="32" t="n">
        <v>0.099</v>
      </c>
      <c r="I24" s="32" t="n">
        <v>0.099</v>
      </c>
      <c r="J24" s="16" t="n">
        <v>3.2</v>
      </c>
      <c r="K24" s="16" t="inlineStr">
        <is>
          <t>需关注货架期</t>
        </is>
      </c>
    </row>
    <row r="25">
      <c r="A25" s="16" t="inlineStr">
        <is>
          <t>DH-2508-0021</t>
        </is>
      </c>
      <c r="B25" s="34" t="n">
        <v>45942</v>
      </c>
      <c r="C25" s="16" t="inlineStr">
        <is>
          <t>NY-KW-2508-018</t>
        </is>
      </c>
      <c r="D25" s="16" t="inlineStr">
        <is>
          <t>企业团购</t>
        </is>
      </c>
      <c r="E25" s="16" t="inlineStr">
        <is>
          <t>珠海</t>
        </is>
      </c>
      <c r="F25" s="35" t="n">
        <v>374.9</v>
      </c>
      <c r="G25" s="35" t="n">
        <v>323.5</v>
      </c>
      <c r="H25" s="32" t="n">
        <v>0.137</v>
      </c>
      <c r="I25" s="32" t="n">
        <v>0.104</v>
      </c>
      <c r="J25" s="16" t="n">
        <v>2.8</v>
      </c>
      <c r="K25" s="16" t="inlineStr">
        <is>
          <t>正常</t>
        </is>
      </c>
    </row>
    <row r="26">
      <c r="A26" s="16" t="inlineStr">
        <is>
          <t>DH-2508-0022</t>
        </is>
      </c>
      <c r="B26" s="34" t="n">
        <v>45954</v>
      </c>
      <c r="C26" s="16" t="inlineStr">
        <is>
          <t>NY-KW-2508-015</t>
        </is>
      </c>
      <c r="D26" s="16" t="inlineStr">
        <is>
          <t>企业团购</t>
        </is>
      </c>
      <c r="E26" s="16" t="inlineStr">
        <is>
          <t>深圳</t>
        </is>
      </c>
      <c r="F26" s="35" t="n">
        <v>382.9</v>
      </c>
      <c r="G26" s="35" t="n">
        <v>335</v>
      </c>
      <c r="H26" s="32" t="n">
        <v>0.125</v>
      </c>
      <c r="I26" s="32" t="n">
        <v>0.073</v>
      </c>
      <c r="J26" s="16" t="n">
        <v>3.8</v>
      </c>
      <c r="K26" s="16" t="inlineStr">
        <is>
          <t>正常</t>
        </is>
      </c>
    </row>
    <row r="27">
      <c r="A27" s="16" t="inlineStr">
        <is>
          <t>DH-2508-0023</t>
        </is>
      </c>
      <c r="B27" s="34" t="n">
        <v>45923</v>
      </c>
      <c r="C27" s="16" t="inlineStr">
        <is>
          <t>NY-KW-2508-003</t>
        </is>
      </c>
      <c r="D27" s="16" t="inlineStr">
        <is>
          <t>社区电商</t>
        </is>
      </c>
      <c r="E27" s="16" t="inlineStr">
        <is>
          <t>珠海</t>
        </is>
      </c>
      <c r="F27" s="35" t="n">
        <v>384.4</v>
      </c>
      <c r="G27" s="35" t="n">
        <v>361.7</v>
      </c>
      <c r="H27" s="32" t="n">
        <v>0.059</v>
      </c>
      <c r="I27" s="32" t="n">
        <v>0.068</v>
      </c>
      <c r="J27" s="16" t="n">
        <v>4.8</v>
      </c>
      <c r="K27" s="16" t="inlineStr">
        <is>
          <t>正常</t>
        </is>
      </c>
    </row>
    <row r="28">
      <c r="A28" s="16" t="inlineStr">
        <is>
          <t>DH-2508-0024</t>
        </is>
      </c>
      <c r="B28" s="34" t="n">
        <v>45926</v>
      </c>
      <c r="C28" s="16" t="inlineStr">
        <is>
          <t>NY-KW-2508-024</t>
        </is>
      </c>
      <c r="D28" s="16" t="inlineStr">
        <is>
          <t>连锁门店</t>
        </is>
      </c>
      <c r="E28" s="16" t="inlineStr">
        <is>
          <t>佛山</t>
        </is>
      </c>
      <c r="F28" s="35" t="n">
        <v>1111</v>
      </c>
      <c r="G28" s="35" t="n">
        <v>1057.7</v>
      </c>
      <c r="H28" s="32" t="n">
        <v>0.048</v>
      </c>
      <c r="I28" s="32" t="n">
        <v>0.048</v>
      </c>
      <c r="J28" s="16" t="n">
        <v>2.2</v>
      </c>
      <c r="K28" s="16" t="inlineStr">
        <is>
          <t>正常</t>
        </is>
      </c>
    </row>
    <row r="29">
      <c r="A29" s="16" t="inlineStr">
        <is>
          <t>DH-2508-0025</t>
        </is>
      </c>
      <c r="B29" s="34" t="n">
        <v>45921</v>
      </c>
      <c r="C29" s="16" t="inlineStr">
        <is>
          <t>NY-KW-2508-019</t>
        </is>
      </c>
      <c r="D29" s="16" t="inlineStr">
        <is>
          <t>社区电商</t>
        </is>
      </c>
      <c r="E29" s="16" t="inlineStr">
        <is>
          <t>南宁</t>
        </is>
      </c>
      <c r="F29" s="35" t="n">
        <v>902.2</v>
      </c>
      <c r="G29" s="35" t="n">
        <v>750.6</v>
      </c>
      <c r="H29" s="32" t="n">
        <v>0.168</v>
      </c>
      <c r="I29" s="32" t="n">
        <v>0.218</v>
      </c>
      <c r="J29" s="16" t="n">
        <v>3.1</v>
      </c>
      <c r="K29" s="16" t="inlineStr">
        <is>
          <t>需关注货架期</t>
        </is>
      </c>
    </row>
    <row r="30">
      <c r="A30" s="16" t="inlineStr">
        <is>
          <t>DH-2508-0026</t>
        </is>
      </c>
      <c r="B30" s="34" t="n">
        <v>45921</v>
      </c>
      <c r="C30" s="16" t="inlineStr">
        <is>
          <t>NY-KW-2508-012</t>
        </is>
      </c>
      <c r="D30" s="16" t="inlineStr">
        <is>
          <t>批发客户</t>
        </is>
      </c>
      <c r="E30" s="16" t="inlineStr">
        <is>
          <t>东莞</t>
        </is>
      </c>
      <c r="F30" s="35" t="n">
        <v>176.4</v>
      </c>
      <c r="G30" s="35" t="n">
        <v>156.5</v>
      </c>
      <c r="H30" s="32" t="n">
        <v>0.113</v>
      </c>
      <c r="I30" s="32" t="n">
        <v>0.083</v>
      </c>
      <c r="J30" s="16" t="n">
        <v>4.3</v>
      </c>
      <c r="K30" s="16" t="inlineStr">
        <is>
          <t>正常</t>
        </is>
      </c>
    </row>
    <row r="31">
      <c r="A31" s="16" t="inlineStr">
        <is>
          <t>DH-2508-0027</t>
        </is>
      </c>
      <c r="B31" s="34" t="n">
        <v>45906</v>
      </c>
      <c r="C31" s="16" t="inlineStr">
        <is>
          <t>NY-KW-2508-026</t>
        </is>
      </c>
      <c r="D31" s="16" t="inlineStr">
        <is>
          <t>连锁门店</t>
        </is>
      </c>
      <c r="E31" s="16" t="inlineStr">
        <is>
          <t>东莞</t>
        </is>
      </c>
      <c r="F31" s="35" t="n">
        <v>182</v>
      </c>
      <c r="G31" s="35" t="n">
        <v>163.8</v>
      </c>
      <c r="H31" s="32" t="n">
        <v>0.1</v>
      </c>
      <c r="I31" s="32" t="n">
        <v>0.07099999999999999</v>
      </c>
      <c r="J31" s="16" t="n">
        <v>2</v>
      </c>
      <c r="K31" s="16" t="inlineStr">
        <is>
          <t>需关注货架期</t>
        </is>
      </c>
    </row>
    <row r="32">
      <c r="A32" s="16" t="inlineStr">
        <is>
          <t>DH-2508-0028</t>
        </is>
      </c>
      <c r="B32" s="34" t="n">
        <v>45918</v>
      </c>
      <c r="C32" s="16" t="inlineStr">
        <is>
          <t>NY-KW-2508-023</t>
        </is>
      </c>
      <c r="D32" s="16" t="inlineStr">
        <is>
          <t>社区电商</t>
        </is>
      </c>
      <c r="E32" s="16" t="inlineStr">
        <is>
          <t>惠州</t>
        </is>
      </c>
      <c r="F32" s="35" t="n">
        <v>577</v>
      </c>
      <c r="G32" s="35" t="n">
        <v>489.9</v>
      </c>
      <c r="H32" s="32" t="n">
        <v>0.151</v>
      </c>
      <c r="I32" s="32" t="n">
        <v>0.08400000000000001</v>
      </c>
      <c r="J32" s="16" t="n">
        <v>4.6</v>
      </c>
      <c r="K32" s="16" t="inlineStr">
        <is>
          <t>正常</t>
        </is>
      </c>
    </row>
    <row r="33">
      <c r="A33" s="16" t="inlineStr">
        <is>
          <t>DH-2508-0029</t>
        </is>
      </c>
      <c r="B33" s="34" t="n">
        <v>45928</v>
      </c>
      <c r="C33" s="16" t="inlineStr">
        <is>
          <t>NY-KW-2508-007</t>
        </is>
      </c>
      <c r="D33" s="16" t="inlineStr">
        <is>
          <t>社区电商</t>
        </is>
      </c>
      <c r="E33" s="16" t="inlineStr">
        <is>
          <t>珠海</t>
        </is>
      </c>
      <c r="F33" s="35" t="n">
        <v>887.4</v>
      </c>
      <c r="G33" s="35" t="n">
        <v>732.1</v>
      </c>
      <c r="H33" s="32" t="n">
        <v>0.175</v>
      </c>
      <c r="I33" s="32" t="n">
        <v>0.212</v>
      </c>
      <c r="J33" s="16" t="n">
        <v>3.4</v>
      </c>
      <c r="K33" s="16" t="inlineStr">
        <is>
          <t>补货及时</t>
        </is>
      </c>
    </row>
    <row r="34">
      <c r="A34" s="16" t="inlineStr">
        <is>
          <t>DH-2508-0030</t>
        </is>
      </c>
      <c r="B34" s="34" t="n">
        <v>45954</v>
      </c>
      <c r="C34" s="16" t="inlineStr">
        <is>
          <t>NY-KW-2508-015</t>
        </is>
      </c>
      <c r="D34" s="16" t="inlineStr">
        <is>
          <t>社区电商</t>
        </is>
      </c>
      <c r="E34" s="16" t="inlineStr">
        <is>
          <t>深圳</t>
        </is>
      </c>
      <c r="F34" s="35" t="n">
        <v>582.2</v>
      </c>
      <c r="G34" s="35" t="n">
        <v>477.4</v>
      </c>
      <c r="H34" s="32" t="n">
        <v>0.18</v>
      </c>
      <c r="I34" s="32" t="n">
        <v>0.108</v>
      </c>
      <c r="J34" s="16" t="n">
        <v>3</v>
      </c>
      <c r="K34" s="16" t="inlineStr">
        <is>
          <t>偏软反馈</t>
        </is>
      </c>
    </row>
    <row r="35">
      <c r="A35" s="16" t="inlineStr">
        <is>
          <t>DH-2508-0031</t>
        </is>
      </c>
      <c r="B35" s="34" t="n">
        <v>45914</v>
      </c>
      <c r="C35" s="16" t="inlineStr">
        <is>
          <t>NY-KW-2508-022</t>
        </is>
      </c>
      <c r="D35" s="16" t="inlineStr">
        <is>
          <t>社区电商</t>
        </is>
      </c>
      <c r="E35" s="16" t="inlineStr">
        <is>
          <t>南宁</t>
        </is>
      </c>
      <c r="F35" s="35" t="n">
        <v>662.7</v>
      </c>
      <c r="G35" s="35" t="n">
        <v>640.2</v>
      </c>
      <c r="H35" s="32" t="n">
        <v>0.034</v>
      </c>
      <c r="I35" s="32" t="n">
        <v>0.03</v>
      </c>
      <c r="J35" s="16" t="n">
        <v>4.1</v>
      </c>
      <c r="K35" s="16" t="inlineStr">
        <is>
          <t>需关注货架期</t>
        </is>
      </c>
    </row>
    <row r="36">
      <c r="A36" s="16" t="inlineStr">
        <is>
          <t>DH-2508-0032</t>
        </is>
      </c>
      <c r="B36" s="34" t="n">
        <v>45924</v>
      </c>
      <c r="C36" s="16" t="inlineStr">
        <is>
          <t>NY-KW-2508-003</t>
        </is>
      </c>
      <c r="D36" s="16" t="inlineStr">
        <is>
          <t>批发客户</t>
        </is>
      </c>
      <c r="E36" s="16" t="inlineStr">
        <is>
          <t>惠州</t>
        </is>
      </c>
      <c r="F36" s="35" t="n">
        <v>1044.4</v>
      </c>
      <c r="G36" s="35" t="n">
        <v>991.1</v>
      </c>
      <c r="H36" s="32" t="n">
        <v>0.051</v>
      </c>
      <c r="I36" s="32" t="n">
        <v>0.048</v>
      </c>
      <c r="J36" s="16" t="n">
        <v>3</v>
      </c>
      <c r="K36" s="16" t="inlineStr">
        <is>
          <t>补货及时</t>
        </is>
      </c>
    </row>
    <row r="37">
      <c r="A37" s="16" t="inlineStr">
        <is>
          <t>DH-2508-0033</t>
        </is>
      </c>
      <c r="B37" s="34" t="n">
        <v>45904</v>
      </c>
      <c r="C37" s="16" t="inlineStr">
        <is>
          <t>NY-KW-2508-006</t>
        </is>
      </c>
      <c r="D37" s="16" t="inlineStr">
        <is>
          <t>社区电商</t>
        </is>
      </c>
      <c r="E37" s="16" t="inlineStr">
        <is>
          <t>广州</t>
        </is>
      </c>
      <c r="F37" s="35" t="n">
        <v>1077.5</v>
      </c>
      <c r="G37" s="35" t="n">
        <v>1029</v>
      </c>
      <c r="H37" s="32" t="n">
        <v>0.045</v>
      </c>
      <c r="I37" s="32" t="n">
        <v>0.05</v>
      </c>
      <c r="J37" s="16" t="n">
        <v>2.8</v>
      </c>
      <c r="K37" s="16" t="inlineStr">
        <is>
          <t>需关注货架期</t>
        </is>
      </c>
    </row>
    <row r="38">
      <c r="A38" s="16" t="inlineStr">
        <is>
          <t>DH-2508-0034</t>
        </is>
      </c>
      <c r="B38" s="34" t="n">
        <v>45910</v>
      </c>
      <c r="C38" s="16" t="inlineStr">
        <is>
          <t>NY-KW-2508-022</t>
        </is>
      </c>
      <c r="D38" s="16" t="inlineStr">
        <is>
          <t>企业团购</t>
        </is>
      </c>
      <c r="E38" s="16" t="inlineStr">
        <is>
          <t>佛山</t>
        </is>
      </c>
      <c r="F38" s="35" t="n">
        <v>154.9</v>
      </c>
      <c r="G38" s="35" t="n">
        <v>130.3</v>
      </c>
      <c r="H38" s="32" t="n">
        <v>0.159</v>
      </c>
      <c r="I38" s="32" t="n">
        <v>0.125</v>
      </c>
      <c r="J38" s="16" t="n">
        <v>2.1</v>
      </c>
      <c r="K38" s="16" t="inlineStr">
        <is>
          <t>补货及时</t>
        </is>
      </c>
    </row>
    <row r="39">
      <c r="A39" s="16" t="inlineStr">
        <is>
          <t>DH-2508-0035</t>
        </is>
      </c>
      <c r="B39" s="34" t="n">
        <v>45913</v>
      </c>
      <c r="C39" s="16" t="inlineStr">
        <is>
          <t>NY-KW-2508-027</t>
        </is>
      </c>
      <c r="D39" s="16" t="inlineStr">
        <is>
          <t>连锁门店</t>
        </is>
      </c>
      <c r="E39" s="16" t="inlineStr">
        <is>
          <t>珠海</t>
        </is>
      </c>
      <c r="F39" s="35" t="n">
        <v>845.9</v>
      </c>
      <c r="G39" s="35" t="n">
        <v>821.4</v>
      </c>
      <c r="H39" s="32" t="n">
        <v>0.029</v>
      </c>
      <c r="I39" s="32" t="n">
        <v>0.036</v>
      </c>
      <c r="J39" s="16" t="n">
        <v>2.9</v>
      </c>
      <c r="K39" s="16" t="inlineStr">
        <is>
          <t>补货及时</t>
        </is>
      </c>
    </row>
    <row r="40">
      <c r="A40" s="16" t="inlineStr">
        <is>
          <t>DH-2508-0036</t>
        </is>
      </c>
      <c r="B40" s="34" t="n">
        <v>45953</v>
      </c>
      <c r="C40" s="16" t="inlineStr">
        <is>
          <t>NY-KW-2508-025</t>
        </is>
      </c>
      <c r="D40" s="16" t="inlineStr">
        <is>
          <t>批发客户</t>
        </is>
      </c>
      <c r="E40" s="16" t="inlineStr">
        <is>
          <t>珠海</t>
        </is>
      </c>
      <c r="F40" s="35" t="n">
        <v>566.8</v>
      </c>
      <c r="G40" s="35" t="n">
        <v>541.3</v>
      </c>
      <c r="H40" s="32" t="n">
        <v>0.045</v>
      </c>
      <c r="I40" s="32" t="n">
        <v>0.037</v>
      </c>
      <c r="J40" s="16" t="n">
        <v>2.2</v>
      </c>
      <c r="K40" s="16" t="inlineStr">
        <is>
          <t>需关注货架期</t>
        </is>
      </c>
    </row>
    <row r="41">
      <c r="A41" s="16" t="inlineStr">
        <is>
          <t>DH-2508-0037</t>
        </is>
      </c>
      <c r="B41" s="34" t="n">
        <v>45909</v>
      </c>
      <c r="C41" s="16" t="inlineStr">
        <is>
          <t>NY-KW-2508-022</t>
        </is>
      </c>
      <c r="D41" s="16" t="inlineStr">
        <is>
          <t>批发客户</t>
        </is>
      </c>
      <c r="E41" s="16" t="inlineStr">
        <is>
          <t>东莞</t>
        </is>
      </c>
      <c r="F41" s="35" t="n">
        <v>967.6</v>
      </c>
      <c r="G41" s="35" t="n">
        <v>875.7</v>
      </c>
      <c r="H41" s="32" t="n">
        <v>0.095</v>
      </c>
      <c r="I41" s="32" t="n">
        <v>0.05</v>
      </c>
      <c r="J41" s="16" t="n">
        <v>2.8</v>
      </c>
      <c r="K41" s="16" t="inlineStr">
        <is>
          <t>补货及时</t>
        </is>
      </c>
    </row>
    <row r="42">
      <c r="A42" s="16" t="inlineStr">
        <is>
          <t>DH-2508-0038</t>
        </is>
      </c>
      <c r="B42" s="34" t="n">
        <v>45921</v>
      </c>
      <c r="C42" s="16" t="inlineStr">
        <is>
          <t>NY-KW-2508-019</t>
        </is>
      </c>
      <c r="D42" s="16" t="inlineStr">
        <is>
          <t>批发客户</t>
        </is>
      </c>
      <c r="E42" s="16" t="inlineStr">
        <is>
          <t>广州</t>
        </is>
      </c>
      <c r="F42" s="35" t="n">
        <v>134.8</v>
      </c>
      <c r="G42" s="35" t="n">
        <v>113.9</v>
      </c>
      <c r="H42" s="32" t="n">
        <v>0.155</v>
      </c>
      <c r="I42" s="32" t="n">
        <v>0.184</v>
      </c>
      <c r="J42" s="16" t="n">
        <v>2.3</v>
      </c>
      <c r="K42" s="16" t="inlineStr">
        <is>
          <t>正常</t>
        </is>
      </c>
    </row>
    <row r="43">
      <c r="A43" s="16" t="inlineStr">
        <is>
          <t>DH-2508-0039</t>
        </is>
      </c>
      <c r="B43" s="34" t="n">
        <v>45952</v>
      </c>
      <c r="C43" s="16" t="inlineStr">
        <is>
          <t>NY-KW-2508-010</t>
        </is>
      </c>
      <c r="D43" s="16" t="inlineStr">
        <is>
          <t>批发客户</t>
        </is>
      </c>
      <c r="E43" s="16" t="inlineStr">
        <is>
          <t>珠海</t>
        </is>
      </c>
      <c r="F43" s="35" t="n">
        <v>584.1</v>
      </c>
      <c r="G43" s="35" t="n">
        <v>544.4</v>
      </c>
      <c r="H43" s="32" t="n">
        <v>0.068</v>
      </c>
      <c r="I43" s="32" t="n">
        <v>0.056</v>
      </c>
      <c r="J43" s="16" t="n">
        <v>1.7</v>
      </c>
      <c r="K43" s="16" t="inlineStr">
        <is>
          <t>补货及时</t>
        </is>
      </c>
    </row>
    <row r="44">
      <c r="A44" s="16" t="inlineStr">
        <is>
          <t>DH-2508-0040</t>
        </is>
      </c>
      <c r="B44" s="34" t="n">
        <v>45925</v>
      </c>
      <c r="C44" s="16" t="inlineStr">
        <is>
          <t>NY-KW-2508-020</t>
        </is>
      </c>
      <c r="D44" s="16" t="inlineStr">
        <is>
          <t>社区电商</t>
        </is>
      </c>
      <c r="E44" s="16" t="inlineStr">
        <is>
          <t>惠州</t>
        </is>
      </c>
      <c r="F44" s="35" t="n">
        <v>648.9</v>
      </c>
      <c r="G44" s="35" t="n">
        <v>586</v>
      </c>
      <c r="H44" s="32" t="n">
        <v>0.097</v>
      </c>
      <c r="I44" s="32" t="n">
        <v>0.099</v>
      </c>
      <c r="J44" s="16" t="n">
        <v>2.2</v>
      </c>
      <c r="K44" s="16" t="inlineStr">
        <is>
          <t>补货及时</t>
        </is>
      </c>
    </row>
    <row r="45">
      <c r="A45" s="16" t="inlineStr">
        <is>
          <t>DH-2508-0041</t>
        </is>
      </c>
      <c r="B45" s="34" t="n">
        <v>45938</v>
      </c>
      <c r="C45" s="16" t="inlineStr">
        <is>
          <t>NY-KW-2508-004</t>
        </is>
      </c>
      <c r="D45" s="16" t="inlineStr">
        <is>
          <t>批发客户</t>
        </is>
      </c>
      <c r="E45" s="16" t="inlineStr">
        <is>
          <t>南宁</t>
        </is>
      </c>
      <c r="F45" s="35" t="n">
        <v>1186.3</v>
      </c>
      <c r="G45" s="35" t="n">
        <v>1135.3</v>
      </c>
      <c r="H45" s="32" t="n">
        <v>0.043</v>
      </c>
      <c r="I45" s="32" t="n">
        <v>0.025</v>
      </c>
      <c r="J45" s="16" t="n">
        <v>3.3</v>
      </c>
      <c r="K45" s="16" t="inlineStr">
        <is>
          <t>补货及时</t>
        </is>
      </c>
    </row>
    <row r="46">
      <c r="A46" s="16" t="inlineStr">
        <is>
          <t>DH-2508-0042</t>
        </is>
      </c>
      <c r="B46" s="34" t="n">
        <v>45938</v>
      </c>
      <c r="C46" s="16" t="inlineStr">
        <is>
          <t>NY-KW-2508-008</t>
        </is>
      </c>
      <c r="D46" s="16" t="inlineStr">
        <is>
          <t>社区电商</t>
        </is>
      </c>
      <c r="E46" s="16" t="inlineStr">
        <is>
          <t>珠海</t>
        </is>
      </c>
      <c r="F46" s="35" t="n">
        <v>576.2</v>
      </c>
      <c r="G46" s="35" t="n">
        <v>546.2</v>
      </c>
      <c r="H46" s="32" t="n">
        <v>0.052</v>
      </c>
      <c r="I46" s="32" t="n">
        <v>0.057</v>
      </c>
      <c r="J46" s="16" t="n">
        <v>3.7</v>
      </c>
      <c r="K46" s="16" t="inlineStr">
        <is>
          <t>正常</t>
        </is>
      </c>
    </row>
    <row r="47">
      <c r="A47" s="16" t="inlineStr">
        <is>
          <t>DH-2508-0043</t>
        </is>
      </c>
      <c r="B47" s="34" t="n">
        <v>45937</v>
      </c>
      <c r="C47" s="16" t="inlineStr">
        <is>
          <t>NY-KW-2508-005</t>
        </is>
      </c>
      <c r="D47" s="16" t="inlineStr">
        <is>
          <t>社区电商</t>
        </is>
      </c>
      <c r="E47" s="16" t="inlineStr">
        <is>
          <t>惠州</t>
        </is>
      </c>
      <c r="F47" s="35" t="n">
        <v>961.7</v>
      </c>
      <c r="G47" s="35" t="n">
        <v>916.5</v>
      </c>
      <c r="H47" s="32" t="n">
        <v>0.047</v>
      </c>
      <c r="I47" s="32" t="n">
        <v>0.034</v>
      </c>
      <c r="J47" s="16" t="n">
        <v>2</v>
      </c>
      <c r="K47" s="16" t="inlineStr">
        <is>
          <t>补货及时</t>
        </is>
      </c>
    </row>
    <row r="48">
      <c r="A48" s="16" t="inlineStr">
        <is>
          <t>DH-2508-0044</t>
        </is>
      </c>
      <c r="B48" s="34" t="n">
        <v>45931</v>
      </c>
      <c r="C48" s="16" t="inlineStr">
        <is>
          <t>NY-KW-2508-009</t>
        </is>
      </c>
      <c r="D48" s="16" t="inlineStr">
        <is>
          <t>社区电商</t>
        </is>
      </c>
      <c r="E48" s="16" t="inlineStr">
        <is>
          <t>南宁</t>
        </is>
      </c>
      <c r="F48" s="35" t="n">
        <v>1152.6</v>
      </c>
      <c r="G48" s="35" t="n">
        <v>988.9</v>
      </c>
      <c r="H48" s="32" t="n">
        <v>0.142</v>
      </c>
      <c r="I48" s="32" t="n">
        <v>0.157</v>
      </c>
      <c r="J48" s="16" t="n">
        <v>4.6</v>
      </c>
      <c r="K48" s="16" t="inlineStr">
        <is>
          <t>动销慢</t>
        </is>
      </c>
    </row>
    <row r="49">
      <c r="A49" s="16" t="inlineStr">
        <is>
          <t>DH-2508-0045</t>
        </is>
      </c>
      <c r="B49" s="34" t="n">
        <v>45940</v>
      </c>
      <c r="C49" s="16" t="inlineStr">
        <is>
          <t>NY-KW-2508-004</t>
        </is>
      </c>
      <c r="D49" s="16" t="inlineStr">
        <is>
          <t>连锁门店</t>
        </is>
      </c>
      <c r="E49" s="16" t="inlineStr">
        <is>
          <t>珠海</t>
        </is>
      </c>
      <c r="F49" s="35" t="n">
        <v>466.7</v>
      </c>
      <c r="G49" s="35" t="n">
        <v>457.4</v>
      </c>
      <c r="H49" s="32" t="n">
        <v>0.02</v>
      </c>
      <c r="I49" s="32" t="n">
        <v>0.021</v>
      </c>
      <c r="J49" s="16" t="n">
        <v>3.2</v>
      </c>
      <c r="K49" s="16" t="inlineStr">
        <is>
          <t>需关注货架期</t>
        </is>
      </c>
    </row>
    <row r="50">
      <c r="A50" s="16" t="inlineStr">
        <is>
          <t>DH-2508-0046</t>
        </is>
      </c>
      <c r="B50" s="34" t="n">
        <v>45927</v>
      </c>
      <c r="C50" s="16" t="inlineStr">
        <is>
          <t>NY-KW-2508-024</t>
        </is>
      </c>
      <c r="D50" s="16" t="inlineStr">
        <is>
          <t>社区电商</t>
        </is>
      </c>
      <c r="E50" s="16" t="inlineStr">
        <is>
          <t>南宁</t>
        </is>
      </c>
      <c r="F50" s="35" t="n">
        <v>516</v>
      </c>
      <c r="G50" s="35" t="n">
        <v>452.5</v>
      </c>
      <c r="H50" s="32" t="n">
        <v>0.123</v>
      </c>
      <c r="I50" s="32" t="n">
        <v>0.153</v>
      </c>
      <c r="J50" s="16" t="n">
        <v>2.2</v>
      </c>
      <c r="K50" s="16" t="inlineStr">
        <is>
          <t>正常</t>
        </is>
      </c>
    </row>
    <row r="51">
      <c r="A51" s="16" t="inlineStr">
        <is>
          <t>DH-2508-0047</t>
        </is>
      </c>
      <c r="B51" s="34" t="n">
        <v>45926</v>
      </c>
      <c r="C51" s="16" t="inlineStr">
        <is>
          <t>NY-KW-2508-003</t>
        </is>
      </c>
      <c r="D51" s="16" t="inlineStr">
        <is>
          <t>批发客户</t>
        </is>
      </c>
      <c r="E51" s="16" t="inlineStr">
        <is>
          <t>珠海</t>
        </is>
      </c>
      <c r="F51" s="35" t="n">
        <v>269.7</v>
      </c>
      <c r="G51" s="35" t="n">
        <v>244.6</v>
      </c>
      <c r="H51" s="32" t="n">
        <v>0.093</v>
      </c>
      <c r="I51" s="32" t="n">
        <v>0.066</v>
      </c>
      <c r="J51" s="16" t="n">
        <v>1.9</v>
      </c>
      <c r="K51" s="16" t="inlineStr">
        <is>
          <t>补货及时</t>
        </is>
      </c>
    </row>
    <row r="52">
      <c r="A52" s="16" t="inlineStr">
        <is>
          <t>DH-2508-0048</t>
        </is>
      </c>
      <c r="B52" s="34" t="n">
        <v>45939</v>
      </c>
      <c r="C52" s="16" t="inlineStr">
        <is>
          <t>NY-KW-2508-008</t>
        </is>
      </c>
      <c r="D52" s="16" t="inlineStr">
        <is>
          <t>批发客户</t>
        </is>
      </c>
      <c r="E52" s="16" t="inlineStr">
        <is>
          <t>深圳</t>
        </is>
      </c>
      <c r="F52" s="35" t="n">
        <v>803.1</v>
      </c>
      <c r="G52" s="35" t="n">
        <v>695.5</v>
      </c>
      <c r="H52" s="32" t="n">
        <v>0.134</v>
      </c>
      <c r="I52" s="32" t="n">
        <v>0.097</v>
      </c>
      <c r="J52" s="16" t="n">
        <v>3.5</v>
      </c>
      <c r="K52" s="16" t="inlineStr">
        <is>
          <t>需关注货架期</t>
        </is>
      </c>
    </row>
    <row r="53">
      <c r="A53" s="16" t="inlineStr">
        <is>
          <t>DH-2508-0049</t>
        </is>
      </c>
      <c r="B53" s="34" t="n">
        <v>45942</v>
      </c>
      <c r="C53" s="16" t="inlineStr">
        <is>
          <t>NY-KW-2508-008</t>
        </is>
      </c>
      <c r="D53" s="16" t="inlineStr">
        <is>
          <t>社区电商</t>
        </is>
      </c>
      <c r="E53" s="16" t="inlineStr">
        <is>
          <t>广州</t>
        </is>
      </c>
      <c r="F53" s="35" t="n">
        <v>753.4</v>
      </c>
      <c r="G53" s="35" t="n">
        <v>737.6</v>
      </c>
      <c r="H53" s="32" t="n">
        <v>0.021</v>
      </c>
      <c r="I53" s="32" t="n">
        <v>0.012</v>
      </c>
      <c r="J53" s="16" t="n">
        <v>3.2</v>
      </c>
      <c r="K53" s="16" t="inlineStr">
        <is>
          <t>需关注货架期</t>
        </is>
      </c>
    </row>
    <row r="54">
      <c r="A54" s="16" t="inlineStr">
        <is>
          <t>DH-2508-0050</t>
        </is>
      </c>
      <c r="B54" s="34" t="n">
        <v>45943</v>
      </c>
      <c r="C54" s="16" t="inlineStr">
        <is>
          <t>NY-KW-2508-013</t>
        </is>
      </c>
      <c r="D54" s="16" t="inlineStr">
        <is>
          <t>连锁门店</t>
        </is>
      </c>
      <c r="E54" s="16" t="inlineStr">
        <is>
          <t>惠州</t>
        </is>
      </c>
      <c r="F54" s="35" t="n">
        <v>1098.8</v>
      </c>
      <c r="G54" s="35" t="n">
        <v>918.6</v>
      </c>
      <c r="H54" s="32" t="n">
        <v>0.164</v>
      </c>
      <c r="I54" s="32" t="n">
        <v>0.163</v>
      </c>
      <c r="J54" s="16" t="n">
        <v>3</v>
      </c>
      <c r="K54" s="16" t="inlineStr">
        <is>
          <t>补货及时</t>
        </is>
      </c>
    </row>
    <row r="55">
      <c r="A55" s="16" t="inlineStr">
        <is>
          <t>DH-2508-0051</t>
        </is>
      </c>
      <c r="B55" s="34" t="n">
        <v>45945</v>
      </c>
      <c r="C55" s="16" t="inlineStr">
        <is>
          <t>NY-KW-2508-002</t>
        </is>
      </c>
      <c r="D55" s="16" t="inlineStr">
        <is>
          <t>社区电商</t>
        </is>
      </c>
      <c r="E55" s="16" t="inlineStr">
        <is>
          <t>南宁</t>
        </is>
      </c>
      <c r="F55" s="35" t="n">
        <v>186.7</v>
      </c>
      <c r="G55" s="35" t="n">
        <v>166</v>
      </c>
      <c r="H55" s="32" t="n">
        <v>0.111</v>
      </c>
      <c r="I55" s="32" t="n">
        <v>0.129</v>
      </c>
      <c r="J55" s="16" t="n">
        <v>3.1</v>
      </c>
      <c r="K55" s="16" t="inlineStr">
        <is>
          <t>偏软反馈</t>
        </is>
      </c>
    </row>
    <row r="56">
      <c r="A56" s="16" t="inlineStr">
        <is>
          <t>DH-2508-0052</t>
        </is>
      </c>
      <c r="B56" s="34" t="n">
        <v>45941</v>
      </c>
      <c r="C56" s="16" t="inlineStr">
        <is>
          <t>NY-KW-2508-018</t>
        </is>
      </c>
      <c r="D56" s="16" t="inlineStr">
        <is>
          <t>连锁门店</t>
        </is>
      </c>
      <c r="E56" s="16" t="inlineStr">
        <is>
          <t>南宁</t>
        </is>
      </c>
      <c r="F56" s="35" t="n">
        <v>630.2</v>
      </c>
      <c r="G56" s="35" t="n">
        <v>552.7</v>
      </c>
      <c r="H56" s="32" t="n">
        <v>0.123</v>
      </c>
      <c r="I56" s="32" t="n">
        <v>0.122</v>
      </c>
      <c r="J56" s="16" t="n">
        <v>1.7</v>
      </c>
      <c r="K56" s="16" t="inlineStr">
        <is>
          <t>需关注货架期</t>
        </is>
      </c>
    </row>
    <row r="57">
      <c r="A57" s="16" t="inlineStr">
        <is>
          <t>DH-2508-0053</t>
        </is>
      </c>
      <c r="B57" s="34" t="n">
        <v>45910</v>
      </c>
      <c r="C57" s="16" t="inlineStr">
        <is>
          <t>NY-KW-2508-006</t>
        </is>
      </c>
      <c r="D57" s="16" t="inlineStr">
        <is>
          <t>批发客户</t>
        </is>
      </c>
      <c r="E57" s="16" t="inlineStr">
        <is>
          <t>广州</t>
        </is>
      </c>
      <c r="F57" s="35" t="n">
        <v>918.9</v>
      </c>
      <c r="G57" s="35" t="n">
        <v>843.6</v>
      </c>
      <c r="H57" s="32" t="n">
        <v>0.082</v>
      </c>
      <c r="I57" s="32" t="n">
        <v>0.109</v>
      </c>
      <c r="J57" s="16" t="n">
        <v>2.5</v>
      </c>
      <c r="K57" s="16" t="inlineStr">
        <is>
          <t>正常</t>
        </is>
      </c>
    </row>
    <row r="58">
      <c r="A58" s="16" t="inlineStr">
        <is>
          <t>DH-2508-0054</t>
        </is>
      </c>
      <c r="B58" s="34" t="n">
        <v>45938</v>
      </c>
      <c r="C58" s="16" t="inlineStr">
        <is>
          <t>NY-KW-2508-008</t>
        </is>
      </c>
      <c r="D58" s="16" t="inlineStr">
        <is>
          <t>连锁门店</t>
        </is>
      </c>
      <c r="E58" s="16" t="inlineStr">
        <is>
          <t>深圳</t>
        </is>
      </c>
      <c r="F58" s="35" t="n">
        <v>566.8</v>
      </c>
      <c r="G58" s="35" t="n">
        <v>497.1</v>
      </c>
      <c r="H58" s="32" t="n">
        <v>0.123</v>
      </c>
      <c r="I58" s="32" t="n">
        <v>0.065</v>
      </c>
      <c r="J58" s="16" t="n">
        <v>4.7</v>
      </c>
      <c r="K58" s="16" t="inlineStr">
        <is>
          <t>正常</t>
        </is>
      </c>
    </row>
    <row r="59">
      <c r="A59" s="16" t="inlineStr">
        <is>
          <t>DH-2508-0055</t>
        </is>
      </c>
      <c r="B59" s="34" t="n">
        <v>45913</v>
      </c>
      <c r="C59" s="16" t="inlineStr">
        <is>
          <t>NY-KW-2508-022</t>
        </is>
      </c>
      <c r="D59" s="16" t="inlineStr">
        <is>
          <t>社区电商</t>
        </is>
      </c>
      <c r="E59" s="16" t="inlineStr">
        <is>
          <t>深圳</t>
        </is>
      </c>
      <c r="F59" s="35" t="n">
        <v>308.7</v>
      </c>
      <c r="G59" s="35" t="n">
        <v>293.6</v>
      </c>
      <c r="H59" s="32" t="n">
        <v>0.049</v>
      </c>
      <c r="I59" s="32" t="n">
        <v>0.048</v>
      </c>
      <c r="J59" s="16" t="n">
        <v>3.5</v>
      </c>
      <c r="K59" s="16" t="inlineStr">
        <is>
          <t>动销慢</t>
        </is>
      </c>
    </row>
    <row r="60">
      <c r="A60" s="16" t="inlineStr">
        <is>
          <t>DH-2508-0056</t>
        </is>
      </c>
      <c r="B60" s="34" t="n">
        <v>45906</v>
      </c>
      <c r="C60" s="16" t="inlineStr">
        <is>
          <t>NY-KW-2508-006</t>
        </is>
      </c>
      <c r="D60" s="16" t="inlineStr">
        <is>
          <t>连锁门店</t>
        </is>
      </c>
      <c r="E60" s="16" t="inlineStr">
        <is>
          <t>深圳</t>
        </is>
      </c>
      <c r="F60" s="35" t="n">
        <v>835.3</v>
      </c>
      <c r="G60" s="35" t="n">
        <v>791</v>
      </c>
      <c r="H60" s="32" t="n">
        <v>0.053</v>
      </c>
      <c r="I60" s="32" t="n">
        <v>0.065</v>
      </c>
      <c r="J60" s="16" t="n">
        <v>4.4</v>
      </c>
      <c r="K60" s="16" t="inlineStr">
        <is>
          <t>正常</t>
        </is>
      </c>
    </row>
    <row r="61">
      <c r="A61" s="16" t="inlineStr">
        <is>
          <t>DH-2508-0057</t>
        </is>
      </c>
      <c r="B61" s="34" t="n">
        <v>45919</v>
      </c>
      <c r="C61" s="16" t="inlineStr">
        <is>
          <t>NY-KW-2508-020</t>
        </is>
      </c>
      <c r="D61" s="16" t="inlineStr">
        <is>
          <t>连锁门店</t>
        </is>
      </c>
      <c r="E61" s="16" t="inlineStr">
        <is>
          <t>惠州</t>
        </is>
      </c>
      <c r="F61" s="35" t="n">
        <v>477.2</v>
      </c>
      <c r="G61" s="35" t="n">
        <v>398</v>
      </c>
      <c r="H61" s="32" t="n">
        <v>0.166</v>
      </c>
      <c r="I61" s="32" t="n">
        <v>0.166</v>
      </c>
      <c r="J61" s="16" t="n">
        <v>3.9</v>
      </c>
      <c r="K61" s="16" t="inlineStr">
        <is>
          <t>补货及时</t>
        </is>
      </c>
    </row>
    <row r="62">
      <c r="A62" s="16" t="inlineStr">
        <is>
          <t>DH-2508-0058</t>
        </is>
      </c>
      <c r="B62" s="34" t="n">
        <v>45921</v>
      </c>
      <c r="C62" s="16" t="inlineStr">
        <is>
          <t>NY-KW-2508-020</t>
        </is>
      </c>
      <c r="D62" s="16" t="inlineStr">
        <is>
          <t>连锁门店</t>
        </is>
      </c>
      <c r="E62" s="16" t="inlineStr">
        <is>
          <t>珠海</t>
        </is>
      </c>
      <c r="F62" s="35" t="n">
        <v>248.2</v>
      </c>
      <c r="G62" s="35" t="n">
        <v>222.9</v>
      </c>
      <c r="H62" s="32" t="n">
        <v>0.102</v>
      </c>
      <c r="I62" s="32" t="n">
        <v>0.118</v>
      </c>
      <c r="J62" s="16" t="n">
        <v>4.7</v>
      </c>
      <c r="K62" s="16" t="inlineStr">
        <is>
          <t>需关注货架期</t>
        </is>
      </c>
    </row>
    <row r="63">
      <c r="A63" s="16" t="inlineStr">
        <is>
          <t>DH-2508-0059</t>
        </is>
      </c>
      <c r="B63" s="34" t="n">
        <v>45943</v>
      </c>
      <c r="C63" s="16" t="inlineStr">
        <is>
          <t>NY-KW-2508-002</t>
        </is>
      </c>
      <c r="D63" s="16" t="inlineStr">
        <is>
          <t>批发客户</t>
        </is>
      </c>
      <c r="E63" s="16" t="inlineStr">
        <is>
          <t>佛山</t>
        </is>
      </c>
      <c r="F63" s="35" t="n">
        <v>126</v>
      </c>
      <c r="G63" s="35" t="n">
        <v>113.3</v>
      </c>
      <c r="H63" s="32" t="n">
        <v>0.101</v>
      </c>
      <c r="I63" s="32" t="n">
        <v>0.13</v>
      </c>
      <c r="J63" s="16" t="n">
        <v>1.6</v>
      </c>
      <c r="K63" s="16" t="inlineStr">
        <is>
          <t>需关注货架期</t>
        </is>
      </c>
    </row>
    <row r="64">
      <c r="A64" s="16" t="inlineStr">
        <is>
          <t>DH-2508-0060</t>
        </is>
      </c>
      <c r="B64" s="34" t="n">
        <v>45950</v>
      </c>
      <c r="C64" s="16" t="inlineStr">
        <is>
          <t>NY-KW-2508-025</t>
        </is>
      </c>
      <c r="D64" s="16" t="inlineStr">
        <is>
          <t>批发客户</t>
        </is>
      </c>
      <c r="E64" s="16" t="inlineStr">
        <is>
          <t>惠州</t>
        </is>
      </c>
      <c r="F64" s="35" t="n">
        <v>934.8</v>
      </c>
      <c r="G64" s="35" t="n">
        <v>872.2</v>
      </c>
      <c r="H64" s="32" t="n">
        <v>0.067</v>
      </c>
      <c r="I64" s="32" t="n">
        <v>0.06900000000000001</v>
      </c>
      <c r="J64" s="16" t="n">
        <v>1.6</v>
      </c>
      <c r="K64" s="16" t="inlineStr">
        <is>
          <t>偏软反馈</t>
        </is>
      </c>
    </row>
    <row r="65">
      <c r="A65" s="16" t="inlineStr">
        <is>
          <t>DH-2508-0061</t>
        </is>
      </c>
      <c r="B65" s="34" t="n">
        <v>45907</v>
      </c>
      <c r="C65" s="16" t="inlineStr">
        <is>
          <t>NY-KW-2508-006</t>
        </is>
      </c>
      <c r="D65" s="16" t="inlineStr">
        <is>
          <t>连锁门店</t>
        </is>
      </c>
      <c r="E65" s="16" t="inlineStr">
        <is>
          <t>广州</t>
        </is>
      </c>
      <c r="F65" s="35" t="n">
        <v>768.7</v>
      </c>
      <c r="G65" s="35" t="n">
        <v>681.1</v>
      </c>
      <c r="H65" s="32" t="n">
        <v>0.114</v>
      </c>
      <c r="I65" s="32" t="n">
        <v>0.151</v>
      </c>
      <c r="J65" s="16" t="n">
        <v>3.8</v>
      </c>
      <c r="K65" s="16" t="inlineStr">
        <is>
          <t>补货及时</t>
        </is>
      </c>
    </row>
    <row r="66">
      <c r="A66" s="16" t="inlineStr">
        <is>
          <t>DH-2508-0062</t>
        </is>
      </c>
      <c r="B66" s="34" t="n">
        <v>45925</v>
      </c>
      <c r="C66" s="16" t="inlineStr">
        <is>
          <t>NY-KW-2508-011</t>
        </is>
      </c>
      <c r="D66" s="16" t="inlineStr">
        <is>
          <t>社区电商</t>
        </is>
      </c>
      <c r="E66" s="16" t="inlineStr">
        <is>
          <t>惠州</t>
        </is>
      </c>
      <c r="F66" s="35" t="n">
        <v>546.8</v>
      </c>
      <c r="G66" s="35" t="n">
        <v>511.8</v>
      </c>
      <c r="H66" s="32" t="n">
        <v>0.064</v>
      </c>
      <c r="I66" s="32" t="n">
        <v>0.034</v>
      </c>
      <c r="J66" s="16" t="n">
        <v>3.9</v>
      </c>
      <c r="K66" s="16" t="inlineStr">
        <is>
          <t>补货及时</t>
        </is>
      </c>
    </row>
    <row r="67">
      <c r="A67" s="16" t="inlineStr">
        <is>
          <t>DH-2508-0063</t>
        </is>
      </c>
      <c r="B67" s="34" t="n">
        <v>45904</v>
      </c>
      <c r="C67" s="16" t="inlineStr">
        <is>
          <t>NY-KW-2508-006</t>
        </is>
      </c>
      <c r="D67" s="16" t="inlineStr">
        <is>
          <t>批发客户</t>
        </is>
      </c>
      <c r="E67" s="16" t="inlineStr">
        <is>
          <t>珠海</t>
        </is>
      </c>
      <c r="F67" s="35" t="n">
        <v>1132.2</v>
      </c>
      <c r="G67" s="35" t="n">
        <v>994.1</v>
      </c>
      <c r="H67" s="32" t="n">
        <v>0.122</v>
      </c>
      <c r="I67" s="32" t="n">
        <v>0.161</v>
      </c>
      <c r="J67" s="16" t="n">
        <v>4</v>
      </c>
      <c r="K67" s="16" t="inlineStr">
        <is>
          <t>动销慢</t>
        </is>
      </c>
    </row>
    <row r="68">
      <c r="A68" s="16" t="inlineStr">
        <is>
          <t>DH-2508-0064</t>
        </is>
      </c>
      <c r="B68" s="34" t="n">
        <v>45913</v>
      </c>
      <c r="C68" s="16" t="inlineStr">
        <is>
          <t>NY-KW-2508-022</t>
        </is>
      </c>
      <c r="D68" s="16" t="inlineStr">
        <is>
          <t>连锁门店</t>
        </is>
      </c>
      <c r="E68" s="16" t="inlineStr">
        <is>
          <t>惠州</t>
        </is>
      </c>
      <c r="F68" s="35" t="n">
        <v>235.4</v>
      </c>
      <c r="G68" s="35" t="n">
        <v>216.3</v>
      </c>
      <c r="H68" s="32" t="n">
        <v>0.081</v>
      </c>
      <c r="I68" s="32" t="n">
        <v>0.073</v>
      </c>
      <c r="J68" s="16" t="n">
        <v>2.6</v>
      </c>
      <c r="K68" s="16" t="inlineStr">
        <is>
          <t>正常</t>
        </is>
      </c>
    </row>
    <row r="69">
      <c r="A69" s="16" t="inlineStr">
        <is>
          <t>DH-2508-0065</t>
        </is>
      </c>
      <c r="B69" s="34" t="n">
        <v>45930</v>
      </c>
      <c r="C69" s="16" t="inlineStr">
        <is>
          <t>NY-KW-2508-009</t>
        </is>
      </c>
      <c r="D69" s="16" t="inlineStr">
        <is>
          <t>企业团购</t>
        </is>
      </c>
      <c r="E69" s="16" t="inlineStr">
        <is>
          <t>深圳</t>
        </is>
      </c>
      <c r="F69" s="35" t="n">
        <v>937.5</v>
      </c>
      <c r="G69" s="35" t="n">
        <v>916.9</v>
      </c>
      <c r="H69" s="32" t="n">
        <v>0.022</v>
      </c>
      <c r="I69" s="32" t="n">
        <v>0.017</v>
      </c>
      <c r="J69" s="16" t="n">
        <v>2.8</v>
      </c>
      <c r="K69" s="16" t="inlineStr">
        <is>
          <t>补货及时</t>
        </is>
      </c>
    </row>
    <row r="70">
      <c r="A70" s="16" t="inlineStr">
        <is>
          <t>DH-2508-0066</t>
        </is>
      </c>
      <c r="B70" s="34" t="n">
        <v>45909</v>
      </c>
      <c r="C70" s="16" t="inlineStr">
        <is>
          <t>NY-KW-2508-006</t>
        </is>
      </c>
      <c r="D70" s="16" t="inlineStr">
        <is>
          <t>连锁门店</t>
        </is>
      </c>
      <c r="E70" s="16" t="inlineStr">
        <is>
          <t>惠州</t>
        </is>
      </c>
      <c r="F70" s="35" t="n">
        <v>1113.6</v>
      </c>
      <c r="G70" s="35" t="n">
        <v>1072.4</v>
      </c>
      <c r="H70" s="32" t="n">
        <v>0.037</v>
      </c>
      <c r="I70" s="32" t="n">
        <v>0.033</v>
      </c>
      <c r="J70" s="16" t="n">
        <v>3.9</v>
      </c>
      <c r="K70" s="16" t="inlineStr">
        <is>
          <t>需关注货架期</t>
        </is>
      </c>
    </row>
    <row r="71">
      <c r="A71" s="16" t="inlineStr">
        <is>
          <t>DH-2508-0067</t>
        </is>
      </c>
      <c r="B71" s="34" t="n">
        <v>45930</v>
      </c>
      <c r="C71" s="16" t="inlineStr">
        <is>
          <t>NY-KW-2508-007</t>
        </is>
      </c>
      <c r="D71" s="16" t="inlineStr">
        <is>
          <t>连锁门店</t>
        </is>
      </c>
      <c r="E71" s="16" t="inlineStr">
        <is>
          <t>南宁</t>
        </is>
      </c>
      <c r="F71" s="35" t="n">
        <v>705.7</v>
      </c>
      <c r="G71" s="35" t="n">
        <v>646.4</v>
      </c>
      <c r="H71" s="32" t="n">
        <v>0.08400000000000001</v>
      </c>
      <c r="I71" s="32" t="n">
        <v>0.109</v>
      </c>
      <c r="J71" s="16" t="n">
        <v>2</v>
      </c>
      <c r="K71" s="16" t="inlineStr">
        <is>
          <t>需关注货架期</t>
        </is>
      </c>
    </row>
    <row r="72">
      <c r="A72" s="16" t="inlineStr">
        <is>
          <t>DH-2508-0068</t>
        </is>
      </c>
      <c r="B72" s="34" t="n">
        <v>45902</v>
      </c>
      <c r="C72" s="16" t="inlineStr">
        <is>
          <t>NY-KW-2508-021</t>
        </is>
      </c>
      <c r="D72" s="16" t="inlineStr">
        <is>
          <t>批发客户</t>
        </is>
      </c>
      <c r="E72" s="16" t="inlineStr">
        <is>
          <t>珠海</t>
        </is>
      </c>
      <c r="F72" s="35" t="n">
        <v>285.7</v>
      </c>
      <c r="G72" s="35" t="n">
        <v>245.1</v>
      </c>
      <c r="H72" s="32" t="n">
        <v>0.142</v>
      </c>
      <c r="I72" s="32" t="n">
        <v>0.183</v>
      </c>
      <c r="J72" s="16" t="n">
        <v>2.7</v>
      </c>
      <c r="K72" s="16" t="inlineStr">
        <is>
          <t>偏软反馈</t>
        </is>
      </c>
    </row>
    <row r="73">
      <c r="A73" s="16" t="inlineStr">
        <is>
          <t>DH-2508-0069</t>
        </is>
      </c>
      <c r="B73" s="34" t="n">
        <v>45925</v>
      </c>
      <c r="C73" s="16" t="inlineStr">
        <is>
          <t>NY-KW-2508-011</t>
        </is>
      </c>
      <c r="D73" s="16" t="inlineStr">
        <is>
          <t>连锁门店</t>
        </is>
      </c>
      <c r="E73" s="16" t="inlineStr">
        <is>
          <t>惠州</t>
        </is>
      </c>
      <c r="F73" s="35" t="n">
        <v>713.9</v>
      </c>
      <c r="G73" s="35" t="n">
        <v>633.2</v>
      </c>
      <c r="H73" s="32" t="n">
        <v>0.113</v>
      </c>
      <c r="I73" s="32" t="n">
        <v>0.114</v>
      </c>
      <c r="J73" s="16" t="n">
        <v>2.9</v>
      </c>
      <c r="K73" s="16" t="inlineStr">
        <is>
          <t>补货及时</t>
        </is>
      </c>
    </row>
    <row r="74">
      <c r="A74" s="16" t="inlineStr">
        <is>
          <t>DH-2508-0070</t>
        </is>
      </c>
      <c r="B74" s="34" t="n">
        <v>45942</v>
      </c>
      <c r="C74" s="16" t="inlineStr">
        <is>
          <t>NY-KW-2508-013</t>
        </is>
      </c>
      <c r="D74" s="16" t="inlineStr">
        <is>
          <t>社区电商</t>
        </is>
      </c>
      <c r="E74" s="16" t="inlineStr">
        <is>
          <t>广州</t>
        </is>
      </c>
      <c r="F74" s="35" t="n">
        <v>935.7</v>
      </c>
      <c r="G74" s="35" t="n">
        <v>803.8</v>
      </c>
      <c r="H74" s="32" t="n">
        <v>0.141</v>
      </c>
      <c r="I74" s="32" t="n">
        <v>0.07199999999999999</v>
      </c>
      <c r="J74" s="16" t="n">
        <v>1.7</v>
      </c>
      <c r="K74" s="16" t="inlineStr">
        <is>
          <t>偏软反馈</t>
        </is>
      </c>
    </row>
    <row r="75">
      <c r="A75" s="16" t="inlineStr">
        <is>
          <t>DH-2508-0071</t>
        </is>
      </c>
      <c r="B75" s="34" t="n">
        <v>45941</v>
      </c>
      <c r="C75" s="16" t="inlineStr">
        <is>
          <t>NY-KW-2508-018</t>
        </is>
      </c>
      <c r="D75" s="16" t="inlineStr">
        <is>
          <t>连锁门店</t>
        </is>
      </c>
      <c r="E75" s="16" t="inlineStr">
        <is>
          <t>惠州</t>
        </is>
      </c>
      <c r="F75" s="35" t="n">
        <v>734.7</v>
      </c>
      <c r="G75" s="35" t="n">
        <v>686.2</v>
      </c>
      <c r="H75" s="32" t="n">
        <v>0.066</v>
      </c>
      <c r="I75" s="32" t="n">
        <v>0.055</v>
      </c>
      <c r="J75" s="16" t="n">
        <v>3.7</v>
      </c>
      <c r="K75" s="16" t="inlineStr">
        <is>
          <t>补货及时</t>
        </is>
      </c>
    </row>
    <row r="76">
      <c r="A76" s="16" t="inlineStr">
        <is>
          <t>DH-2508-0072</t>
        </is>
      </c>
      <c r="B76" s="34" t="n">
        <v>45948</v>
      </c>
      <c r="C76" s="16" t="inlineStr">
        <is>
          <t>NY-KW-2508-025</t>
        </is>
      </c>
      <c r="D76" s="16" t="inlineStr">
        <is>
          <t>批发客户</t>
        </is>
      </c>
      <c r="E76" s="16" t="inlineStr">
        <is>
          <t>深圳</t>
        </is>
      </c>
      <c r="F76" s="35" t="n">
        <v>599.1</v>
      </c>
      <c r="G76" s="35" t="n">
        <v>503.8</v>
      </c>
      <c r="H76" s="32" t="n">
        <v>0.159</v>
      </c>
      <c r="I76" s="32" t="n">
        <v>0.204</v>
      </c>
      <c r="J76" s="16" t="n">
        <v>2.8</v>
      </c>
      <c r="K76" s="16" t="inlineStr">
        <is>
          <t>正常</t>
        </is>
      </c>
    </row>
    <row r="77">
      <c r="A77" s="16" t="inlineStr">
        <is>
          <t>DH-2508-0073</t>
        </is>
      </c>
      <c r="B77" s="34" t="n">
        <v>45910</v>
      </c>
      <c r="C77" s="16" t="inlineStr">
        <is>
          <t>NY-KW-2508-027</t>
        </is>
      </c>
      <c r="D77" s="16" t="inlineStr">
        <is>
          <t>批发客户</t>
        </is>
      </c>
      <c r="E77" s="16" t="inlineStr">
        <is>
          <t>惠州</t>
        </is>
      </c>
      <c r="F77" s="35" t="n">
        <v>1077.2</v>
      </c>
      <c r="G77" s="35" t="n">
        <v>947.9</v>
      </c>
      <c r="H77" s="32" t="n">
        <v>0.12</v>
      </c>
      <c r="I77" s="32" t="n">
        <v>0.08400000000000001</v>
      </c>
      <c r="J77" s="16" t="n">
        <v>4.6</v>
      </c>
      <c r="K77" s="16" t="inlineStr">
        <is>
          <t>补货及时</t>
        </is>
      </c>
    </row>
    <row r="78">
      <c r="A78" s="16" t="inlineStr">
        <is>
          <t>DH-2508-0074</t>
        </is>
      </c>
      <c r="B78" s="34" t="n">
        <v>45917</v>
      </c>
      <c r="C78" s="16" t="inlineStr">
        <is>
          <t>NY-KW-2508-023</t>
        </is>
      </c>
      <c r="D78" s="16" t="inlineStr">
        <is>
          <t>企业团购</t>
        </is>
      </c>
      <c r="E78" s="16" t="inlineStr">
        <is>
          <t>深圳</t>
        </is>
      </c>
      <c r="F78" s="35" t="n">
        <v>771.1</v>
      </c>
      <c r="G78" s="35" t="n">
        <v>635.4</v>
      </c>
      <c r="H78" s="32" t="n">
        <v>0.176</v>
      </c>
      <c r="I78" s="32" t="n">
        <v>0.123</v>
      </c>
      <c r="J78" s="16" t="n">
        <v>3.1</v>
      </c>
      <c r="K78" s="16" t="inlineStr">
        <is>
          <t>需关注货架期</t>
        </is>
      </c>
    </row>
    <row r="79">
      <c r="A79" s="16" t="inlineStr">
        <is>
          <t>DH-2508-0075</t>
        </is>
      </c>
      <c r="B79" s="34" t="n">
        <v>45909</v>
      </c>
      <c r="C79" s="16" t="inlineStr">
        <is>
          <t>NY-KW-2508-006</t>
        </is>
      </c>
      <c r="D79" s="16" t="inlineStr">
        <is>
          <t>连锁门店</t>
        </is>
      </c>
      <c r="E79" s="16" t="inlineStr">
        <is>
          <t>东莞</t>
        </is>
      </c>
      <c r="F79" s="35" t="n">
        <v>540</v>
      </c>
      <c r="G79" s="35" t="n">
        <v>521.1</v>
      </c>
      <c r="H79" s="32" t="n">
        <v>0.035</v>
      </c>
      <c r="I79" s="32" t="n">
        <v>0.035</v>
      </c>
      <c r="J79" s="16" t="n">
        <v>4.3</v>
      </c>
      <c r="K79" s="16" t="inlineStr">
        <is>
          <t>需关注货架期</t>
        </is>
      </c>
    </row>
    <row r="80">
      <c r="A80" s="16" t="inlineStr">
        <is>
          <t>DH-2508-0076</t>
        </is>
      </c>
      <c r="B80" s="34" t="n">
        <v>45948</v>
      </c>
      <c r="C80" s="16" t="inlineStr">
        <is>
          <t>NY-KW-2508-025</t>
        </is>
      </c>
      <c r="D80" s="16" t="inlineStr">
        <is>
          <t>连锁门店</t>
        </is>
      </c>
      <c r="E80" s="16" t="inlineStr">
        <is>
          <t>佛山</t>
        </is>
      </c>
      <c r="F80" s="35" t="n">
        <v>1101</v>
      </c>
      <c r="G80" s="35" t="n">
        <v>1033.8</v>
      </c>
      <c r="H80" s="32" t="n">
        <v>0.061</v>
      </c>
      <c r="I80" s="32" t="n">
        <v>0.07199999999999999</v>
      </c>
      <c r="J80" s="16" t="n">
        <v>2.9</v>
      </c>
      <c r="K80" s="16" t="inlineStr">
        <is>
          <t>补货及时</t>
        </is>
      </c>
    </row>
    <row r="81">
      <c r="A81" s="16" t="inlineStr">
        <is>
          <t>DH-2508-0077</t>
        </is>
      </c>
      <c r="B81" s="34" t="n">
        <v>45899</v>
      </c>
      <c r="C81" s="16" t="inlineStr">
        <is>
          <t>NY-KW-2508-001</t>
        </is>
      </c>
      <c r="D81" s="16" t="inlineStr">
        <is>
          <t>批发客户</t>
        </is>
      </c>
      <c r="E81" s="16" t="inlineStr">
        <is>
          <t>佛山</t>
        </is>
      </c>
      <c r="F81" s="35" t="n">
        <v>1157.1</v>
      </c>
      <c r="G81" s="35" t="n">
        <v>1041.4</v>
      </c>
      <c r="H81" s="32" t="n">
        <v>0.1</v>
      </c>
      <c r="I81" s="32" t="n">
        <v>0.057</v>
      </c>
      <c r="J81" s="16" t="n">
        <v>4.7</v>
      </c>
      <c r="K81" s="16" t="inlineStr">
        <is>
          <t>正常</t>
        </is>
      </c>
    </row>
    <row r="82">
      <c r="A82" s="16" t="inlineStr">
        <is>
          <t>DH-2508-0078</t>
        </is>
      </c>
      <c r="B82" s="34" t="n">
        <v>45945</v>
      </c>
      <c r="C82" s="16" t="inlineStr">
        <is>
          <t>NY-KW-2508-018</t>
        </is>
      </c>
      <c r="D82" s="16" t="inlineStr">
        <is>
          <t>连锁门店</t>
        </is>
      </c>
      <c r="E82" s="16" t="inlineStr">
        <is>
          <t>深圳</t>
        </is>
      </c>
      <c r="F82" s="35" t="n">
        <v>236.7</v>
      </c>
      <c r="G82" s="35" t="n">
        <v>198.8</v>
      </c>
      <c r="H82" s="32" t="n">
        <v>0.16</v>
      </c>
      <c r="I82" s="32" t="n">
        <v>0.189</v>
      </c>
      <c r="J82" s="16" t="n">
        <v>2.5</v>
      </c>
      <c r="K82" s="16" t="inlineStr">
        <is>
          <t>偏软反馈</t>
        </is>
      </c>
    </row>
    <row r="83">
      <c r="A83" s="16" t="inlineStr">
        <is>
          <t>DH-2508-0079</t>
        </is>
      </c>
      <c r="B83" s="34" t="n">
        <v>45937</v>
      </c>
      <c r="C83" s="16" t="inlineStr">
        <is>
          <t>NY-KW-2508-017</t>
        </is>
      </c>
      <c r="D83" s="16" t="inlineStr">
        <is>
          <t>连锁门店</t>
        </is>
      </c>
      <c r="E83" s="16" t="inlineStr">
        <is>
          <t>广州</t>
        </is>
      </c>
      <c r="F83" s="35" t="n">
        <v>469.8</v>
      </c>
      <c r="G83" s="35" t="n">
        <v>456.6</v>
      </c>
      <c r="H83" s="32" t="n">
        <v>0.028</v>
      </c>
      <c r="I83" s="32" t="n">
        <v>0.018</v>
      </c>
      <c r="J83" s="16" t="n">
        <v>1.7</v>
      </c>
      <c r="K83" s="16" t="inlineStr">
        <is>
          <t>正常</t>
        </is>
      </c>
    </row>
    <row r="84">
      <c r="A84" s="16" t="inlineStr">
        <is>
          <t>DH-2508-0080</t>
        </is>
      </c>
      <c r="B84" s="34" t="n">
        <v>45925</v>
      </c>
      <c r="C84" s="16" t="inlineStr">
        <is>
          <t>NY-KW-2508-024</t>
        </is>
      </c>
      <c r="D84" s="16" t="inlineStr">
        <is>
          <t>社区电商</t>
        </is>
      </c>
      <c r="E84" s="16" t="inlineStr">
        <is>
          <t>惠州</t>
        </is>
      </c>
      <c r="F84" s="35" t="n">
        <v>1070</v>
      </c>
      <c r="G84" s="35" t="n">
        <v>911.6</v>
      </c>
      <c r="H84" s="32" t="n">
        <v>0.148</v>
      </c>
      <c r="I84" s="32" t="n">
        <v>0.168</v>
      </c>
      <c r="J84" s="16" t="n">
        <v>4.7</v>
      </c>
      <c r="K84" s="16" t="inlineStr">
        <is>
          <t>需关注货架期</t>
        </is>
      </c>
    </row>
    <row r="85">
      <c r="A85" s="16" t="inlineStr">
        <is>
          <t>DH-2508-0081</t>
        </is>
      </c>
      <c r="B85" s="34" t="n">
        <v>45936</v>
      </c>
      <c r="C85" s="16" t="inlineStr">
        <is>
          <t>NY-KW-2508-005</t>
        </is>
      </c>
      <c r="D85" s="16" t="inlineStr">
        <is>
          <t>连锁门店</t>
        </is>
      </c>
      <c r="E85" s="16" t="inlineStr">
        <is>
          <t>惠州</t>
        </is>
      </c>
      <c r="F85" s="35" t="n">
        <v>437.1</v>
      </c>
      <c r="G85" s="35" t="n">
        <v>406.1</v>
      </c>
      <c r="H85" s="32" t="n">
        <v>0.07099999999999999</v>
      </c>
      <c r="I85" s="32" t="n">
        <v>0.041</v>
      </c>
      <c r="J85" s="16" t="n">
        <v>3.2</v>
      </c>
      <c r="K85" s="16" t="inlineStr">
        <is>
          <t>需关注货架期</t>
        </is>
      </c>
    </row>
    <row r="86">
      <c r="A86" s="16" t="inlineStr">
        <is>
          <t>DH-2508-0082</t>
        </is>
      </c>
      <c r="B86" s="34" t="n">
        <v>45938</v>
      </c>
      <c r="C86" s="16" t="inlineStr">
        <is>
          <t>NY-KW-2508-014</t>
        </is>
      </c>
      <c r="D86" s="16" t="inlineStr">
        <is>
          <t>社区电商</t>
        </is>
      </c>
      <c r="E86" s="16" t="inlineStr">
        <is>
          <t>东莞</t>
        </is>
      </c>
      <c r="F86" s="35" t="n">
        <v>992.3</v>
      </c>
      <c r="G86" s="35" t="n">
        <v>891.1</v>
      </c>
      <c r="H86" s="32" t="n">
        <v>0.102</v>
      </c>
      <c r="I86" s="32" t="n">
        <v>0.101</v>
      </c>
      <c r="J86" s="16" t="n">
        <v>4.3</v>
      </c>
      <c r="K86" s="16" t="inlineStr">
        <is>
          <t>正常</t>
        </is>
      </c>
    </row>
    <row r="87">
      <c r="A87" s="16" t="inlineStr">
        <is>
          <t>DH-2508-0083</t>
        </is>
      </c>
      <c r="B87" s="34" t="n">
        <v>45940</v>
      </c>
      <c r="C87" s="16" t="inlineStr">
        <is>
          <t>NY-KW-2508-013</t>
        </is>
      </c>
      <c r="D87" s="16" t="inlineStr">
        <is>
          <t>连锁门店</t>
        </is>
      </c>
      <c r="E87" s="16" t="inlineStr">
        <is>
          <t>佛山</t>
        </is>
      </c>
      <c r="F87" s="35" t="n">
        <v>1195.9</v>
      </c>
      <c r="G87" s="35" t="n">
        <v>1036.8</v>
      </c>
      <c r="H87" s="32" t="n">
        <v>0.133</v>
      </c>
      <c r="I87" s="32" t="n">
        <v>0.08400000000000001</v>
      </c>
      <c r="J87" s="16" t="n">
        <v>1.8</v>
      </c>
      <c r="K87" s="16" t="inlineStr">
        <is>
          <t>正常</t>
        </is>
      </c>
    </row>
    <row r="88">
      <c r="A88" s="16" t="inlineStr">
        <is>
          <t>DH-2508-0084</t>
        </is>
      </c>
      <c r="B88" s="34" t="n">
        <v>45920</v>
      </c>
      <c r="C88" s="16" t="inlineStr">
        <is>
          <t>NY-KW-2508-012</t>
        </is>
      </c>
      <c r="D88" s="16" t="inlineStr">
        <is>
          <t>社区电商</t>
        </is>
      </c>
      <c r="E88" s="16" t="inlineStr">
        <is>
          <t>佛山</t>
        </is>
      </c>
      <c r="F88" s="35" t="n">
        <v>292.4</v>
      </c>
      <c r="G88" s="35" t="n">
        <v>272.8</v>
      </c>
      <c r="H88" s="32" t="n">
        <v>0.067</v>
      </c>
      <c r="I88" s="32" t="n">
        <v>0.083</v>
      </c>
      <c r="J88" s="16" t="n">
        <v>2.5</v>
      </c>
      <c r="K88" s="16" t="inlineStr">
        <is>
          <t>需关注货架期</t>
        </is>
      </c>
    </row>
    <row r="89">
      <c r="A89" s="16" t="inlineStr">
        <is>
          <t>DH-2508-0085</t>
        </is>
      </c>
      <c r="B89" s="34" t="n">
        <v>45945</v>
      </c>
      <c r="C89" s="16" t="inlineStr">
        <is>
          <t>NY-KW-2508-013</t>
        </is>
      </c>
      <c r="D89" s="16" t="inlineStr">
        <is>
          <t>社区电商</t>
        </is>
      </c>
      <c r="E89" s="16" t="inlineStr">
        <is>
          <t>东莞</t>
        </is>
      </c>
      <c r="F89" s="35" t="n">
        <v>448.8</v>
      </c>
      <c r="G89" s="35" t="n">
        <v>395.4</v>
      </c>
      <c r="H89" s="32" t="n">
        <v>0.119</v>
      </c>
      <c r="I89" s="32" t="n">
        <v>0.127</v>
      </c>
      <c r="J89" s="16" t="n">
        <v>2.3</v>
      </c>
      <c r="K89" s="16" t="inlineStr">
        <is>
          <t>偏软反馈</t>
        </is>
      </c>
    </row>
    <row r="90">
      <c r="A90" s="16" t="inlineStr">
        <is>
          <t>DH-2508-0086</t>
        </is>
      </c>
      <c r="B90" s="34" t="n">
        <v>45930</v>
      </c>
      <c r="C90" s="16" t="inlineStr">
        <is>
          <t>NY-KW-2508-007</t>
        </is>
      </c>
      <c r="D90" s="16" t="inlineStr">
        <is>
          <t>连锁门店</t>
        </is>
      </c>
      <c r="E90" s="16" t="inlineStr">
        <is>
          <t>珠海</t>
        </is>
      </c>
      <c r="F90" s="35" t="n">
        <v>315.2</v>
      </c>
      <c r="G90" s="35" t="n">
        <v>263.8</v>
      </c>
      <c r="H90" s="32" t="n">
        <v>0.163</v>
      </c>
      <c r="I90" s="32" t="n">
        <v>0.195</v>
      </c>
      <c r="J90" s="16" t="n">
        <v>4.7</v>
      </c>
      <c r="K90" s="16" t="inlineStr">
        <is>
          <t>需关注货架期</t>
        </is>
      </c>
    </row>
    <row r="91">
      <c r="A91" s="16" t="inlineStr">
        <is>
          <t>DH-2508-0087</t>
        </is>
      </c>
      <c r="B91" s="34" t="n">
        <v>45939</v>
      </c>
      <c r="C91" s="16" t="inlineStr">
        <is>
          <t>NY-KW-2508-008</t>
        </is>
      </c>
      <c r="D91" s="16" t="inlineStr">
        <is>
          <t>连锁门店</t>
        </is>
      </c>
      <c r="E91" s="16" t="inlineStr">
        <is>
          <t>南宁</t>
        </is>
      </c>
      <c r="F91" s="35" t="n">
        <v>607.7</v>
      </c>
      <c r="G91" s="35" t="n">
        <v>533.6</v>
      </c>
      <c r="H91" s="32" t="n">
        <v>0.122</v>
      </c>
      <c r="I91" s="32" t="n">
        <v>0.136</v>
      </c>
      <c r="J91" s="16" t="n">
        <v>1.6</v>
      </c>
      <c r="K91" s="16" t="inlineStr">
        <is>
          <t>偏软反馈</t>
        </is>
      </c>
    </row>
    <row r="92">
      <c r="A92" s="16" t="inlineStr">
        <is>
          <t>DH-2508-0088</t>
        </is>
      </c>
      <c r="B92" s="34" t="n">
        <v>45911</v>
      </c>
      <c r="C92" s="16" t="inlineStr">
        <is>
          <t>NY-KW-2508-026</t>
        </is>
      </c>
      <c r="D92" s="16" t="inlineStr">
        <is>
          <t>社区电商</t>
        </is>
      </c>
      <c r="E92" s="16" t="inlineStr">
        <is>
          <t>珠海</t>
        </is>
      </c>
      <c r="F92" s="35" t="n">
        <v>623.5</v>
      </c>
      <c r="G92" s="35" t="n">
        <v>521.2</v>
      </c>
      <c r="H92" s="32" t="n">
        <v>0.164</v>
      </c>
      <c r="I92" s="32" t="n">
        <v>0.192</v>
      </c>
      <c r="J92" s="16" t="n">
        <v>2.2</v>
      </c>
      <c r="K92" s="16" t="inlineStr">
        <is>
          <t>偏软反馈</t>
        </is>
      </c>
    </row>
    <row r="93">
      <c r="A93" s="16" t="inlineStr">
        <is>
          <t>DH-2508-0089</t>
        </is>
      </c>
      <c r="B93" s="34" t="n">
        <v>45924</v>
      </c>
      <c r="C93" s="16" t="inlineStr">
        <is>
          <t>NY-KW-2508-020</t>
        </is>
      </c>
      <c r="D93" s="16" t="inlineStr">
        <is>
          <t>连锁门店</t>
        </is>
      </c>
      <c r="E93" s="16" t="inlineStr">
        <is>
          <t>南宁</t>
        </is>
      </c>
      <c r="F93" s="35" t="n">
        <v>1100.9</v>
      </c>
      <c r="G93" s="35" t="n">
        <v>1000.7</v>
      </c>
      <c r="H93" s="32" t="n">
        <v>0.091</v>
      </c>
      <c r="I93" s="32" t="n">
        <v>0.057</v>
      </c>
      <c r="J93" s="16" t="n">
        <v>3.1</v>
      </c>
      <c r="K93" s="16" t="inlineStr">
        <is>
          <t>偏软反馈</t>
        </is>
      </c>
    </row>
    <row r="94">
      <c r="A94" s="16" t="inlineStr">
        <is>
          <t>DH-2508-0090</t>
        </is>
      </c>
      <c r="B94" s="34" t="n">
        <v>45925</v>
      </c>
      <c r="C94" s="16" t="inlineStr">
        <is>
          <t>NY-KW-2508-019</t>
        </is>
      </c>
      <c r="D94" s="16" t="inlineStr">
        <is>
          <t>社区电商</t>
        </is>
      </c>
      <c r="E94" s="16" t="inlineStr">
        <is>
          <t>南宁</t>
        </is>
      </c>
      <c r="F94" s="35" t="n">
        <v>154.5</v>
      </c>
      <c r="G94" s="35" t="n">
        <v>142.1</v>
      </c>
      <c r="H94" s="32" t="n">
        <v>0.08</v>
      </c>
      <c r="I94" s="32" t="n">
        <v>0.101</v>
      </c>
      <c r="J94" s="16" t="n">
        <v>2.2</v>
      </c>
      <c r="K94" s="16" t="inlineStr">
        <is>
          <t>偏软反馈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15" customWidth="1" min="11" max="11"/>
    <col width="17" customWidth="1" min="12" max="12"/>
    <col width="14" customWidth="1" min="13" max="13"/>
  </cols>
  <sheetData>
    <row r="1" ht="28" customHeight="1">
      <c r="A1" s="3" t="inlineStr">
        <is>
          <t>批次对账</t>
        </is>
      </c>
    </row>
    <row r="2" ht="32" customHeight="1">
      <c r="A2" s="7" t="inlineStr">
        <is>
          <t>以采购批次号为主键连接库存、报损、销售、冷链、质检和渠道数据；余额差异用于识别记录口径或覆盖范围问题。</t>
        </is>
      </c>
    </row>
    <row r="4" ht="30" customHeight="1">
      <c r="A4" s="13" t="inlineStr">
        <is>
          <t>批次号</t>
        </is>
      </c>
      <c r="B4" s="13" t="inlineStr">
        <is>
          <t>采购到货kg</t>
        </is>
      </c>
      <c r="C4" s="13" t="inlineStr">
        <is>
          <t>库存入库kg</t>
        </is>
      </c>
      <c r="D4" s="13" t="inlineStr">
        <is>
          <t>库存出库kg</t>
        </is>
      </c>
      <c r="E4" s="13" t="inlineStr">
        <is>
          <t>库存报损kg</t>
        </is>
      </c>
      <c r="F4" s="13" t="inlineStr">
        <is>
          <t>末笔期末库存kg</t>
        </is>
      </c>
      <c r="G4" s="13" t="inlineStr">
        <is>
          <t>库存平衡差异kg</t>
        </is>
      </c>
      <c r="H4" s="13" t="inlineStr">
        <is>
          <t>销售kg</t>
        </is>
      </c>
      <c r="I4" s="13" t="inlineStr">
        <is>
          <t>销售/出库覆盖率</t>
        </is>
      </c>
      <c r="J4" s="13" t="inlineStr">
        <is>
          <t>成熟相关问题kg</t>
        </is>
      </c>
      <c r="K4" s="13" t="inlineStr">
        <is>
          <t>冷链超温小时</t>
        </is>
      </c>
      <c r="L4" s="13" t="inlineStr">
        <is>
          <t>最低抽检硬度kgf</t>
        </is>
      </c>
      <c r="M4" s="13" t="inlineStr">
        <is>
          <t>渠道到货kg</t>
        </is>
      </c>
    </row>
    <row r="5">
      <c r="A5" s="16" t="inlineStr">
        <is>
          <t>NY-KW-2508-001</t>
        </is>
      </c>
      <c r="B5" s="35">
        <f>SUMIF('采购批次'!$A$5:$A$32,A5,'采购批次'!$G$5:$G$32)</f>
        <v/>
      </c>
      <c r="C5" s="35">
        <f>SUMIF('库存流水'!$B$5:$B$207,A5,'库存流水'!$E$5:$E$207)</f>
        <v/>
      </c>
      <c r="D5" s="35">
        <f>SUMIF('库存流水'!$B$5:$B$207,A5,'库存流水'!$F$5:$F$207)</f>
        <v/>
      </c>
      <c r="E5" s="35">
        <f>SUMIF('库存流水'!$B$5:$B$207,A5,'库存流水'!$G$5:$G$207)</f>
        <v/>
      </c>
      <c r="F5" s="35">
        <f>SUMIFS('库存流水'!$H$5:$H$207,'库存流水'!$B$5:$B$207,A5,'库存流水'!$L$5:$L$207,1)</f>
        <v/>
      </c>
      <c r="G5" s="35">
        <f>B5-D5-E5-F5</f>
        <v/>
      </c>
      <c r="H5" s="35">
        <f>SUMIF('销售流水'!$C$5:$C$203,A5,'销售流水'!$F$5:$F$203)</f>
        <v/>
      </c>
      <c r="I5" s="32">
        <f>IF(D5=0,0,H5/D5)</f>
        <v/>
      </c>
      <c r="J5" s="35">
        <f>SUMIFS('报损折价'!$F$5:$F$79,'报损折价'!$C$5:$C$79,A5,'报损折价'!$J$5:$J$79,"是")</f>
        <v/>
      </c>
      <c r="K5" s="35">
        <f>SUMIF('冷链温控'!$A$5:$A$144,A5,'冷链温控'!$H$5:$H$144)</f>
        <v/>
      </c>
      <c r="L5" s="35">
        <f>MINIFS('质检抽检'!$E$5:$E$144,'质检抽检'!$B$5:$B$144,A5)</f>
        <v/>
      </c>
      <c r="M5" s="35">
        <f>SUMIF('渠道动销'!$C$5:$C$94,A5,'渠道动销'!$F$5:$F$94)</f>
        <v/>
      </c>
    </row>
    <row r="6">
      <c r="A6" s="16" t="inlineStr">
        <is>
          <t>NY-KW-2508-002</t>
        </is>
      </c>
      <c r="B6" s="35">
        <f>SUMIF('采购批次'!$A$5:$A$32,A6,'采购批次'!$G$5:$G$32)</f>
        <v/>
      </c>
      <c r="C6" s="35">
        <f>SUMIF('库存流水'!$B$5:$B$207,A6,'库存流水'!$E$5:$E$207)</f>
        <v/>
      </c>
      <c r="D6" s="35">
        <f>SUMIF('库存流水'!$B$5:$B$207,A6,'库存流水'!$F$5:$F$207)</f>
        <v/>
      </c>
      <c r="E6" s="35">
        <f>SUMIF('库存流水'!$B$5:$B$207,A6,'库存流水'!$G$5:$G$207)</f>
        <v/>
      </c>
      <c r="F6" s="35">
        <f>SUMIFS('库存流水'!$H$5:$H$207,'库存流水'!$B$5:$B$207,A6,'库存流水'!$L$5:$L$207,1)</f>
        <v/>
      </c>
      <c r="G6" s="35">
        <f>B6-D6-E6-F6</f>
        <v/>
      </c>
      <c r="H6" s="35">
        <f>SUMIF('销售流水'!$C$5:$C$203,A6,'销售流水'!$F$5:$F$203)</f>
        <v/>
      </c>
      <c r="I6" s="32">
        <f>IF(D6=0,0,H6/D6)</f>
        <v/>
      </c>
      <c r="J6" s="35">
        <f>SUMIFS('报损折价'!$F$5:$F$79,'报损折价'!$C$5:$C$79,A6,'报损折价'!$J$5:$J$79,"是")</f>
        <v/>
      </c>
      <c r="K6" s="35">
        <f>SUMIF('冷链温控'!$A$5:$A$144,A6,'冷链温控'!$H$5:$H$144)</f>
        <v/>
      </c>
      <c r="L6" s="35">
        <f>MINIFS('质检抽检'!$E$5:$E$144,'质检抽检'!$B$5:$B$144,A6)</f>
        <v/>
      </c>
      <c r="M6" s="35">
        <f>SUMIF('渠道动销'!$C$5:$C$94,A6,'渠道动销'!$F$5:$F$94)</f>
        <v/>
      </c>
    </row>
    <row r="7">
      <c r="A7" s="16" t="inlineStr">
        <is>
          <t>NY-KW-2508-003</t>
        </is>
      </c>
      <c r="B7" s="35">
        <f>SUMIF('采购批次'!$A$5:$A$32,A7,'采购批次'!$G$5:$G$32)</f>
        <v/>
      </c>
      <c r="C7" s="35">
        <f>SUMIF('库存流水'!$B$5:$B$207,A7,'库存流水'!$E$5:$E$207)</f>
        <v/>
      </c>
      <c r="D7" s="35">
        <f>SUMIF('库存流水'!$B$5:$B$207,A7,'库存流水'!$F$5:$F$207)</f>
        <v/>
      </c>
      <c r="E7" s="35">
        <f>SUMIF('库存流水'!$B$5:$B$207,A7,'库存流水'!$G$5:$G$207)</f>
        <v/>
      </c>
      <c r="F7" s="35">
        <f>SUMIFS('库存流水'!$H$5:$H$207,'库存流水'!$B$5:$B$207,A7,'库存流水'!$L$5:$L$207,1)</f>
        <v/>
      </c>
      <c r="G7" s="35">
        <f>B7-D7-E7-F7</f>
        <v/>
      </c>
      <c r="H7" s="35">
        <f>SUMIF('销售流水'!$C$5:$C$203,A7,'销售流水'!$F$5:$F$203)</f>
        <v/>
      </c>
      <c r="I7" s="32">
        <f>IF(D7=0,0,H7/D7)</f>
        <v/>
      </c>
      <c r="J7" s="35">
        <f>SUMIFS('报损折价'!$F$5:$F$79,'报损折价'!$C$5:$C$79,A7,'报损折价'!$J$5:$J$79,"是")</f>
        <v/>
      </c>
      <c r="K7" s="35">
        <f>SUMIF('冷链温控'!$A$5:$A$144,A7,'冷链温控'!$H$5:$H$144)</f>
        <v/>
      </c>
      <c r="L7" s="35">
        <f>MINIFS('质检抽检'!$E$5:$E$144,'质检抽检'!$B$5:$B$144,A7)</f>
        <v/>
      </c>
      <c r="M7" s="35">
        <f>SUMIF('渠道动销'!$C$5:$C$94,A7,'渠道动销'!$F$5:$F$94)</f>
        <v/>
      </c>
    </row>
    <row r="8">
      <c r="A8" s="16" t="inlineStr">
        <is>
          <t>NY-KW-2508-004</t>
        </is>
      </c>
      <c r="B8" s="35">
        <f>SUMIF('采购批次'!$A$5:$A$32,A8,'采购批次'!$G$5:$G$32)</f>
        <v/>
      </c>
      <c r="C8" s="35">
        <f>SUMIF('库存流水'!$B$5:$B$207,A8,'库存流水'!$E$5:$E$207)</f>
        <v/>
      </c>
      <c r="D8" s="35">
        <f>SUMIF('库存流水'!$B$5:$B$207,A8,'库存流水'!$F$5:$F$207)</f>
        <v/>
      </c>
      <c r="E8" s="35">
        <f>SUMIF('库存流水'!$B$5:$B$207,A8,'库存流水'!$G$5:$G$207)</f>
        <v/>
      </c>
      <c r="F8" s="35">
        <f>SUMIFS('库存流水'!$H$5:$H$207,'库存流水'!$B$5:$B$207,A8,'库存流水'!$L$5:$L$207,1)</f>
        <v/>
      </c>
      <c r="G8" s="35">
        <f>B8-D8-E8-F8</f>
        <v/>
      </c>
      <c r="H8" s="35">
        <f>SUMIF('销售流水'!$C$5:$C$203,A8,'销售流水'!$F$5:$F$203)</f>
        <v/>
      </c>
      <c r="I8" s="32">
        <f>IF(D8=0,0,H8/D8)</f>
        <v/>
      </c>
      <c r="J8" s="35">
        <f>SUMIFS('报损折价'!$F$5:$F$79,'报损折价'!$C$5:$C$79,A8,'报损折价'!$J$5:$J$79,"是")</f>
        <v/>
      </c>
      <c r="K8" s="35">
        <f>SUMIF('冷链温控'!$A$5:$A$144,A8,'冷链温控'!$H$5:$H$144)</f>
        <v/>
      </c>
      <c r="L8" s="35">
        <f>MINIFS('质检抽检'!$E$5:$E$144,'质检抽检'!$B$5:$B$144,A8)</f>
        <v/>
      </c>
      <c r="M8" s="35">
        <f>SUMIF('渠道动销'!$C$5:$C$94,A8,'渠道动销'!$F$5:$F$94)</f>
        <v/>
      </c>
    </row>
    <row r="9">
      <c r="A9" s="16" t="inlineStr">
        <is>
          <t>NY-KW-2508-005</t>
        </is>
      </c>
      <c r="B9" s="35">
        <f>SUMIF('采购批次'!$A$5:$A$32,A9,'采购批次'!$G$5:$G$32)</f>
        <v/>
      </c>
      <c r="C9" s="35">
        <f>SUMIF('库存流水'!$B$5:$B$207,A9,'库存流水'!$E$5:$E$207)</f>
        <v/>
      </c>
      <c r="D9" s="35">
        <f>SUMIF('库存流水'!$B$5:$B$207,A9,'库存流水'!$F$5:$F$207)</f>
        <v/>
      </c>
      <c r="E9" s="35">
        <f>SUMIF('库存流水'!$B$5:$B$207,A9,'库存流水'!$G$5:$G$207)</f>
        <v/>
      </c>
      <c r="F9" s="35">
        <f>SUMIFS('库存流水'!$H$5:$H$207,'库存流水'!$B$5:$B$207,A9,'库存流水'!$L$5:$L$207,1)</f>
        <v/>
      </c>
      <c r="G9" s="35">
        <f>B9-D9-E9-F9</f>
        <v/>
      </c>
      <c r="H9" s="35">
        <f>SUMIF('销售流水'!$C$5:$C$203,A9,'销售流水'!$F$5:$F$203)</f>
        <v/>
      </c>
      <c r="I9" s="32">
        <f>IF(D9=0,0,H9/D9)</f>
        <v/>
      </c>
      <c r="J9" s="35">
        <f>SUMIFS('报损折价'!$F$5:$F$79,'报损折价'!$C$5:$C$79,A9,'报损折价'!$J$5:$J$79,"是")</f>
        <v/>
      </c>
      <c r="K9" s="35">
        <f>SUMIF('冷链温控'!$A$5:$A$144,A9,'冷链温控'!$H$5:$H$144)</f>
        <v/>
      </c>
      <c r="L9" s="35">
        <f>MINIFS('质检抽检'!$E$5:$E$144,'质检抽检'!$B$5:$B$144,A9)</f>
        <v/>
      </c>
      <c r="M9" s="35">
        <f>SUMIF('渠道动销'!$C$5:$C$94,A9,'渠道动销'!$F$5:$F$94)</f>
        <v/>
      </c>
    </row>
    <row r="10">
      <c r="A10" s="16" t="inlineStr">
        <is>
          <t>NY-KW-2508-006</t>
        </is>
      </c>
      <c r="B10" s="35">
        <f>SUMIF('采购批次'!$A$5:$A$32,A10,'采购批次'!$G$5:$G$32)</f>
        <v/>
      </c>
      <c r="C10" s="35">
        <f>SUMIF('库存流水'!$B$5:$B$207,A10,'库存流水'!$E$5:$E$207)</f>
        <v/>
      </c>
      <c r="D10" s="35">
        <f>SUMIF('库存流水'!$B$5:$B$207,A10,'库存流水'!$F$5:$F$207)</f>
        <v/>
      </c>
      <c r="E10" s="35">
        <f>SUMIF('库存流水'!$B$5:$B$207,A10,'库存流水'!$G$5:$G$207)</f>
        <v/>
      </c>
      <c r="F10" s="35">
        <f>SUMIFS('库存流水'!$H$5:$H$207,'库存流水'!$B$5:$B$207,A10,'库存流水'!$L$5:$L$207,1)</f>
        <v/>
      </c>
      <c r="G10" s="35">
        <f>B10-D10-E10-F10</f>
        <v/>
      </c>
      <c r="H10" s="35">
        <f>SUMIF('销售流水'!$C$5:$C$203,A10,'销售流水'!$F$5:$F$203)</f>
        <v/>
      </c>
      <c r="I10" s="32">
        <f>IF(D10=0,0,H10/D10)</f>
        <v/>
      </c>
      <c r="J10" s="35">
        <f>SUMIFS('报损折价'!$F$5:$F$79,'报损折价'!$C$5:$C$79,A10,'报损折价'!$J$5:$J$79,"是")</f>
        <v/>
      </c>
      <c r="K10" s="35">
        <f>SUMIF('冷链温控'!$A$5:$A$144,A10,'冷链温控'!$H$5:$H$144)</f>
        <v/>
      </c>
      <c r="L10" s="35">
        <f>MINIFS('质检抽检'!$E$5:$E$144,'质检抽检'!$B$5:$B$144,A10)</f>
        <v/>
      </c>
      <c r="M10" s="35">
        <f>SUMIF('渠道动销'!$C$5:$C$94,A10,'渠道动销'!$F$5:$F$94)</f>
        <v/>
      </c>
    </row>
    <row r="11">
      <c r="A11" s="16" t="inlineStr">
        <is>
          <t>NY-KW-2508-007</t>
        </is>
      </c>
      <c r="B11" s="35">
        <f>SUMIF('采购批次'!$A$5:$A$32,A11,'采购批次'!$G$5:$G$32)</f>
        <v/>
      </c>
      <c r="C11" s="35">
        <f>SUMIF('库存流水'!$B$5:$B$207,A11,'库存流水'!$E$5:$E$207)</f>
        <v/>
      </c>
      <c r="D11" s="35">
        <f>SUMIF('库存流水'!$B$5:$B$207,A11,'库存流水'!$F$5:$F$207)</f>
        <v/>
      </c>
      <c r="E11" s="35">
        <f>SUMIF('库存流水'!$B$5:$B$207,A11,'库存流水'!$G$5:$G$207)</f>
        <v/>
      </c>
      <c r="F11" s="35">
        <f>SUMIFS('库存流水'!$H$5:$H$207,'库存流水'!$B$5:$B$207,A11,'库存流水'!$L$5:$L$207,1)</f>
        <v/>
      </c>
      <c r="G11" s="35">
        <f>B11-D11-E11-F11</f>
        <v/>
      </c>
      <c r="H11" s="35">
        <f>SUMIF('销售流水'!$C$5:$C$203,A11,'销售流水'!$F$5:$F$203)</f>
        <v/>
      </c>
      <c r="I11" s="32">
        <f>IF(D11=0,0,H11/D11)</f>
        <v/>
      </c>
      <c r="J11" s="35">
        <f>SUMIFS('报损折价'!$F$5:$F$79,'报损折价'!$C$5:$C$79,A11,'报损折价'!$J$5:$J$79,"是")</f>
        <v/>
      </c>
      <c r="K11" s="35">
        <f>SUMIF('冷链温控'!$A$5:$A$144,A11,'冷链温控'!$H$5:$H$144)</f>
        <v/>
      </c>
      <c r="L11" s="35">
        <f>MINIFS('质检抽检'!$E$5:$E$144,'质检抽检'!$B$5:$B$144,A11)</f>
        <v/>
      </c>
      <c r="M11" s="35">
        <f>SUMIF('渠道动销'!$C$5:$C$94,A11,'渠道动销'!$F$5:$F$94)</f>
        <v/>
      </c>
    </row>
    <row r="12">
      <c r="A12" s="16" t="inlineStr">
        <is>
          <t>NY-KW-2508-008</t>
        </is>
      </c>
      <c r="B12" s="35">
        <f>SUMIF('采购批次'!$A$5:$A$32,A12,'采购批次'!$G$5:$G$32)</f>
        <v/>
      </c>
      <c r="C12" s="35">
        <f>SUMIF('库存流水'!$B$5:$B$207,A12,'库存流水'!$E$5:$E$207)</f>
        <v/>
      </c>
      <c r="D12" s="35">
        <f>SUMIF('库存流水'!$B$5:$B$207,A12,'库存流水'!$F$5:$F$207)</f>
        <v/>
      </c>
      <c r="E12" s="35">
        <f>SUMIF('库存流水'!$B$5:$B$207,A12,'库存流水'!$G$5:$G$207)</f>
        <v/>
      </c>
      <c r="F12" s="35">
        <f>SUMIFS('库存流水'!$H$5:$H$207,'库存流水'!$B$5:$B$207,A12,'库存流水'!$L$5:$L$207,1)</f>
        <v/>
      </c>
      <c r="G12" s="35">
        <f>B12-D12-E12-F12</f>
        <v/>
      </c>
      <c r="H12" s="35">
        <f>SUMIF('销售流水'!$C$5:$C$203,A12,'销售流水'!$F$5:$F$203)</f>
        <v/>
      </c>
      <c r="I12" s="32">
        <f>IF(D12=0,0,H12/D12)</f>
        <v/>
      </c>
      <c r="J12" s="35">
        <f>SUMIFS('报损折价'!$F$5:$F$79,'报损折价'!$C$5:$C$79,A12,'报损折价'!$J$5:$J$79,"是")</f>
        <v/>
      </c>
      <c r="K12" s="35">
        <f>SUMIF('冷链温控'!$A$5:$A$144,A12,'冷链温控'!$H$5:$H$144)</f>
        <v/>
      </c>
      <c r="L12" s="35">
        <f>MINIFS('质检抽检'!$E$5:$E$144,'质检抽检'!$B$5:$B$144,A12)</f>
        <v/>
      </c>
      <c r="M12" s="35">
        <f>SUMIF('渠道动销'!$C$5:$C$94,A12,'渠道动销'!$F$5:$F$94)</f>
        <v/>
      </c>
    </row>
    <row r="13">
      <c r="A13" s="16" t="inlineStr">
        <is>
          <t>NY-KW-2508-009</t>
        </is>
      </c>
      <c r="B13" s="35">
        <f>SUMIF('采购批次'!$A$5:$A$32,A13,'采购批次'!$G$5:$G$32)</f>
        <v/>
      </c>
      <c r="C13" s="35">
        <f>SUMIF('库存流水'!$B$5:$B$207,A13,'库存流水'!$E$5:$E$207)</f>
        <v/>
      </c>
      <c r="D13" s="35">
        <f>SUMIF('库存流水'!$B$5:$B$207,A13,'库存流水'!$F$5:$F$207)</f>
        <v/>
      </c>
      <c r="E13" s="35">
        <f>SUMIF('库存流水'!$B$5:$B$207,A13,'库存流水'!$G$5:$G$207)</f>
        <v/>
      </c>
      <c r="F13" s="35">
        <f>SUMIFS('库存流水'!$H$5:$H$207,'库存流水'!$B$5:$B$207,A13,'库存流水'!$L$5:$L$207,1)</f>
        <v/>
      </c>
      <c r="G13" s="35">
        <f>B13-D13-E13-F13</f>
        <v/>
      </c>
      <c r="H13" s="35">
        <f>SUMIF('销售流水'!$C$5:$C$203,A13,'销售流水'!$F$5:$F$203)</f>
        <v/>
      </c>
      <c r="I13" s="32">
        <f>IF(D13=0,0,H13/D13)</f>
        <v/>
      </c>
      <c r="J13" s="35">
        <f>SUMIFS('报损折价'!$F$5:$F$79,'报损折价'!$C$5:$C$79,A13,'报损折价'!$J$5:$J$79,"是")</f>
        <v/>
      </c>
      <c r="K13" s="35">
        <f>SUMIF('冷链温控'!$A$5:$A$144,A13,'冷链温控'!$H$5:$H$144)</f>
        <v/>
      </c>
      <c r="L13" s="35">
        <f>MINIFS('质检抽检'!$E$5:$E$144,'质检抽检'!$B$5:$B$144,A13)</f>
        <v/>
      </c>
      <c r="M13" s="35">
        <f>SUMIF('渠道动销'!$C$5:$C$94,A13,'渠道动销'!$F$5:$F$94)</f>
        <v/>
      </c>
    </row>
    <row r="14">
      <c r="A14" s="16" t="inlineStr">
        <is>
          <t>NY-KW-2508-010</t>
        </is>
      </c>
      <c r="B14" s="35">
        <f>SUMIF('采购批次'!$A$5:$A$32,A14,'采购批次'!$G$5:$G$32)</f>
        <v/>
      </c>
      <c r="C14" s="35">
        <f>SUMIF('库存流水'!$B$5:$B$207,A14,'库存流水'!$E$5:$E$207)</f>
        <v/>
      </c>
      <c r="D14" s="35">
        <f>SUMIF('库存流水'!$B$5:$B$207,A14,'库存流水'!$F$5:$F$207)</f>
        <v/>
      </c>
      <c r="E14" s="35">
        <f>SUMIF('库存流水'!$B$5:$B$207,A14,'库存流水'!$G$5:$G$207)</f>
        <v/>
      </c>
      <c r="F14" s="35">
        <f>SUMIFS('库存流水'!$H$5:$H$207,'库存流水'!$B$5:$B$207,A14,'库存流水'!$L$5:$L$207,1)</f>
        <v/>
      </c>
      <c r="G14" s="35">
        <f>B14-D14-E14-F14</f>
        <v/>
      </c>
      <c r="H14" s="35">
        <f>SUMIF('销售流水'!$C$5:$C$203,A14,'销售流水'!$F$5:$F$203)</f>
        <v/>
      </c>
      <c r="I14" s="32">
        <f>IF(D14=0,0,H14/D14)</f>
        <v/>
      </c>
      <c r="J14" s="35">
        <f>SUMIFS('报损折价'!$F$5:$F$79,'报损折价'!$C$5:$C$79,A14,'报损折价'!$J$5:$J$79,"是")</f>
        <v/>
      </c>
      <c r="K14" s="35">
        <f>SUMIF('冷链温控'!$A$5:$A$144,A14,'冷链温控'!$H$5:$H$144)</f>
        <v/>
      </c>
      <c r="L14" s="35">
        <f>MINIFS('质检抽检'!$E$5:$E$144,'质检抽检'!$B$5:$B$144,A14)</f>
        <v/>
      </c>
      <c r="M14" s="35">
        <f>SUMIF('渠道动销'!$C$5:$C$94,A14,'渠道动销'!$F$5:$F$94)</f>
        <v/>
      </c>
    </row>
    <row r="15">
      <c r="A15" s="16" t="inlineStr">
        <is>
          <t>NY-KW-2508-011</t>
        </is>
      </c>
      <c r="B15" s="35">
        <f>SUMIF('采购批次'!$A$5:$A$32,A15,'采购批次'!$G$5:$G$32)</f>
        <v/>
      </c>
      <c r="C15" s="35">
        <f>SUMIF('库存流水'!$B$5:$B$207,A15,'库存流水'!$E$5:$E$207)</f>
        <v/>
      </c>
      <c r="D15" s="35">
        <f>SUMIF('库存流水'!$B$5:$B$207,A15,'库存流水'!$F$5:$F$207)</f>
        <v/>
      </c>
      <c r="E15" s="35">
        <f>SUMIF('库存流水'!$B$5:$B$207,A15,'库存流水'!$G$5:$G$207)</f>
        <v/>
      </c>
      <c r="F15" s="35">
        <f>SUMIFS('库存流水'!$H$5:$H$207,'库存流水'!$B$5:$B$207,A15,'库存流水'!$L$5:$L$207,1)</f>
        <v/>
      </c>
      <c r="G15" s="35">
        <f>B15-D15-E15-F15</f>
        <v/>
      </c>
      <c r="H15" s="35">
        <f>SUMIF('销售流水'!$C$5:$C$203,A15,'销售流水'!$F$5:$F$203)</f>
        <v/>
      </c>
      <c r="I15" s="32">
        <f>IF(D15=0,0,H15/D15)</f>
        <v/>
      </c>
      <c r="J15" s="35">
        <f>SUMIFS('报损折价'!$F$5:$F$79,'报损折价'!$C$5:$C$79,A15,'报损折价'!$J$5:$J$79,"是")</f>
        <v/>
      </c>
      <c r="K15" s="35">
        <f>SUMIF('冷链温控'!$A$5:$A$144,A15,'冷链温控'!$H$5:$H$144)</f>
        <v/>
      </c>
      <c r="L15" s="35">
        <f>MINIFS('质检抽检'!$E$5:$E$144,'质检抽检'!$B$5:$B$144,A15)</f>
        <v/>
      </c>
      <c r="M15" s="35">
        <f>SUMIF('渠道动销'!$C$5:$C$94,A15,'渠道动销'!$F$5:$F$94)</f>
        <v/>
      </c>
    </row>
    <row r="16">
      <c r="A16" s="16" t="inlineStr">
        <is>
          <t>NY-KW-2508-012</t>
        </is>
      </c>
      <c r="B16" s="35">
        <f>SUMIF('采购批次'!$A$5:$A$32,A16,'采购批次'!$G$5:$G$32)</f>
        <v/>
      </c>
      <c r="C16" s="35">
        <f>SUMIF('库存流水'!$B$5:$B$207,A16,'库存流水'!$E$5:$E$207)</f>
        <v/>
      </c>
      <c r="D16" s="35">
        <f>SUMIF('库存流水'!$B$5:$B$207,A16,'库存流水'!$F$5:$F$207)</f>
        <v/>
      </c>
      <c r="E16" s="35">
        <f>SUMIF('库存流水'!$B$5:$B$207,A16,'库存流水'!$G$5:$G$207)</f>
        <v/>
      </c>
      <c r="F16" s="35">
        <f>SUMIFS('库存流水'!$H$5:$H$207,'库存流水'!$B$5:$B$207,A16,'库存流水'!$L$5:$L$207,1)</f>
        <v/>
      </c>
      <c r="G16" s="35">
        <f>B16-D16-E16-F16</f>
        <v/>
      </c>
      <c r="H16" s="35">
        <f>SUMIF('销售流水'!$C$5:$C$203,A16,'销售流水'!$F$5:$F$203)</f>
        <v/>
      </c>
      <c r="I16" s="32">
        <f>IF(D16=0,0,H16/D16)</f>
        <v/>
      </c>
      <c r="J16" s="35">
        <f>SUMIFS('报损折价'!$F$5:$F$79,'报损折价'!$C$5:$C$79,A16,'报损折价'!$J$5:$J$79,"是")</f>
        <v/>
      </c>
      <c r="K16" s="35">
        <f>SUMIF('冷链温控'!$A$5:$A$144,A16,'冷链温控'!$H$5:$H$144)</f>
        <v/>
      </c>
      <c r="L16" s="35">
        <f>MINIFS('质检抽检'!$E$5:$E$144,'质检抽检'!$B$5:$B$144,A16)</f>
        <v/>
      </c>
      <c r="M16" s="35">
        <f>SUMIF('渠道动销'!$C$5:$C$94,A16,'渠道动销'!$F$5:$F$94)</f>
        <v/>
      </c>
    </row>
    <row r="17">
      <c r="A17" s="16" t="inlineStr">
        <is>
          <t>NY-KW-2508-013</t>
        </is>
      </c>
      <c r="B17" s="35">
        <f>SUMIF('采购批次'!$A$5:$A$32,A17,'采购批次'!$G$5:$G$32)</f>
        <v/>
      </c>
      <c r="C17" s="35">
        <f>SUMIF('库存流水'!$B$5:$B$207,A17,'库存流水'!$E$5:$E$207)</f>
        <v/>
      </c>
      <c r="D17" s="35">
        <f>SUMIF('库存流水'!$B$5:$B$207,A17,'库存流水'!$F$5:$F$207)</f>
        <v/>
      </c>
      <c r="E17" s="35">
        <f>SUMIF('库存流水'!$B$5:$B$207,A17,'库存流水'!$G$5:$G$207)</f>
        <v/>
      </c>
      <c r="F17" s="35">
        <f>SUMIFS('库存流水'!$H$5:$H$207,'库存流水'!$B$5:$B$207,A17,'库存流水'!$L$5:$L$207,1)</f>
        <v/>
      </c>
      <c r="G17" s="35">
        <f>B17-D17-E17-F17</f>
        <v/>
      </c>
      <c r="H17" s="35">
        <f>SUMIF('销售流水'!$C$5:$C$203,A17,'销售流水'!$F$5:$F$203)</f>
        <v/>
      </c>
      <c r="I17" s="32">
        <f>IF(D17=0,0,H17/D17)</f>
        <v/>
      </c>
      <c r="J17" s="35">
        <f>SUMIFS('报损折价'!$F$5:$F$79,'报损折价'!$C$5:$C$79,A17,'报损折价'!$J$5:$J$79,"是")</f>
        <v/>
      </c>
      <c r="K17" s="35">
        <f>SUMIF('冷链温控'!$A$5:$A$144,A17,'冷链温控'!$H$5:$H$144)</f>
        <v/>
      </c>
      <c r="L17" s="35">
        <f>MINIFS('质检抽检'!$E$5:$E$144,'质检抽检'!$B$5:$B$144,A17)</f>
        <v/>
      </c>
      <c r="M17" s="35">
        <f>SUMIF('渠道动销'!$C$5:$C$94,A17,'渠道动销'!$F$5:$F$94)</f>
        <v/>
      </c>
    </row>
    <row r="18">
      <c r="A18" s="16" t="inlineStr">
        <is>
          <t>NY-KW-2508-014</t>
        </is>
      </c>
      <c r="B18" s="35">
        <f>SUMIF('采购批次'!$A$5:$A$32,A18,'采购批次'!$G$5:$G$32)</f>
        <v/>
      </c>
      <c r="C18" s="35">
        <f>SUMIF('库存流水'!$B$5:$B$207,A18,'库存流水'!$E$5:$E$207)</f>
        <v/>
      </c>
      <c r="D18" s="35">
        <f>SUMIF('库存流水'!$B$5:$B$207,A18,'库存流水'!$F$5:$F$207)</f>
        <v/>
      </c>
      <c r="E18" s="35">
        <f>SUMIF('库存流水'!$B$5:$B$207,A18,'库存流水'!$G$5:$G$207)</f>
        <v/>
      </c>
      <c r="F18" s="35">
        <f>SUMIFS('库存流水'!$H$5:$H$207,'库存流水'!$B$5:$B$207,A18,'库存流水'!$L$5:$L$207,1)</f>
        <v/>
      </c>
      <c r="G18" s="35">
        <f>B18-D18-E18-F18</f>
        <v/>
      </c>
      <c r="H18" s="35">
        <f>SUMIF('销售流水'!$C$5:$C$203,A18,'销售流水'!$F$5:$F$203)</f>
        <v/>
      </c>
      <c r="I18" s="32">
        <f>IF(D18=0,0,H18/D18)</f>
        <v/>
      </c>
      <c r="J18" s="35">
        <f>SUMIFS('报损折价'!$F$5:$F$79,'报损折价'!$C$5:$C$79,A18,'报损折价'!$J$5:$J$79,"是")</f>
        <v/>
      </c>
      <c r="K18" s="35">
        <f>SUMIF('冷链温控'!$A$5:$A$144,A18,'冷链温控'!$H$5:$H$144)</f>
        <v/>
      </c>
      <c r="L18" s="35">
        <f>MINIFS('质检抽检'!$E$5:$E$144,'质检抽检'!$B$5:$B$144,A18)</f>
        <v/>
      </c>
      <c r="M18" s="35">
        <f>SUMIF('渠道动销'!$C$5:$C$94,A18,'渠道动销'!$F$5:$F$94)</f>
        <v/>
      </c>
    </row>
    <row r="19">
      <c r="A19" s="16" t="inlineStr">
        <is>
          <t>NY-KW-2508-015</t>
        </is>
      </c>
      <c r="B19" s="35">
        <f>SUMIF('采购批次'!$A$5:$A$32,A19,'采购批次'!$G$5:$G$32)</f>
        <v/>
      </c>
      <c r="C19" s="35">
        <f>SUMIF('库存流水'!$B$5:$B$207,A19,'库存流水'!$E$5:$E$207)</f>
        <v/>
      </c>
      <c r="D19" s="35">
        <f>SUMIF('库存流水'!$B$5:$B$207,A19,'库存流水'!$F$5:$F$207)</f>
        <v/>
      </c>
      <c r="E19" s="35">
        <f>SUMIF('库存流水'!$B$5:$B$207,A19,'库存流水'!$G$5:$G$207)</f>
        <v/>
      </c>
      <c r="F19" s="35">
        <f>SUMIFS('库存流水'!$H$5:$H$207,'库存流水'!$B$5:$B$207,A19,'库存流水'!$L$5:$L$207,1)</f>
        <v/>
      </c>
      <c r="G19" s="35">
        <f>B19-D19-E19-F19</f>
        <v/>
      </c>
      <c r="H19" s="35">
        <f>SUMIF('销售流水'!$C$5:$C$203,A19,'销售流水'!$F$5:$F$203)</f>
        <v/>
      </c>
      <c r="I19" s="32">
        <f>IF(D19=0,0,H19/D19)</f>
        <v/>
      </c>
      <c r="J19" s="35">
        <f>SUMIFS('报损折价'!$F$5:$F$79,'报损折价'!$C$5:$C$79,A19,'报损折价'!$J$5:$J$79,"是")</f>
        <v/>
      </c>
      <c r="K19" s="35">
        <f>SUMIF('冷链温控'!$A$5:$A$144,A19,'冷链温控'!$H$5:$H$144)</f>
        <v/>
      </c>
      <c r="L19" s="35">
        <f>MINIFS('质检抽检'!$E$5:$E$144,'质检抽检'!$B$5:$B$144,A19)</f>
        <v/>
      </c>
      <c r="M19" s="35">
        <f>SUMIF('渠道动销'!$C$5:$C$94,A19,'渠道动销'!$F$5:$F$94)</f>
        <v/>
      </c>
    </row>
    <row r="20">
      <c r="A20" s="16" t="inlineStr">
        <is>
          <t>NY-KW-2508-016</t>
        </is>
      </c>
      <c r="B20" s="35">
        <f>SUMIF('采购批次'!$A$5:$A$32,A20,'采购批次'!$G$5:$G$32)</f>
        <v/>
      </c>
      <c r="C20" s="35">
        <f>SUMIF('库存流水'!$B$5:$B$207,A20,'库存流水'!$E$5:$E$207)</f>
        <v/>
      </c>
      <c r="D20" s="35">
        <f>SUMIF('库存流水'!$B$5:$B$207,A20,'库存流水'!$F$5:$F$207)</f>
        <v/>
      </c>
      <c r="E20" s="35">
        <f>SUMIF('库存流水'!$B$5:$B$207,A20,'库存流水'!$G$5:$G$207)</f>
        <v/>
      </c>
      <c r="F20" s="35">
        <f>SUMIFS('库存流水'!$H$5:$H$207,'库存流水'!$B$5:$B$207,A20,'库存流水'!$L$5:$L$207,1)</f>
        <v/>
      </c>
      <c r="G20" s="35">
        <f>B20-D20-E20-F20</f>
        <v/>
      </c>
      <c r="H20" s="35">
        <f>SUMIF('销售流水'!$C$5:$C$203,A20,'销售流水'!$F$5:$F$203)</f>
        <v/>
      </c>
      <c r="I20" s="32">
        <f>IF(D20=0,0,H20/D20)</f>
        <v/>
      </c>
      <c r="J20" s="35">
        <f>SUMIFS('报损折价'!$F$5:$F$79,'报损折价'!$C$5:$C$79,A20,'报损折价'!$J$5:$J$79,"是")</f>
        <v/>
      </c>
      <c r="K20" s="35">
        <f>SUMIF('冷链温控'!$A$5:$A$144,A20,'冷链温控'!$H$5:$H$144)</f>
        <v/>
      </c>
      <c r="L20" s="35">
        <f>MINIFS('质检抽检'!$E$5:$E$144,'质检抽检'!$B$5:$B$144,A20)</f>
        <v/>
      </c>
      <c r="M20" s="35">
        <f>SUMIF('渠道动销'!$C$5:$C$94,A20,'渠道动销'!$F$5:$F$94)</f>
        <v/>
      </c>
    </row>
    <row r="21">
      <c r="A21" s="16" t="inlineStr">
        <is>
          <t>NY-KW-2508-017</t>
        </is>
      </c>
      <c r="B21" s="35">
        <f>SUMIF('采购批次'!$A$5:$A$32,A21,'采购批次'!$G$5:$G$32)</f>
        <v/>
      </c>
      <c r="C21" s="35">
        <f>SUMIF('库存流水'!$B$5:$B$207,A21,'库存流水'!$E$5:$E$207)</f>
        <v/>
      </c>
      <c r="D21" s="35">
        <f>SUMIF('库存流水'!$B$5:$B$207,A21,'库存流水'!$F$5:$F$207)</f>
        <v/>
      </c>
      <c r="E21" s="35">
        <f>SUMIF('库存流水'!$B$5:$B$207,A21,'库存流水'!$G$5:$G$207)</f>
        <v/>
      </c>
      <c r="F21" s="35">
        <f>SUMIFS('库存流水'!$H$5:$H$207,'库存流水'!$B$5:$B$207,A21,'库存流水'!$L$5:$L$207,1)</f>
        <v/>
      </c>
      <c r="G21" s="35">
        <f>B21-D21-E21-F21</f>
        <v/>
      </c>
      <c r="H21" s="35">
        <f>SUMIF('销售流水'!$C$5:$C$203,A21,'销售流水'!$F$5:$F$203)</f>
        <v/>
      </c>
      <c r="I21" s="32">
        <f>IF(D21=0,0,H21/D21)</f>
        <v/>
      </c>
      <c r="J21" s="35">
        <f>SUMIFS('报损折价'!$F$5:$F$79,'报损折价'!$C$5:$C$79,A21,'报损折价'!$J$5:$J$79,"是")</f>
        <v/>
      </c>
      <c r="K21" s="35">
        <f>SUMIF('冷链温控'!$A$5:$A$144,A21,'冷链温控'!$H$5:$H$144)</f>
        <v/>
      </c>
      <c r="L21" s="35">
        <f>MINIFS('质检抽检'!$E$5:$E$144,'质检抽检'!$B$5:$B$144,A21)</f>
        <v/>
      </c>
      <c r="M21" s="35">
        <f>SUMIF('渠道动销'!$C$5:$C$94,A21,'渠道动销'!$F$5:$F$94)</f>
        <v/>
      </c>
    </row>
    <row r="22">
      <c r="A22" s="16" t="inlineStr">
        <is>
          <t>NY-KW-2508-018</t>
        </is>
      </c>
      <c r="B22" s="35">
        <f>SUMIF('采购批次'!$A$5:$A$32,A22,'采购批次'!$G$5:$G$32)</f>
        <v/>
      </c>
      <c r="C22" s="35">
        <f>SUMIF('库存流水'!$B$5:$B$207,A22,'库存流水'!$E$5:$E$207)</f>
        <v/>
      </c>
      <c r="D22" s="35">
        <f>SUMIF('库存流水'!$B$5:$B$207,A22,'库存流水'!$F$5:$F$207)</f>
        <v/>
      </c>
      <c r="E22" s="35">
        <f>SUMIF('库存流水'!$B$5:$B$207,A22,'库存流水'!$G$5:$G$207)</f>
        <v/>
      </c>
      <c r="F22" s="35">
        <f>SUMIFS('库存流水'!$H$5:$H$207,'库存流水'!$B$5:$B$207,A22,'库存流水'!$L$5:$L$207,1)</f>
        <v/>
      </c>
      <c r="G22" s="35">
        <f>B22-D22-E22-F22</f>
        <v/>
      </c>
      <c r="H22" s="35">
        <f>SUMIF('销售流水'!$C$5:$C$203,A22,'销售流水'!$F$5:$F$203)</f>
        <v/>
      </c>
      <c r="I22" s="32">
        <f>IF(D22=0,0,H22/D22)</f>
        <v/>
      </c>
      <c r="J22" s="35">
        <f>SUMIFS('报损折价'!$F$5:$F$79,'报损折价'!$C$5:$C$79,A22,'报损折价'!$J$5:$J$79,"是")</f>
        <v/>
      </c>
      <c r="K22" s="35">
        <f>SUMIF('冷链温控'!$A$5:$A$144,A22,'冷链温控'!$H$5:$H$144)</f>
        <v/>
      </c>
      <c r="L22" s="35">
        <f>MINIFS('质检抽检'!$E$5:$E$144,'质检抽检'!$B$5:$B$144,A22)</f>
        <v/>
      </c>
      <c r="M22" s="35">
        <f>SUMIF('渠道动销'!$C$5:$C$94,A22,'渠道动销'!$F$5:$F$94)</f>
        <v/>
      </c>
    </row>
    <row r="23">
      <c r="A23" s="16" t="inlineStr">
        <is>
          <t>NY-KW-2508-019</t>
        </is>
      </c>
      <c r="B23" s="35">
        <f>SUMIF('采购批次'!$A$5:$A$32,A23,'采购批次'!$G$5:$G$32)</f>
        <v/>
      </c>
      <c r="C23" s="35">
        <f>SUMIF('库存流水'!$B$5:$B$207,A23,'库存流水'!$E$5:$E$207)</f>
        <v/>
      </c>
      <c r="D23" s="35">
        <f>SUMIF('库存流水'!$B$5:$B$207,A23,'库存流水'!$F$5:$F$207)</f>
        <v/>
      </c>
      <c r="E23" s="35">
        <f>SUMIF('库存流水'!$B$5:$B$207,A23,'库存流水'!$G$5:$G$207)</f>
        <v/>
      </c>
      <c r="F23" s="35">
        <f>SUMIFS('库存流水'!$H$5:$H$207,'库存流水'!$B$5:$B$207,A23,'库存流水'!$L$5:$L$207,1)</f>
        <v/>
      </c>
      <c r="G23" s="35">
        <f>B23-D23-E23-F23</f>
        <v/>
      </c>
      <c r="H23" s="35">
        <f>SUMIF('销售流水'!$C$5:$C$203,A23,'销售流水'!$F$5:$F$203)</f>
        <v/>
      </c>
      <c r="I23" s="32">
        <f>IF(D23=0,0,H23/D23)</f>
        <v/>
      </c>
      <c r="J23" s="35">
        <f>SUMIFS('报损折价'!$F$5:$F$79,'报损折价'!$C$5:$C$79,A23,'报损折价'!$J$5:$J$79,"是")</f>
        <v/>
      </c>
      <c r="K23" s="35">
        <f>SUMIF('冷链温控'!$A$5:$A$144,A23,'冷链温控'!$H$5:$H$144)</f>
        <v/>
      </c>
      <c r="L23" s="35">
        <f>MINIFS('质检抽检'!$E$5:$E$144,'质检抽检'!$B$5:$B$144,A23)</f>
        <v/>
      </c>
      <c r="M23" s="35">
        <f>SUMIF('渠道动销'!$C$5:$C$94,A23,'渠道动销'!$F$5:$F$94)</f>
        <v/>
      </c>
    </row>
    <row r="24">
      <c r="A24" s="16" t="inlineStr">
        <is>
          <t>NY-KW-2508-020</t>
        </is>
      </c>
      <c r="B24" s="35">
        <f>SUMIF('采购批次'!$A$5:$A$32,A24,'采购批次'!$G$5:$G$32)</f>
        <v/>
      </c>
      <c r="C24" s="35">
        <f>SUMIF('库存流水'!$B$5:$B$207,A24,'库存流水'!$E$5:$E$207)</f>
        <v/>
      </c>
      <c r="D24" s="35">
        <f>SUMIF('库存流水'!$B$5:$B$207,A24,'库存流水'!$F$5:$F$207)</f>
        <v/>
      </c>
      <c r="E24" s="35">
        <f>SUMIF('库存流水'!$B$5:$B$207,A24,'库存流水'!$G$5:$G$207)</f>
        <v/>
      </c>
      <c r="F24" s="35">
        <f>SUMIFS('库存流水'!$H$5:$H$207,'库存流水'!$B$5:$B$207,A24,'库存流水'!$L$5:$L$207,1)</f>
        <v/>
      </c>
      <c r="G24" s="35">
        <f>B24-D24-E24-F24</f>
        <v/>
      </c>
      <c r="H24" s="35">
        <f>SUMIF('销售流水'!$C$5:$C$203,A24,'销售流水'!$F$5:$F$203)</f>
        <v/>
      </c>
      <c r="I24" s="32">
        <f>IF(D24=0,0,H24/D24)</f>
        <v/>
      </c>
      <c r="J24" s="35">
        <f>SUMIFS('报损折价'!$F$5:$F$79,'报损折价'!$C$5:$C$79,A24,'报损折价'!$J$5:$J$79,"是")</f>
        <v/>
      </c>
      <c r="K24" s="35">
        <f>SUMIF('冷链温控'!$A$5:$A$144,A24,'冷链温控'!$H$5:$H$144)</f>
        <v/>
      </c>
      <c r="L24" s="35">
        <f>MINIFS('质检抽检'!$E$5:$E$144,'质检抽检'!$B$5:$B$144,A24)</f>
        <v/>
      </c>
      <c r="M24" s="35">
        <f>SUMIF('渠道动销'!$C$5:$C$94,A24,'渠道动销'!$F$5:$F$94)</f>
        <v/>
      </c>
    </row>
    <row r="25">
      <c r="A25" s="16" t="inlineStr">
        <is>
          <t>NY-KW-2508-021</t>
        </is>
      </c>
      <c r="B25" s="35">
        <f>SUMIF('采购批次'!$A$5:$A$32,A25,'采购批次'!$G$5:$G$32)</f>
        <v/>
      </c>
      <c r="C25" s="35">
        <f>SUMIF('库存流水'!$B$5:$B$207,A25,'库存流水'!$E$5:$E$207)</f>
        <v/>
      </c>
      <c r="D25" s="35">
        <f>SUMIF('库存流水'!$B$5:$B$207,A25,'库存流水'!$F$5:$F$207)</f>
        <v/>
      </c>
      <c r="E25" s="35">
        <f>SUMIF('库存流水'!$B$5:$B$207,A25,'库存流水'!$G$5:$G$207)</f>
        <v/>
      </c>
      <c r="F25" s="35">
        <f>SUMIFS('库存流水'!$H$5:$H$207,'库存流水'!$B$5:$B$207,A25,'库存流水'!$L$5:$L$207,1)</f>
        <v/>
      </c>
      <c r="G25" s="35">
        <f>B25-D25-E25-F25</f>
        <v/>
      </c>
      <c r="H25" s="35">
        <f>SUMIF('销售流水'!$C$5:$C$203,A25,'销售流水'!$F$5:$F$203)</f>
        <v/>
      </c>
      <c r="I25" s="32">
        <f>IF(D25=0,0,H25/D25)</f>
        <v/>
      </c>
      <c r="J25" s="35">
        <f>SUMIFS('报损折价'!$F$5:$F$79,'报损折价'!$C$5:$C$79,A25,'报损折价'!$J$5:$J$79,"是")</f>
        <v/>
      </c>
      <c r="K25" s="35">
        <f>SUMIF('冷链温控'!$A$5:$A$144,A25,'冷链温控'!$H$5:$H$144)</f>
        <v/>
      </c>
      <c r="L25" s="35">
        <f>MINIFS('质检抽检'!$E$5:$E$144,'质检抽检'!$B$5:$B$144,A25)</f>
        <v/>
      </c>
      <c r="M25" s="35">
        <f>SUMIF('渠道动销'!$C$5:$C$94,A25,'渠道动销'!$F$5:$F$94)</f>
        <v/>
      </c>
    </row>
    <row r="26">
      <c r="A26" s="16" t="inlineStr">
        <is>
          <t>NY-KW-2508-022</t>
        </is>
      </c>
      <c r="B26" s="35">
        <f>SUMIF('采购批次'!$A$5:$A$32,A26,'采购批次'!$G$5:$G$32)</f>
        <v/>
      </c>
      <c r="C26" s="35">
        <f>SUMIF('库存流水'!$B$5:$B$207,A26,'库存流水'!$E$5:$E$207)</f>
        <v/>
      </c>
      <c r="D26" s="35">
        <f>SUMIF('库存流水'!$B$5:$B$207,A26,'库存流水'!$F$5:$F$207)</f>
        <v/>
      </c>
      <c r="E26" s="35">
        <f>SUMIF('库存流水'!$B$5:$B$207,A26,'库存流水'!$G$5:$G$207)</f>
        <v/>
      </c>
      <c r="F26" s="35">
        <f>SUMIFS('库存流水'!$H$5:$H$207,'库存流水'!$B$5:$B$207,A26,'库存流水'!$L$5:$L$207,1)</f>
        <v/>
      </c>
      <c r="G26" s="35">
        <f>B26-D26-E26-F26</f>
        <v/>
      </c>
      <c r="H26" s="35">
        <f>SUMIF('销售流水'!$C$5:$C$203,A26,'销售流水'!$F$5:$F$203)</f>
        <v/>
      </c>
      <c r="I26" s="32">
        <f>IF(D26=0,0,H26/D26)</f>
        <v/>
      </c>
      <c r="J26" s="35">
        <f>SUMIFS('报损折价'!$F$5:$F$79,'报损折价'!$C$5:$C$79,A26,'报损折价'!$J$5:$J$79,"是")</f>
        <v/>
      </c>
      <c r="K26" s="35">
        <f>SUMIF('冷链温控'!$A$5:$A$144,A26,'冷链温控'!$H$5:$H$144)</f>
        <v/>
      </c>
      <c r="L26" s="35">
        <f>MINIFS('质检抽检'!$E$5:$E$144,'质检抽检'!$B$5:$B$144,A26)</f>
        <v/>
      </c>
      <c r="M26" s="35">
        <f>SUMIF('渠道动销'!$C$5:$C$94,A26,'渠道动销'!$F$5:$F$94)</f>
        <v/>
      </c>
    </row>
    <row r="27">
      <c r="A27" s="16" t="inlineStr">
        <is>
          <t>NY-KW-2508-023</t>
        </is>
      </c>
      <c r="B27" s="35">
        <f>SUMIF('采购批次'!$A$5:$A$32,A27,'采购批次'!$G$5:$G$32)</f>
        <v/>
      </c>
      <c r="C27" s="35">
        <f>SUMIF('库存流水'!$B$5:$B$207,A27,'库存流水'!$E$5:$E$207)</f>
        <v/>
      </c>
      <c r="D27" s="35">
        <f>SUMIF('库存流水'!$B$5:$B$207,A27,'库存流水'!$F$5:$F$207)</f>
        <v/>
      </c>
      <c r="E27" s="35">
        <f>SUMIF('库存流水'!$B$5:$B$207,A27,'库存流水'!$G$5:$G$207)</f>
        <v/>
      </c>
      <c r="F27" s="35">
        <f>SUMIFS('库存流水'!$H$5:$H$207,'库存流水'!$B$5:$B$207,A27,'库存流水'!$L$5:$L$207,1)</f>
        <v/>
      </c>
      <c r="G27" s="35">
        <f>B27-D27-E27-F27</f>
        <v/>
      </c>
      <c r="H27" s="35">
        <f>SUMIF('销售流水'!$C$5:$C$203,A27,'销售流水'!$F$5:$F$203)</f>
        <v/>
      </c>
      <c r="I27" s="32">
        <f>IF(D27=0,0,H27/D27)</f>
        <v/>
      </c>
      <c r="J27" s="35">
        <f>SUMIFS('报损折价'!$F$5:$F$79,'报损折价'!$C$5:$C$79,A27,'报损折价'!$J$5:$J$79,"是")</f>
        <v/>
      </c>
      <c r="K27" s="35">
        <f>SUMIF('冷链温控'!$A$5:$A$144,A27,'冷链温控'!$H$5:$H$144)</f>
        <v/>
      </c>
      <c r="L27" s="35">
        <f>MINIFS('质检抽检'!$E$5:$E$144,'质检抽检'!$B$5:$B$144,A27)</f>
        <v/>
      </c>
      <c r="M27" s="35">
        <f>SUMIF('渠道动销'!$C$5:$C$94,A27,'渠道动销'!$F$5:$F$94)</f>
        <v/>
      </c>
    </row>
    <row r="28">
      <c r="A28" s="16" t="inlineStr">
        <is>
          <t>NY-KW-2508-024</t>
        </is>
      </c>
      <c r="B28" s="35">
        <f>SUMIF('采购批次'!$A$5:$A$32,A28,'采购批次'!$G$5:$G$32)</f>
        <v/>
      </c>
      <c r="C28" s="35">
        <f>SUMIF('库存流水'!$B$5:$B$207,A28,'库存流水'!$E$5:$E$207)</f>
        <v/>
      </c>
      <c r="D28" s="35">
        <f>SUMIF('库存流水'!$B$5:$B$207,A28,'库存流水'!$F$5:$F$207)</f>
        <v/>
      </c>
      <c r="E28" s="35">
        <f>SUMIF('库存流水'!$B$5:$B$207,A28,'库存流水'!$G$5:$G$207)</f>
        <v/>
      </c>
      <c r="F28" s="35">
        <f>SUMIFS('库存流水'!$H$5:$H$207,'库存流水'!$B$5:$B$207,A28,'库存流水'!$L$5:$L$207,1)</f>
        <v/>
      </c>
      <c r="G28" s="35">
        <f>B28-D28-E28-F28</f>
        <v/>
      </c>
      <c r="H28" s="35">
        <f>SUMIF('销售流水'!$C$5:$C$203,A28,'销售流水'!$F$5:$F$203)</f>
        <v/>
      </c>
      <c r="I28" s="32">
        <f>IF(D28=0,0,H28/D28)</f>
        <v/>
      </c>
      <c r="J28" s="35">
        <f>SUMIFS('报损折价'!$F$5:$F$79,'报损折价'!$C$5:$C$79,A28,'报损折价'!$J$5:$J$79,"是")</f>
        <v/>
      </c>
      <c r="K28" s="35">
        <f>SUMIF('冷链温控'!$A$5:$A$144,A28,'冷链温控'!$H$5:$H$144)</f>
        <v/>
      </c>
      <c r="L28" s="35">
        <f>MINIFS('质检抽检'!$E$5:$E$144,'质检抽检'!$B$5:$B$144,A28)</f>
        <v/>
      </c>
      <c r="M28" s="35">
        <f>SUMIF('渠道动销'!$C$5:$C$94,A28,'渠道动销'!$F$5:$F$94)</f>
        <v/>
      </c>
    </row>
    <row r="29">
      <c r="A29" s="16" t="inlineStr">
        <is>
          <t>NY-KW-2508-025</t>
        </is>
      </c>
      <c r="B29" s="35">
        <f>SUMIF('采购批次'!$A$5:$A$32,A29,'采购批次'!$G$5:$G$32)</f>
        <v/>
      </c>
      <c r="C29" s="35">
        <f>SUMIF('库存流水'!$B$5:$B$207,A29,'库存流水'!$E$5:$E$207)</f>
        <v/>
      </c>
      <c r="D29" s="35">
        <f>SUMIF('库存流水'!$B$5:$B$207,A29,'库存流水'!$F$5:$F$207)</f>
        <v/>
      </c>
      <c r="E29" s="35">
        <f>SUMIF('库存流水'!$B$5:$B$207,A29,'库存流水'!$G$5:$G$207)</f>
        <v/>
      </c>
      <c r="F29" s="35">
        <f>SUMIFS('库存流水'!$H$5:$H$207,'库存流水'!$B$5:$B$207,A29,'库存流水'!$L$5:$L$207,1)</f>
        <v/>
      </c>
      <c r="G29" s="35">
        <f>B29-D29-E29-F29</f>
        <v/>
      </c>
      <c r="H29" s="35">
        <f>SUMIF('销售流水'!$C$5:$C$203,A29,'销售流水'!$F$5:$F$203)</f>
        <v/>
      </c>
      <c r="I29" s="32">
        <f>IF(D29=0,0,H29/D29)</f>
        <v/>
      </c>
      <c r="J29" s="35">
        <f>SUMIFS('报损折价'!$F$5:$F$79,'报损折价'!$C$5:$C$79,A29,'报损折价'!$J$5:$J$79,"是")</f>
        <v/>
      </c>
      <c r="K29" s="35">
        <f>SUMIF('冷链温控'!$A$5:$A$144,A29,'冷链温控'!$H$5:$H$144)</f>
        <v/>
      </c>
      <c r="L29" s="35">
        <f>MINIFS('质检抽检'!$E$5:$E$144,'质检抽检'!$B$5:$B$144,A29)</f>
        <v/>
      </c>
      <c r="M29" s="35">
        <f>SUMIF('渠道动销'!$C$5:$C$94,A29,'渠道动销'!$F$5:$F$94)</f>
        <v/>
      </c>
    </row>
    <row r="30">
      <c r="A30" s="16" t="inlineStr">
        <is>
          <t>NY-KW-2508-026</t>
        </is>
      </c>
      <c r="B30" s="35">
        <f>SUMIF('采购批次'!$A$5:$A$32,A30,'采购批次'!$G$5:$G$32)</f>
        <v/>
      </c>
      <c r="C30" s="35">
        <f>SUMIF('库存流水'!$B$5:$B$207,A30,'库存流水'!$E$5:$E$207)</f>
        <v/>
      </c>
      <c r="D30" s="35">
        <f>SUMIF('库存流水'!$B$5:$B$207,A30,'库存流水'!$F$5:$F$207)</f>
        <v/>
      </c>
      <c r="E30" s="35">
        <f>SUMIF('库存流水'!$B$5:$B$207,A30,'库存流水'!$G$5:$G$207)</f>
        <v/>
      </c>
      <c r="F30" s="35">
        <f>SUMIFS('库存流水'!$H$5:$H$207,'库存流水'!$B$5:$B$207,A30,'库存流水'!$L$5:$L$207,1)</f>
        <v/>
      </c>
      <c r="G30" s="35">
        <f>B30-D30-E30-F30</f>
        <v/>
      </c>
      <c r="H30" s="35">
        <f>SUMIF('销售流水'!$C$5:$C$203,A30,'销售流水'!$F$5:$F$203)</f>
        <v/>
      </c>
      <c r="I30" s="32">
        <f>IF(D30=0,0,H30/D30)</f>
        <v/>
      </c>
      <c r="J30" s="35">
        <f>SUMIFS('报损折价'!$F$5:$F$79,'报损折价'!$C$5:$C$79,A30,'报损折价'!$J$5:$J$79,"是")</f>
        <v/>
      </c>
      <c r="K30" s="35">
        <f>SUMIF('冷链温控'!$A$5:$A$144,A30,'冷链温控'!$H$5:$H$144)</f>
        <v/>
      </c>
      <c r="L30" s="35">
        <f>MINIFS('质检抽检'!$E$5:$E$144,'质检抽检'!$B$5:$B$144,A30)</f>
        <v/>
      </c>
      <c r="M30" s="35">
        <f>SUMIF('渠道动销'!$C$5:$C$94,A30,'渠道动销'!$F$5:$F$94)</f>
        <v/>
      </c>
    </row>
    <row r="31">
      <c r="A31" s="16" t="inlineStr">
        <is>
          <t>NY-KW-2508-027</t>
        </is>
      </c>
      <c r="B31" s="35">
        <f>SUMIF('采购批次'!$A$5:$A$32,A31,'采购批次'!$G$5:$G$32)</f>
        <v/>
      </c>
      <c r="C31" s="35">
        <f>SUMIF('库存流水'!$B$5:$B$207,A31,'库存流水'!$E$5:$E$207)</f>
        <v/>
      </c>
      <c r="D31" s="35">
        <f>SUMIF('库存流水'!$B$5:$B$207,A31,'库存流水'!$F$5:$F$207)</f>
        <v/>
      </c>
      <c r="E31" s="35">
        <f>SUMIF('库存流水'!$B$5:$B$207,A31,'库存流水'!$G$5:$G$207)</f>
        <v/>
      </c>
      <c r="F31" s="35">
        <f>SUMIFS('库存流水'!$H$5:$H$207,'库存流水'!$B$5:$B$207,A31,'库存流水'!$L$5:$L$207,1)</f>
        <v/>
      </c>
      <c r="G31" s="35">
        <f>B31-D31-E31-F31</f>
        <v/>
      </c>
      <c r="H31" s="35">
        <f>SUMIF('销售流水'!$C$5:$C$203,A31,'销售流水'!$F$5:$F$203)</f>
        <v/>
      </c>
      <c r="I31" s="32">
        <f>IF(D31=0,0,H31/D31)</f>
        <v/>
      </c>
      <c r="J31" s="35">
        <f>SUMIFS('报损折价'!$F$5:$F$79,'报损折价'!$C$5:$C$79,A31,'报损折价'!$J$5:$J$79,"是")</f>
        <v/>
      </c>
      <c r="K31" s="35">
        <f>SUMIF('冷链温控'!$A$5:$A$144,A31,'冷链温控'!$H$5:$H$144)</f>
        <v/>
      </c>
      <c r="L31" s="35">
        <f>MINIFS('质检抽检'!$E$5:$E$144,'质检抽检'!$B$5:$B$144,A31)</f>
        <v/>
      </c>
      <c r="M31" s="35">
        <f>SUMIF('渠道动销'!$C$5:$C$94,A31,'渠道动销'!$F$5:$F$94)</f>
        <v/>
      </c>
    </row>
    <row r="32">
      <c r="A32" s="16" t="inlineStr">
        <is>
          <t>NY-KW-2508-028</t>
        </is>
      </c>
      <c r="B32" s="35">
        <f>SUMIF('采购批次'!$A$5:$A$32,A32,'采购批次'!$G$5:$G$32)</f>
        <v/>
      </c>
      <c r="C32" s="35">
        <f>SUMIF('库存流水'!$B$5:$B$207,A32,'库存流水'!$E$5:$E$207)</f>
        <v/>
      </c>
      <c r="D32" s="35">
        <f>SUMIF('库存流水'!$B$5:$B$207,A32,'库存流水'!$F$5:$F$207)</f>
        <v/>
      </c>
      <c r="E32" s="35">
        <f>SUMIF('库存流水'!$B$5:$B$207,A32,'库存流水'!$G$5:$G$207)</f>
        <v/>
      </c>
      <c r="F32" s="35">
        <f>SUMIFS('库存流水'!$H$5:$H$207,'库存流水'!$B$5:$B$207,A32,'库存流水'!$L$5:$L$207,1)</f>
        <v/>
      </c>
      <c r="G32" s="35">
        <f>B32-D32-E32-F32</f>
        <v/>
      </c>
      <c r="H32" s="35">
        <f>SUMIF('销售流水'!$C$5:$C$203,A32,'销售流水'!$F$5:$F$203)</f>
        <v/>
      </c>
      <c r="I32" s="32">
        <f>IF(D32=0,0,H32/D32)</f>
        <v/>
      </c>
      <c r="J32" s="35">
        <f>SUMIFS('报损折价'!$F$5:$F$79,'报损折价'!$C$5:$C$79,A32,'报损折价'!$J$5:$J$79,"是")</f>
        <v/>
      </c>
      <c r="K32" s="35">
        <f>SUMIF('冷链温控'!$A$5:$A$144,A32,'冷链温控'!$H$5:$H$144)</f>
        <v/>
      </c>
      <c r="L32" s="35">
        <f>MINIFS('质检抽检'!$E$5:$E$144,'质检抽检'!$B$5:$B$144,A32)</f>
        <v/>
      </c>
      <c r="M32" s="35">
        <f>SUMIF('渠道动销'!$C$5:$C$94,A32,'渠道动销'!$F$5:$F$94)</f>
        <v/>
      </c>
    </row>
  </sheetData>
  <mergeCells count="2">
    <mergeCell ref="A2:M2"/>
    <mergeCell ref="A1:M1"/>
  </mergeCells>
  <conditionalFormatting sqref="G5:G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42" customWidth="1" min="4" max="4"/>
    <col width="18" customWidth="1" min="5" max="5"/>
  </cols>
  <sheetData>
    <row r="1" ht="28" customHeight="1">
      <c r="A1" s="3" t="inlineStr">
        <is>
          <t>经营基线</t>
        </is>
      </c>
    </row>
    <row r="2" ht="32" customHeight="1">
      <c r="A2" s="7" t="inlineStr">
        <is>
          <t>所有指标均由业务原始表或批次对账公式汇总；覆盖范围不同的表分别呈现，不作无依据合并。</t>
        </is>
      </c>
    </row>
    <row r="4" ht="30" customHeight="1">
      <c r="A4" s="13" t="inlineStr">
        <is>
          <t>指标</t>
        </is>
      </c>
      <c r="B4" s="13" t="inlineStr">
        <is>
          <t>数值</t>
        </is>
      </c>
      <c r="C4" s="13" t="inlineStr">
        <is>
          <t>单位</t>
        </is>
      </c>
      <c r="D4" s="13" t="inlineStr">
        <is>
          <t>口径说明</t>
        </is>
      </c>
      <c r="E4" s="13" t="inlineStr">
        <is>
          <t>来源</t>
        </is>
      </c>
    </row>
    <row r="5">
      <c r="A5" s="16" t="inlineStr">
        <is>
          <t>采购批次数</t>
        </is>
      </c>
      <c r="B5" s="36">
        <f>COUNTA('采购批次'!$A$5:$A$32)</f>
        <v/>
      </c>
      <c r="C5" s="16" t="inlineStr">
        <is>
          <t>批</t>
        </is>
      </c>
      <c r="D5" s="17" t="inlineStr">
        <is>
          <t>去重后采购批次</t>
        </is>
      </c>
      <c r="E5" s="16" t="inlineStr">
        <is>
          <t>采购批次</t>
        </is>
      </c>
    </row>
    <row r="6">
      <c r="A6" s="16" t="inlineStr">
        <is>
          <t>采购到货量</t>
        </is>
      </c>
      <c r="B6" s="36">
        <f>SUM('采购批次'!$G$5:$G$32)</f>
        <v/>
      </c>
      <c r="C6" s="16" t="inlineStr">
        <is>
          <t>kg</t>
        </is>
      </c>
      <c r="D6" s="17" t="inlineStr">
        <is>
          <t>采购台账到货量合计</t>
        </is>
      </c>
      <c r="E6" s="16" t="inlineStr">
        <is>
          <t>采购批次</t>
        </is>
      </c>
    </row>
    <row r="7">
      <c r="A7" s="16" t="inlineStr">
        <is>
          <t>采购金额</t>
        </is>
      </c>
      <c r="B7" s="36">
        <f>SUM('采购批次'!$I$5:$I$32)</f>
        <v/>
      </c>
      <c r="C7" s="16" t="inlineStr">
        <is>
          <t>元</t>
        </is>
      </c>
      <c r="D7" s="17" t="inlineStr">
        <is>
          <t>采购台账金额合计</t>
        </is>
      </c>
      <c r="E7" s="16" t="inlineStr">
        <is>
          <t>采购批次</t>
        </is>
      </c>
    </row>
    <row r="8">
      <c r="A8" s="16" t="inlineStr">
        <is>
          <t>加权采购单价</t>
        </is>
      </c>
      <c r="B8" s="36">
        <f>B7/B6</f>
        <v/>
      </c>
      <c r="C8" s="16" t="inlineStr">
        <is>
          <t>元/kg</t>
        </is>
      </c>
      <c r="D8" s="17" t="inlineStr">
        <is>
          <t>采购金额/到货量</t>
        </is>
      </c>
      <c r="E8" s="16" t="inlineStr">
        <is>
          <t>采购批次</t>
        </is>
      </c>
    </row>
    <row r="9">
      <c r="A9" s="16" t="inlineStr">
        <is>
          <t>库存出库量</t>
        </is>
      </c>
      <c r="B9" s="36">
        <f>SUM('库存流水'!$F$5:$F$207)</f>
        <v/>
      </c>
      <c r="C9" s="16" t="inlineStr">
        <is>
          <t>kg</t>
        </is>
      </c>
      <c r="D9" s="17" t="inlineStr">
        <is>
          <t>库存流水出库量合计</t>
        </is>
      </c>
      <c r="E9" s="16" t="inlineStr">
        <is>
          <t>库存流水</t>
        </is>
      </c>
    </row>
    <row r="10">
      <c r="A10" s="16" t="inlineStr">
        <is>
          <t>库存报损量</t>
        </is>
      </c>
      <c r="B10" s="36">
        <f>SUM('库存流水'!$G$5:$G$207)</f>
        <v/>
      </c>
      <c r="C10" s="16" t="inlineStr">
        <is>
          <t>kg</t>
        </is>
      </c>
      <c r="D10" s="17" t="inlineStr">
        <is>
          <t>库存流水报损量合计</t>
        </is>
      </c>
      <c r="E10" s="16" t="inlineStr">
        <is>
          <t>库存流水</t>
        </is>
      </c>
    </row>
    <row r="11">
      <c r="A11" s="16" t="inlineStr">
        <is>
          <t>末笔期末库存</t>
        </is>
      </c>
      <c r="B11" s="36">
        <f>SUM('批次对账'!$F$5:$F$32)</f>
        <v/>
      </c>
      <c r="C11" s="16" t="inlineStr">
        <is>
          <t>kg</t>
        </is>
      </c>
      <c r="D11" s="17" t="inlineStr">
        <is>
          <t>各批次末笔期末库存合计</t>
        </is>
      </c>
      <c r="E11" s="16" t="inlineStr">
        <is>
          <t>批次对账</t>
        </is>
      </c>
    </row>
    <row r="12">
      <c r="A12" s="16" t="inlineStr">
        <is>
          <t>库存平衡差异</t>
        </is>
      </c>
      <c r="B12" s="36">
        <f>SUM('批次对账'!$G$5:$G$32)</f>
        <v/>
      </c>
      <c r="C12" s="16" t="inlineStr">
        <is>
          <t>kg</t>
        </is>
      </c>
      <c r="D12" s="17" t="inlineStr">
        <is>
          <t>采购到货-出库-报损-末笔库存</t>
        </is>
      </c>
      <c r="E12" s="16" t="inlineStr">
        <is>
          <t>批次对账</t>
        </is>
      </c>
    </row>
    <row r="13">
      <c r="A13" s="16" t="inlineStr">
        <is>
          <t>成熟相关问题量</t>
        </is>
      </c>
      <c r="B13" s="36">
        <f>SUMIFS('报损折价'!$F$5:$F$79,'报损折价'!$J$5:$J$79,"是")</f>
        <v/>
      </c>
      <c r="C13" s="16" t="inlineStr">
        <is>
          <t>kg</t>
        </is>
      </c>
      <c r="D13" s="17" t="inlineStr">
        <is>
          <t>问题记录中标记为成熟相关</t>
        </is>
      </c>
      <c r="E13" s="16" t="inlineStr">
        <is>
          <t>报损折价</t>
        </is>
      </c>
    </row>
    <row r="14">
      <c r="A14" s="16" t="inlineStr">
        <is>
          <t>成熟相关损失</t>
        </is>
      </c>
      <c r="B14" s="36">
        <f>SUMIFS('报损折价'!$I$5:$I$79,'报损折价'!$J$5:$J$79,"是")</f>
        <v/>
      </c>
      <c r="C14" s="16" t="inlineStr">
        <is>
          <t>元</t>
        </is>
      </c>
      <c r="D14" s="17" t="inlineStr">
        <is>
          <t>估计损失字段合计</t>
        </is>
      </c>
      <c r="E14" s="16" t="inlineStr">
        <is>
          <t>报损折价</t>
        </is>
      </c>
    </row>
    <row r="15">
      <c r="A15" s="16" t="inlineStr">
        <is>
          <t>销售量</t>
        </is>
      </c>
      <c r="B15" s="36">
        <f>SUM('销售流水'!$F$5:$F$203)</f>
        <v/>
      </c>
      <c r="C15" s="16" t="inlineStr">
        <is>
          <t>kg</t>
        </is>
      </c>
      <c r="D15" s="17" t="inlineStr">
        <is>
          <t>销售记录覆盖量，不等于全部库存出库</t>
        </is>
      </c>
      <c r="E15" s="16" t="inlineStr">
        <is>
          <t>销售流水</t>
        </is>
      </c>
    </row>
    <row r="16">
      <c r="A16" s="16" t="inlineStr">
        <is>
          <t>销售收入</t>
        </is>
      </c>
      <c r="B16" s="36">
        <f>SUM('销售流水'!$J$5:$J$203)</f>
        <v/>
      </c>
      <c r="C16" s="16" t="inlineStr">
        <is>
          <t>元</t>
        </is>
      </c>
      <c r="D16" s="17" t="inlineStr">
        <is>
          <t>销售收入合计</t>
        </is>
      </c>
      <c r="E16" s="16" t="inlineStr">
        <is>
          <t>销售流水</t>
        </is>
      </c>
    </row>
    <row r="17">
      <c r="A17" s="16" t="inlineStr">
        <is>
          <t>加权平均售价</t>
        </is>
      </c>
      <c r="B17" s="36">
        <f>B16/B15</f>
        <v/>
      </c>
      <c r="C17" s="16" t="inlineStr">
        <is>
          <t>元/kg</t>
        </is>
      </c>
      <c r="D17" s="17" t="inlineStr">
        <is>
          <t>销售收入/销售量</t>
        </is>
      </c>
      <c r="E17" s="16" t="inlineStr">
        <is>
          <t>销售流水</t>
        </is>
      </c>
    </row>
    <row r="18">
      <c r="A18" s="16" t="inlineStr">
        <is>
          <t>折价销售量</t>
        </is>
      </c>
      <c r="B18" s="36">
        <f>SUM('销售流水'!$H$5:$H$203)</f>
        <v/>
      </c>
      <c r="C18" s="16" t="inlineStr">
        <is>
          <t>kg</t>
        </is>
      </c>
      <c r="D18" s="17" t="inlineStr">
        <is>
          <t>折价销售kg合计</t>
        </is>
      </c>
      <c r="E18" s="16" t="inlineStr">
        <is>
          <t>销售流水</t>
        </is>
      </c>
    </row>
    <row r="19">
      <c r="A19" s="16" t="inlineStr">
        <is>
          <t>折价销售占比</t>
        </is>
      </c>
      <c r="B19" s="32">
        <f>B18/B15</f>
        <v/>
      </c>
      <c r="C19" s="16" t="inlineStr">
        <is>
          <t>%</t>
        </is>
      </c>
      <c r="D19" s="17" t="inlineStr">
        <is>
          <t>折价销售量/销售量</t>
        </is>
      </c>
      <c r="E19" s="16" t="inlineStr">
        <is>
          <t>销售流水</t>
        </is>
      </c>
    </row>
    <row r="20">
      <c r="A20" s="16" t="inlineStr">
        <is>
          <t>退货量</t>
        </is>
      </c>
      <c r="B20" s="36">
        <f>SUM('销售流水'!$K$5:$K$203)</f>
        <v/>
      </c>
      <c r="C20" s="16" t="inlineStr">
        <is>
          <t>kg</t>
        </is>
      </c>
      <c r="D20" s="17" t="inlineStr">
        <is>
          <t>退货kg合计</t>
        </is>
      </c>
      <c r="E20" s="16" t="inlineStr">
        <is>
          <t>销售流水</t>
        </is>
      </c>
    </row>
    <row r="21">
      <c r="A21" s="16" t="inlineStr">
        <is>
          <t>退货率</t>
        </is>
      </c>
      <c r="B21" s="32">
        <f>B20/B15</f>
        <v/>
      </c>
      <c r="C21" s="16" t="inlineStr">
        <is>
          <t>%</t>
        </is>
      </c>
      <c r="D21" s="17" t="inlineStr">
        <is>
          <t>退货量/销售量</t>
        </is>
      </c>
      <c r="E21" s="16" t="inlineStr">
        <is>
          <t>销售流水</t>
        </is>
      </c>
    </row>
    <row r="22">
      <c r="A22" s="16" t="inlineStr">
        <is>
          <t>客诉件数</t>
        </is>
      </c>
      <c r="B22" s="36">
        <f>SUM('销售流水'!$L$5:$L$203)</f>
        <v/>
      </c>
      <c r="C22" s="16" t="inlineStr">
        <is>
          <t>件</t>
        </is>
      </c>
      <c r="D22" s="17" t="inlineStr">
        <is>
          <t>客诉件数合计</t>
        </is>
      </c>
      <c r="E22" s="16" t="inlineStr">
        <is>
          <t>销售流水</t>
        </is>
      </c>
    </row>
    <row r="23">
      <c r="A23" s="16" t="inlineStr">
        <is>
          <t>冷链超温小时</t>
        </is>
      </c>
      <c r="B23" s="36">
        <f>SUM('冷链温控'!$H$5:$H$144)</f>
        <v/>
      </c>
      <c r="C23" s="16" t="inlineStr">
        <is>
          <t>小时</t>
        </is>
      </c>
      <c r="D23" s="17" t="inlineStr">
        <is>
          <t>逐环节超温小时合计</t>
        </is>
      </c>
      <c r="E23" s="16" t="inlineStr">
        <is>
          <t>冷链温控</t>
        </is>
      </c>
    </row>
    <row r="24">
      <c r="A24" s="16" t="inlineStr">
        <is>
          <t>断链记录数</t>
        </is>
      </c>
      <c r="B24" s="36">
        <f>COUNTIF('冷链温控'!$J$5:$J$144,"是")</f>
        <v/>
      </c>
      <c r="C24" s="16" t="inlineStr">
        <is>
          <t>条</t>
        </is>
      </c>
      <c r="D24" s="17" t="inlineStr">
        <is>
          <t>是否断链=是</t>
        </is>
      </c>
      <c r="E24" s="16" t="inlineStr">
        <is>
          <t>冷链温控</t>
        </is>
      </c>
    </row>
    <row r="25">
      <c r="A25" s="16" t="inlineStr">
        <is>
          <t>质检抽检果数</t>
        </is>
      </c>
      <c r="B25" s="36">
        <f>SUM('质检抽检'!$D$5:$D$144)</f>
        <v/>
      </c>
      <c r="C25" s="16" t="inlineStr">
        <is>
          <t>个</t>
        </is>
      </c>
      <c r="D25" s="17" t="inlineStr">
        <is>
          <t>抽检果数合计</t>
        </is>
      </c>
      <c r="E25" s="16" t="inlineStr">
        <is>
          <t>质检抽检</t>
        </is>
      </c>
    </row>
    <row r="26">
      <c r="A26" s="16" t="inlineStr">
        <is>
          <t>不建议销售记录</t>
        </is>
      </c>
      <c r="B26" s="36">
        <f>COUNTIF('质检抽检'!$H$5:$H$144,"不建议销售")</f>
        <v/>
      </c>
      <c r="C26" s="16" t="inlineStr">
        <is>
          <t>条</t>
        </is>
      </c>
      <c r="D26" s="17" t="inlineStr">
        <is>
          <t>销售建议字段</t>
        </is>
      </c>
      <c r="E26" s="16" t="inlineStr">
        <is>
          <t>质检抽检</t>
        </is>
      </c>
    </row>
    <row r="27">
      <c r="A27" s="16" t="inlineStr">
        <is>
          <t>渠道到货量</t>
        </is>
      </c>
      <c r="B27" s="36">
        <f>SUM('渠道动销'!$F$5:$F$94)</f>
        <v/>
      </c>
      <c r="C27" s="16" t="inlineStr">
        <is>
          <t>kg</t>
        </is>
      </c>
      <c r="D27" s="17" t="inlineStr">
        <is>
          <t>渠道表覆盖量</t>
        </is>
      </c>
      <c r="E27" s="16" t="inlineStr">
        <is>
          <t>渠道动销</t>
        </is>
      </c>
    </row>
    <row r="28">
      <c r="A28" s="16" t="inlineStr">
        <is>
          <t>渠道加权偏软率</t>
        </is>
      </c>
      <c r="B28" s="32">
        <f>SUMPRODUCT('渠道动销'!$F$5:$F$94,'渠道动销'!$H$5:$H$94)/B27</f>
        <v/>
      </c>
      <c r="C28" s="16" t="inlineStr">
        <is>
          <t>%</t>
        </is>
      </c>
      <c r="D28" s="17" t="inlineStr">
        <is>
          <t>按到货量加权</t>
        </is>
      </c>
      <c r="E28" s="16" t="inlineStr">
        <is>
          <t>渠道动销</t>
        </is>
      </c>
    </row>
    <row r="29">
      <c r="A29" s="16" t="inlineStr">
        <is>
          <t>渠道加权折价率</t>
        </is>
      </c>
      <c r="B29" s="32">
        <f>SUMPRODUCT('渠道动销'!$F$5:$F$94,'渠道动销'!$I$5:$I$94)/B27</f>
        <v/>
      </c>
      <c r="C29" s="16" t="inlineStr">
        <is>
          <t>%</t>
        </is>
      </c>
      <c r="D29" s="17" t="inlineStr">
        <is>
          <t>按到货量加权</t>
        </is>
      </c>
      <c r="E29" s="16" t="inlineStr">
        <is>
          <t>渠道动销</t>
        </is>
      </c>
    </row>
    <row r="30">
      <c r="A30" s="16" t="inlineStr">
        <is>
          <t>平均售完天数</t>
        </is>
      </c>
      <c r="B30" s="36">
        <f>AVERAGE('渠道动销'!$J$5:$J$94)</f>
        <v/>
      </c>
      <c r="C30" s="16" t="inlineStr">
        <is>
          <t>天</t>
        </is>
      </c>
      <c r="D30" s="17" t="inlineStr">
        <is>
          <t>渠道表简单平均</t>
        </is>
      </c>
      <c r="E30" s="16" t="inlineStr">
        <is>
          <t>渠道动销</t>
        </is>
      </c>
    </row>
    <row r="31">
      <c r="A31" s="16" t="inlineStr">
        <is>
          <t>平均变动处理成本</t>
        </is>
      </c>
      <c r="B31" s="36">
        <f>SUMIFS('处理成本'!$D$5:$D$28,'处理成本'!$C$5:$C$28,"元/kg果")/3</f>
        <v/>
      </c>
      <c r="C31" s="16" t="inlineStr">
        <is>
          <t>元/kg</t>
        </is>
      </c>
      <c r="D31" s="17" t="inlineStr">
        <is>
          <t>三个月各变动成本项目之和的月均值</t>
        </is>
      </c>
      <c r="E31" s="16" t="inlineStr">
        <is>
          <t>处理成本</t>
        </is>
      </c>
    </row>
    <row r="32">
      <c r="A32" s="16" t="inlineStr">
        <is>
          <t>平均每批固定成本</t>
        </is>
      </c>
      <c r="B32" s="36">
        <f>SUMIFS('处理成本'!$D$5:$D$28,'处理成本'!$C$5:$C$28,"元/批")/3</f>
        <v/>
      </c>
      <c r="C32" s="16" t="inlineStr">
        <is>
          <t>元/批</t>
        </is>
      </c>
      <c r="D32" s="17" t="inlineStr">
        <is>
          <t>三个月每批费用合计的月均值</t>
        </is>
      </c>
      <c r="E32" s="16" t="inlineStr">
        <is>
          <t>处理成本</t>
        </is>
      </c>
    </row>
    <row r="33">
      <c r="A33" s="16" t="inlineStr">
        <is>
          <t>平均月培训成本</t>
        </is>
      </c>
      <c r="B33" s="36">
        <f>AVERAGEIFS('处理成本'!$D$5:$D$28,'处理成本'!$C$5:$C$28,"元/月")</f>
        <v/>
      </c>
      <c r="C33" s="16" t="inlineStr">
        <is>
          <t>元/月</t>
        </is>
      </c>
      <c r="D33" s="17" t="inlineStr">
        <is>
          <t>三个月培训费用平均</t>
        </is>
      </c>
      <c r="E33" s="16" t="inlineStr">
        <is>
          <t>处理成本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36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3" t="inlineStr">
        <is>
          <t>GA₃处理供应链应用情景测算</t>
        </is>
      </c>
    </row>
    <row r="2" ht="32" customHeight="1">
      <c r="A2" s="7" t="inlineStr">
        <is>
          <t>黄色为可调整假设；历史基线来自“经营基线”。测算仅用于筛选验证价值，不代表已实现收益或商业施用许可。</t>
        </is>
      </c>
    </row>
    <row r="4" ht="30" customHeight="1">
      <c r="A4" s="13" t="inlineStr">
        <is>
          <t>基线参数</t>
        </is>
      </c>
      <c r="B4" s="13" t="inlineStr">
        <is>
          <t>数值</t>
        </is>
      </c>
      <c r="C4" s="13" t="inlineStr">
        <is>
          <t>单位</t>
        </is>
      </c>
      <c r="D4" s="13" t="inlineStr">
        <is>
          <t>来源/说明</t>
        </is>
      </c>
    </row>
    <row r="5">
      <c r="A5" s="16" t="inlineStr">
        <is>
          <t>评估期处理量</t>
        </is>
      </c>
      <c r="B5" s="36">
        <f>'经营基线'!B6</f>
        <v/>
      </c>
      <c r="C5" s="16" t="inlineStr">
        <is>
          <t>kg</t>
        </is>
      </c>
      <c r="D5" s="16" t="inlineStr">
        <is>
          <t>采购到货量，作为全量情景规模</t>
        </is>
      </c>
    </row>
    <row r="6">
      <c r="A6" s="16" t="inlineStr">
        <is>
          <t>评估期批次数</t>
        </is>
      </c>
      <c r="B6" s="36">
        <f>'经营基线'!B5</f>
        <v/>
      </c>
      <c r="C6" s="16" t="inlineStr">
        <is>
          <t>批</t>
        </is>
      </c>
      <c r="D6" s="16" t="inlineStr">
        <is>
          <t>采购批次数</t>
        </is>
      </c>
    </row>
    <row r="7">
      <c r="A7" s="16" t="inlineStr">
        <is>
          <t>评估期月数</t>
        </is>
      </c>
      <c r="B7" s="36" t="n">
        <v>3</v>
      </c>
      <c r="C7" s="16" t="inlineStr">
        <is>
          <t>月</t>
        </is>
      </c>
      <c r="D7" s="16" t="inlineStr">
        <is>
          <t>2025-08至2025-10的计划假设</t>
        </is>
      </c>
    </row>
    <row r="8">
      <c r="A8" s="16" t="inlineStr">
        <is>
          <t>平均变动成本</t>
        </is>
      </c>
      <c r="B8" s="36">
        <f>'经营基线'!B31</f>
        <v/>
      </c>
      <c r="C8" s="16" t="inlineStr">
        <is>
          <t>元/kg</t>
        </is>
      </c>
      <c r="D8" s="16" t="inlineStr">
        <is>
          <t>三个月处理药剂、现场人工、设备折旧月均合计</t>
        </is>
      </c>
    </row>
    <row r="9">
      <c r="A9" s="16" t="inlineStr">
        <is>
          <t>平均每批固定成本</t>
        </is>
      </c>
      <c r="B9" s="36">
        <f>'经营基线'!B32</f>
        <v/>
      </c>
      <c r="C9" s="16" t="inlineStr">
        <is>
          <t>元/批</t>
        </is>
      </c>
      <c r="D9" s="16" t="inlineStr">
        <is>
          <t>残留检测、品质复检、追溯和废液处理月均合计</t>
        </is>
      </c>
    </row>
    <row r="10">
      <c r="A10" s="16" t="inlineStr">
        <is>
          <t>平均月培训成本</t>
        </is>
      </c>
      <c r="B10" s="36">
        <f>'经营基线'!B33</f>
        <v/>
      </c>
      <c r="C10" s="16" t="inlineStr">
        <is>
          <t>元/月</t>
        </is>
      </c>
      <c r="D10" s="16" t="inlineStr">
        <is>
          <t>培训费用月均值</t>
        </is>
      </c>
    </row>
    <row r="11">
      <c r="A11" s="16" t="inlineStr">
        <is>
          <t>成熟相关损失基线</t>
        </is>
      </c>
      <c r="B11" s="36">
        <f>'经营基线'!B14</f>
        <v/>
      </c>
      <c r="C11" s="16" t="inlineStr">
        <is>
          <t>元</t>
        </is>
      </c>
      <c r="D11" s="16" t="inlineStr">
        <is>
          <t>成熟相关问题记录的估计损失</t>
        </is>
      </c>
    </row>
    <row r="12">
      <c r="A12" s="16" t="inlineStr">
        <is>
          <t>折价销售量基线</t>
        </is>
      </c>
      <c r="B12" s="36">
        <f>'经营基线'!B18</f>
        <v/>
      </c>
      <c r="C12" s="16" t="inlineStr">
        <is>
          <t>kg</t>
        </is>
      </c>
      <c r="D12" s="16" t="inlineStr">
        <is>
          <t>销售流水折价销售量</t>
        </is>
      </c>
    </row>
    <row r="13">
      <c r="A13" s="16" t="inlineStr">
        <is>
          <t>退货量基线</t>
        </is>
      </c>
      <c r="B13" s="36">
        <f>'经营基线'!B20</f>
        <v/>
      </c>
      <c r="C13" s="16" t="inlineStr">
        <is>
          <t>kg</t>
        </is>
      </c>
      <c r="D13" s="16" t="inlineStr">
        <is>
          <t>销售流水退货量</t>
        </is>
      </c>
    </row>
    <row r="14">
      <c r="A14" s="16" t="inlineStr">
        <is>
          <t>加权平均售价</t>
        </is>
      </c>
      <c r="B14" s="36">
        <f>'经营基线'!B17</f>
        <v/>
      </c>
      <c r="C14" s="16" t="inlineStr">
        <is>
          <t>元/kg（13元/斤=26元/kg）</t>
        </is>
      </c>
      <c r="D14" s="16" t="inlineStr">
        <is>
          <t>销售收入/销售量；已按猕猴桃市场价13元/斤折算</t>
        </is>
      </c>
      <c r="E14" t="inlineStr">
        <is>
          <t>销售流水（按13元/斤更新）</t>
        </is>
      </c>
    </row>
    <row r="16" ht="30" customHeight="1">
      <c r="A16" s="13" t="inlineStr">
        <is>
          <t>情景假设与结果</t>
        </is>
      </c>
      <c r="B16" s="13" t="inlineStr">
        <is>
          <t>保守</t>
        </is>
      </c>
      <c r="C16" s="13" t="inlineStr">
        <is>
          <t>中性</t>
        </is>
      </c>
      <c r="D16" s="13" t="inlineStr">
        <is>
          <t>乐观</t>
        </is>
      </c>
    </row>
    <row r="17">
      <c r="A17" s="16" t="inlineStr">
        <is>
          <t>成熟相关损失减少率</t>
        </is>
      </c>
      <c r="B17" s="37" t="n">
        <v>0.1</v>
      </c>
      <c r="C17" s="37" t="n">
        <v>0.2</v>
      </c>
      <c r="D17" s="37" t="n">
        <v>0.3</v>
      </c>
      <c r="E17" s="16" t="inlineStr">
        <is>
          <t>%</t>
        </is>
      </c>
    </row>
    <row r="18">
      <c r="A18" s="16" t="inlineStr">
        <is>
          <t>折价销售量减少率</t>
        </is>
      </c>
      <c r="B18" s="37" t="n">
        <v>0.05</v>
      </c>
      <c r="C18" s="37" t="n">
        <v>0.1</v>
      </c>
      <c r="D18" s="37" t="n">
        <v>0.15</v>
      </c>
      <c r="E18" s="16" t="inlineStr">
        <is>
          <t>%</t>
        </is>
      </c>
    </row>
    <row r="19">
      <c r="A19" s="16" t="inlineStr">
        <is>
          <t>折价价差</t>
        </is>
      </c>
      <c r="B19" s="25" t="n">
        <v>1.5</v>
      </c>
      <c r="C19" s="25" t="n">
        <v>2</v>
      </c>
      <c r="D19" s="25" t="n">
        <v>2.5</v>
      </c>
      <c r="E19" s="16" t="inlineStr">
        <is>
          <t>元/kg；需在试点中实测</t>
        </is>
      </c>
    </row>
    <row r="20">
      <c r="A20" s="16" t="inlineStr">
        <is>
          <t>退货减少率</t>
        </is>
      </c>
      <c r="B20" s="37" t="n">
        <v>0.05</v>
      </c>
      <c r="C20" s="37" t="n">
        <v>0.1</v>
      </c>
      <c r="D20" s="37" t="n">
        <v>0.15</v>
      </c>
      <c r="E20" s="16" t="inlineStr">
        <is>
          <t>%</t>
        </is>
      </c>
    </row>
    <row r="21">
      <c r="A21" s="16" t="inlineStr">
        <is>
          <t>退货损失率</t>
        </is>
      </c>
      <c r="B21" s="37" t="n">
        <v>0.7</v>
      </c>
      <c r="C21" s="37" t="n">
        <v>0.8</v>
      </c>
      <c r="D21" s="37" t="n">
        <v>0.9</v>
      </c>
      <c r="E21" s="16" t="inlineStr">
        <is>
          <t>%；退货量对应损失价值比例</t>
        </is>
      </c>
    </row>
    <row r="22">
      <c r="A22" s="16" t="inlineStr">
        <is>
          <t>可售窗口延长</t>
        </is>
      </c>
      <c r="B22" s="25" t="n">
        <v>2</v>
      </c>
      <c r="C22" s="25" t="n">
        <v>4</v>
      </c>
      <c r="D22" s="25" t="n">
        <v>6</v>
      </c>
      <c r="E22" s="16" t="inlineStr">
        <is>
          <t>天；待冷链试验验证</t>
        </is>
      </c>
    </row>
    <row r="24" ht="30" customHeight="1">
      <c r="A24" s="13" t="inlineStr">
        <is>
          <t>测算结果</t>
        </is>
      </c>
      <c r="B24" s="13" t="inlineStr">
        <is>
          <t>保守</t>
        </is>
      </c>
      <c r="C24" s="13" t="inlineStr">
        <is>
          <t>中性</t>
        </is>
      </c>
      <c r="D24" s="13" t="inlineStr">
        <is>
          <t>乐观</t>
        </is>
      </c>
      <c r="F24" s="13" t="inlineStr">
        <is>
          <t>情景</t>
        </is>
      </c>
      <c r="G24" s="13" t="inlineStr">
        <is>
          <t>净价值(元)</t>
        </is>
      </c>
    </row>
    <row r="25">
      <c r="A25" s="16" t="inlineStr">
        <is>
          <t>减损收益</t>
        </is>
      </c>
      <c r="B25" s="36">
        <f>$B$11*B$17</f>
        <v/>
      </c>
      <c r="C25" s="36">
        <f>$B$11*C$17</f>
        <v/>
      </c>
      <c r="D25" s="36">
        <f>$B$11*D$17</f>
        <v/>
      </c>
      <c r="F25" s="16" t="inlineStr">
        <is>
          <t>保守</t>
        </is>
      </c>
      <c r="G25" s="16">
        <f>B33</f>
        <v/>
      </c>
    </row>
    <row r="26">
      <c r="A26" s="16" t="inlineStr">
        <is>
          <t>折价回收价值</t>
        </is>
      </c>
      <c r="B26" s="36">
        <f>$B$12*B$18*B$19</f>
        <v/>
      </c>
      <c r="C26" s="36">
        <f>$B$12*C$18*C$19</f>
        <v/>
      </c>
      <c r="D26" s="36">
        <f>$B$12*D$18*D$19</f>
        <v/>
      </c>
      <c r="F26" s="16" t="inlineStr">
        <is>
          <t>中性</t>
        </is>
      </c>
      <c r="G26" s="16">
        <f>C33</f>
        <v/>
      </c>
    </row>
    <row r="27">
      <c r="A27" s="16" t="inlineStr">
        <is>
          <t>退货回收价值</t>
        </is>
      </c>
      <c r="B27" s="36">
        <f>$B$13*B$20*$B$14*B$21</f>
        <v/>
      </c>
      <c r="C27" s="36">
        <f>$B$13*C$20*$B$14*C$21</f>
        <v/>
      </c>
      <c r="D27" s="36">
        <f>$B$13*D$20*$B$14*D$21</f>
        <v/>
      </c>
      <c r="F27" s="16" t="inlineStr">
        <is>
          <t>乐观</t>
        </is>
      </c>
      <c r="G27" s="16">
        <f>D33</f>
        <v/>
      </c>
    </row>
    <row r="28">
      <c r="A28" s="16" t="inlineStr">
        <is>
          <t>收益合计</t>
        </is>
      </c>
      <c r="B28" s="36">
        <f>SUM(B25:B27)</f>
        <v/>
      </c>
      <c r="C28" s="36">
        <f>SUM(C25:C27)</f>
        <v/>
      </c>
      <c r="D28" s="36">
        <f>SUM(D25:D27)</f>
        <v/>
      </c>
    </row>
    <row r="29">
      <c r="A29" s="16" t="inlineStr">
        <is>
          <t>变动处理成本</t>
        </is>
      </c>
      <c r="B29" s="36">
        <f>$B$5*$B$8</f>
        <v/>
      </c>
      <c r="C29" s="36">
        <f>$B$5*$B$8</f>
        <v/>
      </c>
      <c r="D29" s="36">
        <f>$B$5*$B$8</f>
        <v/>
      </c>
    </row>
    <row r="30">
      <c r="A30" s="16" t="inlineStr">
        <is>
          <t>每批固定成本</t>
        </is>
      </c>
      <c r="B30" s="36">
        <f>$B$6*$B$9</f>
        <v/>
      </c>
      <c r="C30" s="36">
        <f>$B$6*$B$9</f>
        <v/>
      </c>
      <c r="D30" s="36">
        <f>$B$6*$B$9</f>
        <v/>
      </c>
    </row>
    <row r="31">
      <c r="A31" s="16" t="inlineStr">
        <is>
          <t>培训成本</t>
        </is>
      </c>
      <c r="B31" s="36">
        <f>$B$7*$B$10</f>
        <v/>
      </c>
      <c r="C31" s="36">
        <f>$B$7*$B$10</f>
        <v/>
      </c>
      <c r="D31" s="36">
        <f>$B$7*$B$10</f>
        <v/>
      </c>
    </row>
    <row r="32">
      <c r="A32" s="16" t="inlineStr">
        <is>
          <t>成本合计</t>
        </is>
      </c>
      <c r="B32" s="36">
        <f>SUM(B29:B31)</f>
        <v/>
      </c>
      <c r="C32" s="36">
        <f>SUM(C29:C31)</f>
        <v/>
      </c>
      <c r="D32" s="36">
        <f>SUM(D29:D31)</f>
        <v/>
      </c>
    </row>
    <row r="33">
      <c r="A33" s="16" t="inlineStr">
        <is>
          <t>净价值</t>
        </is>
      </c>
      <c r="B33" s="36">
        <f>B28-B32</f>
        <v/>
      </c>
      <c r="C33" s="36">
        <f>C28-C32</f>
        <v/>
      </c>
      <c r="D33" s="36">
        <f>D28-D32</f>
        <v/>
      </c>
    </row>
    <row r="34">
      <c r="A34" s="16" t="inlineStr">
        <is>
          <t>收益/成本</t>
        </is>
      </c>
      <c r="B34" s="38">
        <f>IF(B32=0,0,B28/B32)</f>
        <v/>
      </c>
      <c r="C34" s="38">
        <f>IF(C32=0,0,C28/C32)</f>
        <v/>
      </c>
      <c r="D34" s="38">
        <f>IF(D32=0,0,D28/D32)</f>
        <v/>
      </c>
    </row>
    <row r="35">
      <c r="A35" s="16" t="inlineStr">
        <is>
          <t>结论</t>
        </is>
      </c>
      <c r="B35" s="17">
        <f>IF(B33&gt;0,"具备经济验证空间","成本高于当前可量化收益")</f>
        <v/>
      </c>
      <c r="C35" s="17">
        <f>IF(C33&gt;0,"具备经济验证空间","成本高于当前可量化收益")</f>
        <v/>
      </c>
      <c r="D35" s="17">
        <f>IF(D33&gt;0,"具备经济验证空间","成本高于当前可量化收益")</f>
        <v/>
      </c>
    </row>
    <row r="37" ht="30" customHeight="1">
      <c r="A37" s="13" t="inlineStr">
        <is>
          <t>试点预算</t>
        </is>
      </c>
      <c r="B37" s="13" t="inlineStr">
        <is>
          <t>数值</t>
        </is>
      </c>
      <c r="C37" s="13" t="inlineStr">
        <is>
          <t>单位</t>
        </is>
      </c>
      <c r="D37" s="13" t="inlineStr">
        <is>
          <t>说明</t>
        </is>
      </c>
    </row>
    <row r="38">
      <c r="A38" s="16" t="inlineStr">
        <is>
          <t>试点处理量</t>
        </is>
      </c>
      <c r="B38" s="39" t="n">
        <v>30000</v>
      </c>
      <c r="C38" s="16" t="inlineStr">
        <is>
          <t>kg</t>
        </is>
      </c>
      <c r="D38" s="16" t="inlineStr">
        <is>
          <t>规划假设，可调整</t>
        </is>
      </c>
    </row>
    <row r="39">
      <c r="A39" s="16" t="inlineStr">
        <is>
          <t>试点批次数</t>
        </is>
      </c>
      <c r="B39" s="39" t="n">
        <v>3</v>
      </c>
      <c r="C39" s="16" t="inlineStr">
        <is>
          <t>批</t>
        </is>
      </c>
      <c r="D39" s="16" t="inlineStr">
        <is>
          <t>规划假设，可调整</t>
        </is>
      </c>
    </row>
    <row r="40">
      <c r="A40" s="16" t="inlineStr">
        <is>
          <t>试点月数</t>
        </is>
      </c>
      <c r="B40" s="39" t="n">
        <v>1</v>
      </c>
      <c r="C40" s="16" t="inlineStr">
        <is>
          <t>月</t>
        </is>
      </c>
      <c r="D40" s="16" t="inlineStr">
        <is>
          <t>规划假设，可调整</t>
        </is>
      </c>
    </row>
    <row r="41">
      <c r="A41" s="16" t="inlineStr">
        <is>
          <t>预计试点成本</t>
        </is>
      </c>
      <c r="B41" s="36">
        <f>B38*$B$8+B39*$B$9+B40*$B$10</f>
        <v/>
      </c>
      <c r="C41" s="16" t="inlineStr">
        <is>
          <t>元</t>
        </is>
      </c>
      <c r="D41" s="16" t="inlineStr">
        <is>
          <t>不含设备改造停线和注册申报成本</t>
        </is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46" customWidth="1" min="4" max="4"/>
    <col width="24" customWidth="1" min="5" max="5"/>
    <col width="44" customWidth="1" min="6" max="6"/>
    <col width="14" customWidth="1" min="7" max="7"/>
    <col width="34" customWidth="1" min="8" max="8"/>
    <col width="14" customWidth="1" min="9" max="9"/>
  </cols>
  <sheetData>
    <row r="1" ht="28" customHeight="1">
      <c r="A1" s="3" t="inlineStr">
        <is>
          <t>证据台账</t>
        </is>
      </c>
    </row>
    <row r="2" ht="32" customHeight="1">
      <c r="A2" s="7" t="inlineStr">
        <is>
          <t>科研论文已按DOI注册元数据复核题名和年份；标准与法规按官方入口记录现行状态和适用边界；检索日期用于标记本次公开资料核验时点。</t>
        </is>
      </c>
    </row>
    <row r="4" ht="30" customHeight="1">
      <c r="A4" s="13" t="inlineStr">
        <is>
          <t>编号</t>
        </is>
      </c>
      <c r="B4" s="13" t="inlineStr">
        <is>
          <t>资料类型</t>
        </is>
      </c>
      <c r="C4" s="13" t="inlineStr">
        <is>
          <t>年份</t>
        </is>
      </c>
      <c r="D4" s="13" t="inlineStr">
        <is>
          <t>题名或文件名</t>
        </is>
      </c>
      <c r="E4" s="13" t="inlineStr">
        <is>
          <t>标识或标准号</t>
        </is>
      </c>
      <c r="F4" s="13" t="inlineStr">
        <is>
          <t>来源入口</t>
        </is>
      </c>
      <c r="G4" s="13" t="inlineStr">
        <is>
          <t>检索日期</t>
        </is>
      </c>
      <c r="H4" s="13" t="inlineStr">
        <is>
          <t>本项目用途</t>
        </is>
      </c>
      <c r="I4" s="13" t="inlineStr">
        <is>
          <t>主要边界</t>
        </is>
      </c>
      <c r="J4" s="13" t="inlineStr">
        <is>
          <t>状态</t>
        </is>
      </c>
    </row>
    <row r="5">
      <c r="A5" s="16" t="inlineStr">
        <is>
          <t>E01</t>
        </is>
      </c>
      <c r="B5" s="16" t="inlineStr">
        <is>
          <t>科研论文</t>
        </is>
      </c>
      <c r="C5" s="16" t="inlineStr">
        <is>
          <t>1989</t>
        </is>
      </c>
      <c r="D5" s="17" t="inlineStr">
        <is>
          <t>Changes in the softening and composition of kiwifruit affected by maturity at harvest and postharvest treatments</t>
        </is>
      </c>
      <c r="E5" s="17" t="inlineStr">
        <is>
          <t>10.1002/jsfa.2740490404</t>
        </is>
      </c>
      <c r="F5" s="17" t="inlineStr">
        <is>
          <t>https://doi.org/10.1002/jsfa.2740490404</t>
        </is>
      </c>
      <c r="G5" s="17" t="inlineStr">
        <is>
          <t>2026-08-18</t>
        </is>
      </c>
      <c r="H5" s="17" t="inlineStr">
        <is>
          <t>采收成熟度与批次外推</t>
        </is>
      </c>
      <c r="I5" s="17" t="inlineStr">
        <is>
          <t>研究对象和处理条件不同</t>
        </is>
      </c>
      <c r="J5" s="17" t="inlineStr">
        <is>
          <t>有效</t>
        </is>
      </c>
    </row>
    <row r="6">
      <c r="A6" s="16" t="inlineStr">
        <is>
          <t>E02</t>
        </is>
      </c>
      <c r="B6" s="16" t="inlineStr">
        <is>
          <t>科研论文</t>
        </is>
      </c>
      <c r="C6" s="16" t="inlineStr">
        <is>
          <t>1992</t>
        </is>
      </c>
      <c r="D6" s="17" t="inlineStr">
        <is>
          <t>Cell Wall Dissolution in Ripening Kiwifruit</t>
        </is>
      </c>
      <c r="E6" s="17" t="inlineStr">
        <is>
          <t>10.1104/pp.98.1.71</t>
        </is>
      </c>
      <c r="F6" s="17" t="inlineStr">
        <is>
          <t>https://doi.org/10.1104/pp.98.1.71</t>
        </is>
      </c>
      <c r="G6" s="17" t="inlineStr">
        <is>
          <t>2026-08-18</t>
        </is>
      </c>
      <c r="H6" s="17" t="inlineStr">
        <is>
          <t>细胞壁软化机制背景</t>
        </is>
      </c>
      <c r="I6" s="17" t="inlineStr">
        <is>
          <t>本项目未测果胶或细胞壁酶</t>
        </is>
      </c>
      <c r="J6" s="17" t="inlineStr">
        <is>
          <t>有效</t>
        </is>
      </c>
    </row>
    <row r="7">
      <c r="A7" s="16" t="inlineStr">
        <is>
          <t>E03</t>
        </is>
      </c>
      <c r="B7" s="16" t="inlineStr">
        <is>
          <t>科研论文</t>
        </is>
      </c>
      <c r="C7" s="16" t="inlineStr">
        <is>
          <t>2011</t>
        </is>
      </c>
      <c r="D7" s="17" t="inlineStr">
        <is>
          <t>Dissecting the role of climacteric ethylene in kiwifruit ripening using an ACC oxidase knockdown line</t>
        </is>
      </c>
      <c r="E7" s="17" t="inlineStr">
        <is>
          <t>10.1093/jxb/err063</t>
        </is>
      </c>
      <c r="F7" s="17" t="inlineStr">
        <is>
          <t>https://doi.org/10.1093/jxb/err063</t>
        </is>
      </c>
      <c r="G7" s="17" t="inlineStr">
        <is>
          <t>2026-08-18</t>
        </is>
      </c>
      <c r="H7" s="17" t="inlineStr">
        <is>
          <t>乙烯参与成熟后段</t>
        </is>
      </c>
      <c r="I7" s="17" t="inlineStr">
        <is>
          <t>转基因材料不能证明GA3直接靶点</t>
        </is>
      </c>
      <c r="J7" s="17" t="inlineStr">
        <is>
          <t>有效</t>
        </is>
      </c>
    </row>
    <row r="8">
      <c r="A8" s="16" t="inlineStr">
        <is>
          <t>E04</t>
        </is>
      </c>
      <c r="B8" s="16" t="inlineStr">
        <is>
          <t>科研论文</t>
        </is>
      </c>
      <c r="C8" s="16" t="inlineStr">
        <is>
          <t>2012</t>
        </is>
      </c>
      <c r="D8" s="17" t="inlineStr">
        <is>
          <t>Low-temperature-modulated fruit ripening is independent of ethylene in Sanuki Gold kiwifruit</t>
        </is>
      </c>
      <c r="E8" s="17" t="inlineStr">
        <is>
          <t>10.1093/jxb/err324</t>
        </is>
      </c>
      <c r="F8" s="17" t="inlineStr">
        <is>
          <t>https://doi.org/10.1093/jxb/err324</t>
        </is>
      </c>
      <c r="G8" s="17" t="inlineStr">
        <is>
          <t>2026-08-18</t>
        </is>
      </c>
      <c r="H8" s="17" t="inlineStr">
        <is>
          <t>低温乙烯非依赖路径</t>
        </is>
      </c>
      <c r="I8" s="17" t="inlineStr">
        <is>
          <t>品种和温度不同</t>
        </is>
      </c>
      <c r="J8" s="17" t="inlineStr">
        <is>
          <t>有效</t>
        </is>
      </c>
    </row>
    <row r="9">
      <c r="A9" s="16" t="inlineStr">
        <is>
          <t>E05</t>
        </is>
      </c>
      <c r="B9" s="16" t="inlineStr">
        <is>
          <t>科研论文</t>
        </is>
      </c>
      <c r="C9" s="16" t="inlineStr">
        <is>
          <t>2016</t>
        </is>
      </c>
      <c r="D9" s="17" t="inlineStr">
        <is>
          <t>Characterization of Starch Degradation Related Genes in Postharvest Kiwifruit</t>
        </is>
      </c>
      <c r="E9" s="17" t="inlineStr">
        <is>
          <t>10.3390/ijms17122112</t>
        </is>
      </c>
      <c r="F9" s="17" t="inlineStr">
        <is>
          <t>https://doi.org/10.3390/ijms17122112</t>
        </is>
      </c>
      <c r="G9" s="17" t="inlineStr">
        <is>
          <t>2026-08-18</t>
        </is>
      </c>
      <c r="H9" s="17" t="inlineStr">
        <is>
          <t>淀粉降解候选机制</t>
        </is>
      </c>
      <c r="I9" s="17" t="inlineStr">
        <is>
          <t>不能替代本项目基因或酶活测定</t>
        </is>
      </c>
      <c r="J9" s="17" t="inlineStr">
        <is>
          <t>有效</t>
        </is>
      </c>
    </row>
    <row r="10">
      <c r="A10" s="16" t="inlineStr">
        <is>
          <t>E06</t>
        </is>
      </c>
      <c r="B10" s="16" t="inlineStr">
        <is>
          <t>科研论文</t>
        </is>
      </c>
      <c r="C10" s="16" t="inlineStr">
        <is>
          <t>2017</t>
        </is>
      </c>
      <c r="D10" s="17" t="inlineStr">
        <is>
          <t>Untargeted multi-platform analysis of the metabolome and the non-starch polysaccharides of kiwifruit during postharvest ripening</t>
        </is>
      </c>
      <c r="E10" s="17" t="inlineStr">
        <is>
          <t>10.1016/j.postharvbio.2016.10.011</t>
        </is>
      </c>
      <c r="F10" s="17" t="inlineStr">
        <is>
          <t>https://doi.org/10.1016/j.postharvbio.2016.10.011</t>
        </is>
      </c>
      <c r="G10" s="17" t="inlineStr">
        <is>
          <t>2026-08-18</t>
        </is>
      </c>
      <c r="H10" s="17" t="inlineStr">
        <is>
          <t>多指标成熟背景</t>
        </is>
      </c>
      <c r="I10" s="17" t="inlineStr">
        <is>
          <t>本项目不含代谢组验证</t>
        </is>
      </c>
      <c r="J10" s="17" t="inlineStr">
        <is>
          <t>有效</t>
        </is>
      </c>
    </row>
    <row r="11">
      <c r="A11" s="16" t="inlineStr">
        <is>
          <t>E07</t>
        </is>
      </c>
      <c r="B11" s="16" t="inlineStr">
        <is>
          <t>科研论文</t>
        </is>
      </c>
      <c r="C11" s="16" t="inlineStr">
        <is>
          <t>2018</t>
        </is>
      </c>
      <c r="D11" s="17" t="inlineStr">
        <is>
          <t>Transcriptome Analysis Identifies a Zinc Finger Protein Regulating Starch Degradation in Kiwifruit</t>
        </is>
      </c>
      <c r="E11" s="17" t="inlineStr">
        <is>
          <t>10.1104/pp.18.00427</t>
        </is>
      </c>
      <c r="F11" s="17" t="inlineStr">
        <is>
          <t>https://doi.org/10.1104/pp.18.00427</t>
        </is>
      </c>
      <c r="G11" s="17" t="inlineStr">
        <is>
          <t>2026-08-18</t>
        </is>
      </c>
      <c r="H11" s="17" t="inlineStr">
        <is>
          <t>淀粉降解转录调控背景</t>
        </is>
      </c>
      <c r="I11" s="17" t="inlineStr">
        <is>
          <t>本项目不含转录数据</t>
        </is>
      </c>
      <c r="J11" s="17" t="inlineStr">
        <is>
          <t>有效</t>
        </is>
      </c>
    </row>
    <row r="12">
      <c r="A12" s="16" t="inlineStr">
        <is>
          <t>E08</t>
        </is>
      </c>
      <c r="B12" s="16" t="inlineStr">
        <is>
          <t>科研论文</t>
        </is>
      </c>
      <c r="C12" s="16" t="inlineStr">
        <is>
          <t>2019</t>
        </is>
      </c>
      <c r="D12" s="17" t="inlineStr">
        <is>
          <t>Low Temperature Storage Stimulates Fruit Softening and Sugar Accumulation Without Ethylene and Aroma Volatile Production in Kiwifruit</t>
        </is>
      </c>
      <c r="E12" s="17" t="inlineStr">
        <is>
          <t>10.3389/fpls.2019.00888</t>
        </is>
      </c>
      <c r="F12" s="17" t="inlineStr">
        <is>
          <t>https://doi.org/10.3389/fpls.2019.00888</t>
        </is>
      </c>
      <c r="G12" s="17" t="inlineStr">
        <is>
          <t>2026-08-18</t>
        </is>
      </c>
      <c r="H12" s="17" t="inlineStr">
        <is>
          <t>低温糖积累与香气边界</t>
        </is>
      </c>
      <c r="I12" s="17" t="inlineStr">
        <is>
          <t>20℃结果不能直接代表冷链</t>
        </is>
      </c>
      <c r="J12" s="17" t="inlineStr">
        <is>
          <t>有效</t>
        </is>
      </c>
    </row>
    <row r="13">
      <c r="A13" s="16" t="inlineStr">
        <is>
          <t>E09</t>
        </is>
      </c>
      <c r="B13" s="16" t="inlineStr">
        <is>
          <t>科研论文</t>
        </is>
      </c>
      <c r="C13" s="16" t="inlineStr">
        <is>
          <t>2020</t>
        </is>
      </c>
      <c r="D13" s="17" t="inlineStr">
        <is>
          <t>Fruit From Two Kiwifruit Genotypes With Contrasting Softening Rates Show Differences in the Cell Wall Domains</t>
        </is>
      </c>
      <c r="E13" s="17" t="inlineStr">
        <is>
          <t>10.3389/fpls.2020.00964</t>
        </is>
      </c>
      <c r="F13" s="17" t="inlineStr">
        <is>
          <t>https://doi.org/10.3389/fpls.2020.00964</t>
        </is>
      </c>
      <c r="G13" s="17" t="inlineStr">
        <is>
          <t>2026-08-18</t>
        </is>
      </c>
      <c r="H13" s="17" t="inlineStr">
        <is>
          <t>品种外推风险</t>
        </is>
      </c>
      <c r="I13" s="17" t="inlineStr">
        <is>
          <t>不同基因型需独立验证</t>
        </is>
      </c>
      <c r="J13" s="17" t="inlineStr">
        <is>
          <t>有效</t>
        </is>
      </c>
    </row>
    <row r="14">
      <c r="A14" s="16" t="inlineStr">
        <is>
          <t>E10</t>
        </is>
      </c>
      <c r="B14" s="16" t="inlineStr">
        <is>
          <t>科研论文</t>
        </is>
      </c>
      <c r="C14" s="16" t="inlineStr">
        <is>
          <t>2021</t>
        </is>
      </c>
      <c r="D14" s="17" t="inlineStr">
        <is>
          <t>Quality of Hayward Kiwifruit in Prolonged Cold Storage as Affected by the Stage of Maturity at Harvest</t>
        </is>
      </c>
      <c r="E14" s="17" t="inlineStr">
        <is>
          <t>10.3390/horticulturae7100358</t>
        </is>
      </c>
      <c r="F14" s="17" t="inlineStr">
        <is>
          <t>https://doi.org/10.3390/horticulturae7100358</t>
        </is>
      </c>
      <c r="G14" s="17" t="inlineStr">
        <is>
          <t>2026-08-18</t>
        </is>
      </c>
      <c r="H14" s="17" t="inlineStr">
        <is>
          <t>采收成熟度与冷藏</t>
        </is>
      </c>
      <c r="I14" s="17" t="inlineStr">
        <is>
          <t>海沃德和其他品种不可直接互推</t>
        </is>
      </c>
      <c r="J14" s="17" t="inlineStr">
        <is>
          <t>有效</t>
        </is>
      </c>
    </row>
    <row r="15">
      <c r="A15" s="16" t="inlineStr">
        <is>
          <t>E11</t>
        </is>
      </c>
      <c r="B15" s="16" t="inlineStr">
        <is>
          <t>科研论文</t>
        </is>
      </c>
      <c r="C15" s="16" t="inlineStr">
        <is>
          <t>2023</t>
        </is>
      </c>
      <c r="D15" s="17" t="inlineStr">
        <is>
          <t>Targeted multi-platform metabolome analysis and enzyme activity analysis of kiwifruit during postharvest ripening</t>
        </is>
      </c>
      <c r="E15" s="17" t="inlineStr">
        <is>
          <t>10.3389/fpls.2023.1120166</t>
        </is>
      </c>
      <c r="F15" s="17" t="inlineStr">
        <is>
          <t>https://doi.org/10.3389/fpls.2023.1120166</t>
        </is>
      </c>
      <c r="G15" s="17" t="inlineStr">
        <is>
          <t>2026-08-18</t>
        </is>
      </c>
      <c r="H15" s="17" t="inlineStr">
        <is>
          <t>机制验证层级</t>
        </is>
      </c>
      <c r="I15" s="17" t="inlineStr">
        <is>
          <t>本项目仅有六项生理指标</t>
        </is>
      </c>
      <c r="J15" s="17" t="inlineStr">
        <is>
          <t>有效</t>
        </is>
      </c>
    </row>
    <row r="16">
      <c r="A16" s="16" t="inlineStr">
        <is>
          <t>E12</t>
        </is>
      </c>
      <c r="B16" s="16" t="inlineStr">
        <is>
          <t>科研论文</t>
        </is>
      </c>
      <c r="C16" s="16" t="inlineStr">
        <is>
          <t>2023</t>
        </is>
      </c>
      <c r="D16" s="17" t="inlineStr">
        <is>
          <t>The mechanism of gibberellins treatment suppressing kiwifruit postharvest ripening processes by transcriptome analysis</t>
        </is>
      </c>
      <c r="E16" s="17" t="inlineStr">
        <is>
          <t>10.1016/j.postharvbio.2022.112223</t>
        </is>
      </c>
      <c r="F16" s="17" t="inlineStr">
        <is>
          <t>https://doi.org/10.1016/j.postharvbio.2022.112223</t>
        </is>
      </c>
      <c r="G16" s="17" t="inlineStr">
        <is>
          <t>2026-08-18</t>
        </is>
      </c>
      <c r="H16" s="17" t="inlineStr">
        <is>
          <t>GA3方向的直接外部支持</t>
        </is>
      </c>
      <c r="I16" s="17" t="inlineStr">
        <is>
          <t>品种剂量施用与贮藏条件不同</t>
        </is>
      </c>
      <c r="J16" s="17" t="inlineStr">
        <is>
          <t>有效</t>
        </is>
      </c>
    </row>
    <row r="17">
      <c r="A17" s="16" t="inlineStr">
        <is>
          <t>E13</t>
        </is>
      </c>
      <c r="B17" s="16" t="inlineStr">
        <is>
          <t>科研论文</t>
        </is>
      </c>
      <c r="C17" s="16" t="inlineStr">
        <is>
          <t>2023</t>
        </is>
      </c>
      <c r="D17" s="17" t="inlineStr">
        <is>
          <t>Physiology and Application of Gibberellins in Postharvest Horticultural Crops</t>
        </is>
      </c>
      <c r="E17" s="17" t="inlineStr">
        <is>
          <t>10.3390/horticulturae9060625</t>
        </is>
      </c>
      <c r="F17" s="17" t="inlineStr">
        <is>
          <t>https://doi.org/10.3390/horticulturae9060625</t>
        </is>
      </c>
      <c r="G17" s="17" t="inlineStr">
        <is>
          <t>2026-08-18</t>
        </is>
      </c>
      <c r="H17" s="17" t="inlineStr">
        <is>
          <t>GA采后应用综述</t>
        </is>
      </c>
      <c r="I17" s="17" t="inlineStr">
        <is>
          <t>综述不等于特定用途获批</t>
        </is>
      </c>
      <c r="J17" s="17" t="inlineStr">
        <is>
          <t>有效</t>
        </is>
      </c>
    </row>
    <row r="18">
      <c r="A18" s="16" t="inlineStr">
        <is>
          <t>E14</t>
        </is>
      </c>
      <c r="B18" s="16" t="inlineStr">
        <is>
          <t>科研论文</t>
        </is>
      </c>
      <c r="C18" s="16" t="inlineStr">
        <is>
          <t>2024</t>
        </is>
      </c>
      <c r="D18" s="17" t="inlineStr">
        <is>
          <t>Indole-3-acetic acid treatment promotes postharvest kiwifruit softening by regulating starch and cell wall metabolism</t>
        </is>
      </c>
      <c r="E18" s="17" t="inlineStr">
        <is>
          <t>10.3389/fpls.2024.1485678</t>
        </is>
      </c>
      <c r="F18" s="17" t="inlineStr">
        <is>
          <t>https://doi.org/10.3389/fpls.2024.1485678</t>
        </is>
      </c>
      <c r="G18" s="17" t="inlineStr">
        <is>
          <t>2026-08-18</t>
        </is>
      </c>
      <c r="H18" s="17" t="inlineStr">
        <is>
          <t>激素互作与替代解释</t>
        </is>
      </c>
      <c r="I18" s="17" t="inlineStr">
        <is>
          <t>不能解释GA3直接作用</t>
        </is>
      </c>
      <c r="J18" s="17" t="inlineStr">
        <is>
          <t>有效</t>
        </is>
      </c>
    </row>
    <row r="19">
      <c r="A19" s="16" t="inlineStr">
        <is>
          <t>E15</t>
        </is>
      </c>
      <c r="B19" s="16" t="inlineStr">
        <is>
          <t>科研论文</t>
        </is>
      </c>
      <c r="C19" s="16" t="inlineStr">
        <is>
          <t>2024</t>
        </is>
      </c>
      <c r="D19" s="17" t="inlineStr">
        <is>
          <t>Identification of two postharvest ripening regulatory models in kiwifruit</t>
        </is>
      </c>
      <c r="E19" s="17" t="inlineStr">
        <is>
          <t>10.1186/s12870-024-05817-8</t>
        </is>
      </c>
      <c r="F19" s="17" t="inlineStr">
        <is>
          <t>https://doi.org/10.1186/s12870-024-05817-8</t>
        </is>
      </c>
      <c r="G19" s="17" t="inlineStr">
        <is>
          <t>2026-08-18</t>
        </is>
      </c>
      <c r="H19" s="17" t="inlineStr">
        <is>
          <t>多通路调控背景</t>
        </is>
      </c>
      <c r="I19" s="17" t="inlineStr">
        <is>
          <t>本项目缺相应激素和转录证据</t>
        </is>
      </c>
      <c r="J19" s="17" t="inlineStr">
        <is>
          <t>有效</t>
        </is>
      </c>
    </row>
    <row r="20">
      <c r="A20" s="16" t="inlineStr">
        <is>
          <t>E16</t>
        </is>
      </c>
      <c r="B20" s="16" t="inlineStr">
        <is>
          <t>科研论文</t>
        </is>
      </c>
      <c r="C20" s="16" t="inlineStr">
        <is>
          <t>2025</t>
        </is>
      </c>
      <c r="D20" s="17" t="inlineStr">
        <is>
          <t>Gibberellin delays kiwifruit postharvest ripening via the AcDELLA gene family</t>
        </is>
      </c>
      <c r="E20" s="17" t="inlineStr">
        <is>
          <t>10.48130/ph-0025-0005</t>
        </is>
      </c>
      <c r="F20" s="17" t="inlineStr">
        <is>
          <t>https://doi.org/10.48130/ph-0025-0005</t>
        </is>
      </c>
      <c r="G20" s="17" t="inlineStr">
        <is>
          <t>2026-08-18</t>
        </is>
      </c>
      <c r="H20" s="17" t="inlineStr">
        <is>
          <t>GA-DELLA生物学合理性</t>
        </is>
      </c>
      <c r="I20" s="17" t="inlineStr">
        <is>
          <t>表达相关不等于本项目证明DELLA介导</t>
        </is>
      </c>
      <c r="J20" s="17" t="inlineStr">
        <is>
          <t>有效</t>
        </is>
      </c>
    </row>
    <row r="21">
      <c r="A21" s="16" t="inlineStr">
        <is>
          <t>E17</t>
        </is>
      </c>
      <c r="B21" s="16" t="inlineStr">
        <is>
          <t>行业标准</t>
        </is>
      </c>
      <c r="C21" s="16" t="inlineStr">
        <is>
          <t>2009</t>
        </is>
      </c>
      <c r="D21" s="17" t="inlineStr">
        <is>
          <t>猕猴桃贮藏技术规程</t>
        </is>
      </c>
      <c r="E21" s="17" t="inlineStr">
        <is>
          <t>LY/T 1841-2009</t>
        </is>
      </c>
      <c r="F21" s="17" t="inlineStr">
        <is>
          <t>https://std.samr.gov.cn/hb/search/stdHBDetailed?id=8B1827F1E0E0BB19E05397BE0A0AB44A</t>
        </is>
      </c>
      <c r="G21" s="17" t="inlineStr">
        <is>
          <t>2026-08-18</t>
        </is>
      </c>
      <c r="H21" s="17" t="inlineStr">
        <is>
          <t>历史贮藏技术框架</t>
        </is>
      </c>
      <c r="I21" s="17" t="inlineStr">
        <is>
          <t>不得作为现行操作或合规依据</t>
        </is>
      </c>
      <c r="J21" s="17" t="inlineStr">
        <is>
          <t>废止</t>
        </is>
      </c>
    </row>
    <row r="22">
      <c r="A22" s="16" t="inlineStr">
        <is>
          <t>E18</t>
        </is>
      </c>
      <c r="B22" s="16" t="inlineStr">
        <is>
          <t>地方标准</t>
        </is>
      </c>
      <c r="C22" s="16" t="inlineStr">
        <is>
          <t>2020</t>
        </is>
      </c>
      <c r="D22" s="17" t="inlineStr">
        <is>
          <t>贵州猕猴桃 第17部分：贵长猕猴桃贮藏保鲜技术规程</t>
        </is>
      </c>
      <c r="E22" s="17" t="inlineStr">
        <is>
          <t>DB52/T 1503.17-2020</t>
        </is>
      </c>
      <c r="F22" s="17" t="inlineStr">
        <is>
          <t>https://sy.nynct.guizhou.gov.cn/standard_10007_ny/202107/P020210721566606435071.pdf</t>
        </is>
      </c>
      <c r="G22" s="17" t="inlineStr">
        <is>
          <t>2026-08-18</t>
        </is>
      </c>
      <c r="H22" s="17" t="inlineStr">
        <is>
          <t>冷链环节技术参考</t>
        </is>
      </c>
      <c r="I22" s="17" t="inlineStr">
        <is>
          <t>地区和品种适用范围有限</t>
        </is>
      </c>
      <c r="J22" s="17" t="inlineStr">
        <is>
          <t>需按使用地复核</t>
        </is>
      </c>
    </row>
    <row r="23">
      <c r="A23" s="16" t="inlineStr">
        <is>
          <t>E19</t>
        </is>
      </c>
      <c r="B23" s="16" t="inlineStr">
        <is>
          <t>法规</t>
        </is>
      </c>
      <c r="C23" s="16" t="inlineStr">
        <is>
          <t>2017</t>
        </is>
      </c>
      <c r="D23" s="17" t="inlineStr">
        <is>
          <t>农药管理条例</t>
        </is>
      </c>
      <c r="E23" s="17" t="inlineStr">
        <is>
          <t>国务院令第677号</t>
        </is>
      </c>
      <c r="F23" s="17" t="inlineStr">
        <is>
          <t>国务院</t>
        </is>
      </c>
      <c r="G23" s="17" t="inlineStr">
        <is>
          <t>2026-08-18</t>
        </is>
      </c>
      <c r="H23" s="17" t="inlineStr">
        <is>
          <t>植物生长调节剂纳入农药管理框架</t>
        </is>
      </c>
      <c r="I23" s="17" t="inlineStr">
        <is>
          <t>不代替具体产品登记证或核准标签</t>
        </is>
      </c>
      <c r="J23" s="17" t="inlineStr">
        <is>
          <t>现行法规</t>
        </is>
      </c>
    </row>
    <row r="24">
      <c r="A24" s="16" t="inlineStr">
        <is>
          <t>E20</t>
        </is>
      </c>
      <c r="B24" s="16" t="inlineStr">
        <is>
          <t>规章</t>
        </is>
      </c>
      <c r="C24" s="16" t="inlineStr">
        <is>
          <t>2025</t>
        </is>
      </c>
      <c r="D24" s="17" t="inlineStr">
        <is>
          <t>农药登记管理办法</t>
        </is>
      </c>
      <c r="E24" s="17" t="inlineStr">
        <is>
          <t>农业部令2017年第3号公布，农业农村部令2025年第3号修订</t>
        </is>
      </c>
      <c r="F24" s="17" t="inlineStr">
        <is>
          <t>农业农村部</t>
        </is>
      </c>
      <c r="G24" s="17" t="inlineStr">
        <is>
          <t>2026-08-18</t>
        </is>
      </c>
      <c r="H24" s="17" t="inlineStr">
        <is>
          <t>用于界定登记与风险资料要求</t>
        </is>
      </c>
      <c r="I24" s="17" t="inlineStr">
        <is>
          <t>未提供具体产品登记证</t>
        </is>
      </c>
      <c r="J24" s="17" t="inlineStr">
        <is>
          <t>现行规章</t>
        </is>
      </c>
    </row>
    <row r="25">
      <c r="A25" s="16" t="inlineStr">
        <is>
          <t>E21</t>
        </is>
      </c>
      <c r="B25" s="16" t="inlineStr">
        <is>
          <t>规章</t>
        </is>
      </c>
      <c r="C25" s="16" t="inlineStr">
        <is>
          <t>2017</t>
        </is>
      </c>
      <c r="D25" s="17" t="inlineStr">
        <is>
          <t>农药标签和说明书管理办法</t>
        </is>
      </c>
      <c r="E25" s="17" t="inlineStr">
        <is>
          <t>农业部令2017年第7号</t>
        </is>
      </c>
      <c r="F25" s="17" t="inlineStr">
        <is>
          <t>农业部</t>
        </is>
      </c>
      <c r="G25" s="17" t="inlineStr">
        <is>
          <t>2026-08-18</t>
        </is>
      </c>
      <c r="H25" s="17" t="inlineStr">
        <is>
          <t>使用范围与技术要求须以核准标签为准</t>
        </is>
      </c>
      <c r="I25" s="17" t="inlineStr">
        <is>
          <t>未提供具体产品标签</t>
        </is>
      </c>
      <c r="J25" s="17" t="inlineStr">
        <is>
          <t>现行规章</t>
        </is>
      </c>
    </row>
    <row r="26">
      <c r="A26" s="16" t="inlineStr">
        <is>
          <t>E22</t>
        </is>
      </c>
      <c r="B26" s="16" t="inlineStr">
        <is>
          <t>境外监管资料</t>
        </is>
      </c>
      <c r="C26" s="16" t="inlineStr">
        <is>
          <t>1999</t>
        </is>
      </c>
      <c r="D26" s="17" t="inlineStr">
        <is>
          <t>Certain plant regulators: cytokinins, auxins, gibberellins, ethylene, and pelargonic acid; tolerance exemptions</t>
        </is>
      </c>
      <c r="E26" s="17" t="inlineStr">
        <is>
          <t>US EPA PC code 043801</t>
        </is>
      </c>
      <c r="F26" s="17" t="inlineStr">
        <is>
          <t>US EPA</t>
        </is>
      </c>
      <c r="G26" s="17" t="inlineStr">
        <is>
          <t>2026-08-18</t>
        </is>
      </c>
      <c r="H26" s="17" t="inlineStr">
        <is>
          <t>美国监管背景</t>
        </is>
      </c>
      <c r="I26" s="17" t="inlineStr">
        <is>
          <t>不适用于中国市场准入</t>
        </is>
      </c>
      <c r="J26" s="17" t="inlineStr">
        <is>
          <t>历史背景</t>
        </is>
      </c>
    </row>
    <row r="27">
      <c r="A27" s="16" t="inlineStr">
        <is>
          <t>E23</t>
        </is>
      </c>
      <c r="B27" s="16" t="inlineStr">
        <is>
          <t>境外法规</t>
        </is>
      </c>
      <c r="C27" s="16" t="inlineStr">
        <is>
          <t>2014</t>
        </is>
      </c>
      <c r="D27" s="17" t="inlineStr">
        <is>
          <t>Commission Regulation EU No 588/2014 concerning maximum residue levels</t>
        </is>
      </c>
      <c r="E27" s="17" t="inlineStr">
        <is>
          <t>CELEX 32014R0588</t>
        </is>
      </c>
      <c r="F27" s="17" t="inlineStr">
        <is>
          <t>European Commission</t>
        </is>
      </c>
      <c r="G27" s="17" t="inlineStr">
        <is>
          <t>2026-08-18</t>
        </is>
      </c>
      <c r="H27" s="17" t="inlineStr">
        <is>
          <t>欧盟MRL历史背景</t>
        </is>
      </c>
      <c r="I27" s="17" t="inlineStr">
        <is>
          <t>需另行核对当前出口市场要求</t>
        </is>
      </c>
      <c r="J27" s="17" t="inlineStr">
        <is>
          <t>历史背景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0" customWidth="1" min="4" max="4"/>
    <col width="38" customWidth="1" min="5" max="5"/>
    <col width="38" customWidth="1" min="6" max="6"/>
    <col width="20" customWidth="1" min="7" max="7"/>
  </cols>
  <sheetData>
    <row r="1" ht="28" customHeight="1">
      <c r="A1" s="3" t="inlineStr">
        <is>
          <t>决策门槛</t>
        </is>
      </c>
    </row>
    <row r="2" ht="32" customHeight="1">
      <c r="A2" s="7" t="inlineStr">
        <is>
          <t>阶段门用于组织验证与决策，不是商业施用指令；任何进入商品化的结论均受G3合规闭环约束。</t>
        </is>
      </c>
    </row>
    <row r="4" ht="30" customHeight="1">
      <c r="A4" s="13" t="inlineStr">
        <is>
          <t>阶段门</t>
        </is>
      </c>
      <c r="B4" s="13" t="inlineStr">
        <is>
          <t>核心问题</t>
        </is>
      </c>
      <c r="C4" s="13" t="inlineStr">
        <is>
          <t>必要证据</t>
        </is>
      </c>
      <c r="D4" s="13" t="inlineStr">
        <is>
          <t>继续条件</t>
        </is>
      </c>
      <c r="E4" s="13" t="inlineStr">
        <is>
          <t>保持/补充条件</t>
        </is>
      </c>
      <c r="F4" s="13" t="inlineStr">
        <is>
          <t>停止条件</t>
        </is>
      </c>
      <c r="G4" s="13" t="inlineStr">
        <is>
          <t>责任接口</t>
        </is>
      </c>
    </row>
    <row r="5">
      <c r="A5" s="29" t="inlineStr">
        <is>
          <t>G0 数据可解释</t>
        </is>
      </c>
      <c r="B5" s="17" t="inlineStr">
        <is>
          <t>现有小试是否具备可解释的设计与数据身份</t>
        </is>
      </c>
      <c r="C5" s="17" t="inlineStr">
        <is>
          <t>补齐品种、采收成熟度、处理产品/浓度/方法、温湿度、取样方式和重复独立性；锁定原始数据版本</t>
        </is>
      </c>
      <c r="D5" s="17" t="inlineStr">
        <is>
          <t>设计信息完整且数据主键、单位、重复和异常处理规则可追溯</t>
        </is>
      </c>
      <c r="E5" s="17" t="inlineStr">
        <is>
          <t>部分设计信息可补证但尚未闭环</t>
        </is>
      </c>
      <c r="F5" s="17" t="inlineStr">
        <is>
          <t>关键试验条件无法追溯或数据版本无法确认</t>
        </is>
      </c>
      <c r="G5" s="17" t="inlineStr">
        <is>
          <t>研发/质量</t>
        </is>
      </c>
    </row>
    <row r="6">
      <c r="A6" s="29" t="inlineStr">
        <is>
          <t>G1 独立复现</t>
        </is>
      </c>
      <c r="B6" s="17" t="inlineStr">
        <is>
          <t>成熟延缓效应是否跨批次稳定</t>
        </is>
      </c>
      <c r="C6" s="17" t="inlineStr">
        <is>
          <t>至少两个独立采收批次；预先指定主要终点、最小有意义差异和统计方案</t>
        </is>
      </c>
      <c r="D6" s="17" t="inlineStr">
        <is>
          <t>主要终点方向一致且效应区间达到预设标准，无明显基线失衡</t>
        </is>
      </c>
      <c r="E6" s="17" t="inlineStr">
        <is>
          <t>效应方向一致但不确定性仍大，追加批次</t>
        </is>
      </c>
      <c r="F6" s="17" t="inlineStr">
        <is>
          <t>效应反转、仅单指标驱动或严重基线失衡</t>
        </is>
      </c>
      <c r="G6" s="17" t="inlineStr">
        <is>
          <t>研发/统计</t>
        </is>
      </c>
    </row>
    <row r="7">
      <c r="A7" s="29" t="inlineStr">
        <is>
          <t>G2 冷链转化</t>
        </is>
      </c>
      <c r="B7" s="17" t="inlineStr">
        <is>
          <t>常温结果能否转化为冷链和到货表现</t>
        </is>
      </c>
      <c r="C7" s="17" t="inlineStr">
        <is>
          <t>温度×处理交互试验；硬度、TSS、酸、腐烂、失重、感官、运输耐受和可售窗口</t>
        </is>
      </c>
      <c r="D7" s="17" t="inlineStr">
        <is>
          <t>冷链条件下仍获得可操作的窗口增益且无质量代价</t>
        </is>
      </c>
      <c r="E7" s="17" t="inlineStr">
        <is>
          <t>窗口增益有限或存在温度依赖，调整工艺</t>
        </is>
      </c>
      <c r="F7" s="17" t="inlineStr">
        <is>
          <t>冷链下无效或风味、腐烂、运输风险恶化</t>
        </is>
      </c>
      <c r="G7" s="17" t="inlineStr">
        <is>
          <t>冷链/质量/研发</t>
        </is>
      </c>
    </row>
    <row r="8">
      <c r="A8" s="29" t="inlineStr">
        <is>
          <t>G3 合规闭环</t>
        </is>
      </c>
      <c r="B8" s="17" t="inlineStr">
        <is>
          <t>具体产品与用途是否具备合法使用路径</t>
        </is>
      </c>
      <c r="C8" s="17" t="inlineStr">
        <is>
          <t>有效登记证、核准标签、使用范围与方法、残留与检测方案、属地监管确认</t>
        </is>
      </c>
      <c r="D8" s="17" t="inlineStr">
        <is>
          <t>全部资料经法规与质量部门书面确认</t>
        </is>
      </c>
      <c r="E8" s="17" t="inlineStr">
        <is>
          <t>产品或用途尚待核查，仅限受控研发</t>
        </is>
      </c>
      <c r="F8" s="17" t="inlineStr">
        <is>
          <t>无法获得合法使用依据或风险不可接受</t>
        </is>
      </c>
      <c r="G8" s="17" t="inlineStr">
        <is>
          <t>法规/质量</t>
        </is>
      </c>
    </row>
    <row r="9">
      <c r="A9" s="29" t="inlineStr">
        <is>
          <t>G4 运营可控</t>
        </is>
      </c>
      <c r="B9" s="17" t="inlineStr">
        <is>
          <t>处理能否稳定嵌入分选、仓储和追溯流程</t>
        </is>
      </c>
      <c r="C9" s="17" t="inlineStr">
        <is>
          <t>SOP、人员防护、设备能力、批次追溯、废液处置、处理均一性和异常处置记录</t>
        </is>
      </c>
      <c r="D9" s="17" t="inlineStr">
        <is>
          <t>关键过程参数受控且批次记录完整</t>
        </is>
      </c>
      <c r="E9" s="17" t="inlineStr">
        <is>
          <t>局部偏差可通过SOP和设备优化纠正</t>
        </is>
      </c>
      <c r="F9" s="17" t="inlineStr">
        <is>
          <t>处理均一性或追溯无法保证</t>
        </is>
      </c>
      <c r="G9" s="17" t="inlineStr">
        <is>
          <t>运营/仓储/质量</t>
        </is>
      </c>
    </row>
    <row r="10">
      <c r="A10" s="29" t="inlineStr">
        <is>
          <t>G5 经济验证</t>
        </is>
      </c>
      <c r="B10" s="17" t="inlineStr">
        <is>
          <t>收益能否覆盖完整增量成本且不转移风险</t>
        </is>
      </c>
      <c r="C10" s="17" t="inlineStr">
        <is>
          <t>试点真实处理量、可售窗口、报损折价、退货客诉、价格差、变动和固定成本</t>
        </is>
      </c>
      <c r="D10" s="17" t="inlineStr">
        <is>
          <t>经实际试点复算后达到企业预设收益门槛，且投诉与退货不恶化</t>
        </is>
      </c>
      <c r="E10" s="17" t="inlineStr">
        <is>
          <t>净价值接近门槛，需缩小范围或优化成本</t>
        </is>
      </c>
      <c r="F10" s="17" t="inlineStr">
        <is>
          <t>成本持续高于可验证收益或渠道风险上升</t>
        </is>
      </c>
      <c r="G10" s="17" t="inlineStr">
        <is>
          <t>品类经营/财务/质量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6" customWidth="1" min="3" max="3"/>
    <col width="18" customWidth="1" min="4" max="4"/>
  </cols>
  <sheetData>
    <row r="1">
      <c r="A1" s="40" t="inlineStr">
        <is>
          <t>模块</t>
        </is>
      </c>
      <c r="B1" s="40" t="inlineStr">
        <is>
          <t>补充内容</t>
        </is>
      </c>
      <c r="C1" s="40" t="inlineStr">
        <is>
          <t>用于强化的rubric方向</t>
        </is>
      </c>
      <c r="D1" s="40" t="inlineStr">
        <is>
          <t>是否改变既有公式链</t>
        </is>
      </c>
    </row>
    <row r="2">
      <c r="A2" s="41" t="inlineStr">
        <is>
          <t>反向业务风险</t>
        </is>
      </c>
      <c r="B2" s="41" t="inlineStr">
        <is>
          <t>将偏硬客诉、适食成熟比例和渠道验收作为GA₃延熟的反向风险监控项，防止把过熟损失转移为偏硬未熟损失。</t>
        </is>
      </c>
      <c r="C2" s="41" t="inlineStr">
        <is>
          <t>表型图与经营数据联动；受控试点停止条件</t>
        </is>
      </c>
      <c r="D2" s="41" t="inlineStr">
        <is>
          <t>否</t>
        </is>
      </c>
    </row>
    <row r="3">
      <c r="A3" s="41" t="inlineStr">
        <is>
          <t>统计解释边界</t>
        </is>
      </c>
      <c r="B3" s="41" t="inlineStr">
        <is>
          <t>均值、样本标准差、Welch检验和多重比较只支持方向性判断；p值不得替代效应轨迹、样本限制和独立批次复现。</t>
        </is>
      </c>
      <c r="C3" s="41" t="inlineStr">
        <is>
          <t>统计边界；反单一p值；独立复现</t>
        </is>
      </c>
      <c r="D3" s="41" t="inlineStr">
        <is>
          <t>否</t>
        </is>
      </c>
    </row>
    <row r="4">
      <c r="A4" s="41" t="inlineStr">
        <is>
          <t>冷链外推边界</t>
        </is>
      </c>
      <c r="B4" s="41" t="inlineStr">
        <is>
          <t>20℃小试不能直接外推到0–5℃冷链和门店货架；需关注低温乙烯非依赖软化路径和温度×处理交互。</t>
        </is>
      </c>
      <c r="C4" s="41" t="inlineStr">
        <is>
          <t>科研证据分层；冷链转化；外推限制</t>
        </is>
      </c>
      <c r="D4" s="41" t="inlineStr">
        <is>
          <t>否</t>
        </is>
      </c>
    </row>
    <row r="5">
      <c r="A5" s="41" t="inlineStr">
        <is>
          <t>经营价值来源</t>
        </is>
      </c>
      <c r="B5" s="41" t="inlineStr">
        <is>
          <t>成熟相关减损、折价回收、退货回收和可售窗口延长均为待验证收益池；三情景净价值为负时不得全量推广。</t>
        </is>
      </c>
      <c r="C5" s="41" t="inlineStr">
        <is>
          <t>情景净价值；收益池/成本池；未验证收益</t>
        </is>
      </c>
      <c r="D5" s="41" t="inlineStr">
        <is>
          <t>否</t>
        </is>
      </c>
    </row>
    <row r="6">
      <c r="A6" s="41" t="inlineStr">
        <is>
          <t>合规沟通边界</t>
        </is>
      </c>
      <c r="B6" s="41" t="inlineStr">
        <is>
          <t>登记证、核准标签、残留控制和属地监管核验完成前，不得形成商业施用方法、销售承诺或对外宣传口径。</t>
        </is>
      </c>
      <c r="C6" s="41" t="inlineStr">
        <is>
          <t>商品化合规；对外宣传边界</t>
        </is>
      </c>
      <c r="D6" s="41" t="inlineStr">
        <is>
          <t>否</t>
        </is>
      </c>
    </row>
    <row r="7">
      <c r="A7" s="41" t="inlineStr">
        <is>
          <t>交付洁净度</t>
        </is>
      </c>
      <c r="B7" s="41" t="inlineStr">
        <is>
          <t>最终交付物不得出现模型名称、/app或本地路径、制作说明、占位符或与业务无关文字。</t>
        </is>
      </c>
      <c r="C7" s="41" t="inlineStr">
        <is>
          <t>交付洁净度；可直接客户交付</t>
        </is>
      </c>
      <c r="D7" s="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2026-08-18T07:19:51Z</dcterms:created>
  <dcterms:modified xmlns:dcterms="http://purl.org/dc/terms/" xmlns:xsi="http://www.w3.org/2001/XMLSchema-instance" xsi:type="dcterms:W3CDTF">2026-08-18T17:11:53Z</dcterms:modified>
</cp:coreProperties>
</file>