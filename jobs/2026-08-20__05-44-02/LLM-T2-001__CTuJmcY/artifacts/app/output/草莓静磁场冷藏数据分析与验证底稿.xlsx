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bca900af2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导入" sheetId="1" r:id="R228dd4c06da94f24"/>
    <x:sheet xmlns:r="http://schemas.openxmlformats.org/officeDocument/2006/relationships" name="描述统计" sheetId="2" r:id="R1f6f869e8cfe4fac"/>
    <x:sheet xmlns:r="http://schemas.openxmlformats.org/officeDocument/2006/relationships" name="时点对比" sheetId="3" r:id="R538ca551e998438b"/>
    <x:sheet xmlns:r="http://schemas.openxmlformats.org/officeDocument/2006/relationships" name="趋势图" sheetId="4" r:id="Rdc74b57a584b45f6"/>
    <x:sheet xmlns:r="http://schemas.openxmlformats.org/officeDocument/2006/relationships" name="经营数据导入" sheetId="5" r:id="Rb93587922cff47fd"/>
    <x:sheet xmlns:r="http://schemas.openxmlformats.org/officeDocument/2006/relationships" name="经营复核" sheetId="6" r:id="Re393d30f9f324bff"/>
    <x:sheet xmlns:r="http://schemas.openxmlformats.org/officeDocument/2006/relationships" name="经营测算" sheetId="7" r:id="Rbbb7a91fa7f84e1a"/>
    <x:sheet xmlns:r="http://schemas.openxmlformats.org/officeDocument/2006/relationships" name="结论面板" sheetId="8" r:id="R08bb9e8d002442c4"/>
    <x:sheet xmlns:r="http://schemas.openxmlformats.org/officeDocument/2006/relationships" name="口径与风险" sheetId="9" r:id="R72cba3b058b043b3"/>
    <x:sheet xmlns:r="http://schemas.openxmlformats.org/officeDocument/2006/relationships" name="阶段门" sheetId="10" r:id="R47bdca5d53bd4309"/>
    <x:sheet xmlns:r="http://schemas.openxmlformats.org/officeDocument/2006/relationships" name="跨产物核对" sheetId="11" r:id="R97f52437ad8f4f5d"/>
    <x:sheet xmlns:r="http://schemas.openxmlformats.org/officeDocument/2006/relationships" name="项目总览" sheetId="12" r:id="R0c8f253175154308"/>
    <x:sheet xmlns:r="http://schemas.openxmlformats.org/officeDocument/2006/relationships" name="样本量复核" sheetId="13" r:id="R7ccb4411d0b04790"/>
    <x:sheet xmlns:r="http://schemas.openxmlformats.org/officeDocument/2006/relationships" name="设计矩阵" sheetId="14" r:id="Rcd4bb3705cc64e04"/>
    <x:sheet xmlns:r="http://schemas.openxmlformats.org/officeDocument/2006/relationships" name="设备与环境" sheetId="15" r:id="Rd5ae767144814385"/>
    <x:sheet xmlns:r="http://schemas.openxmlformats.org/officeDocument/2006/relationships" name="统计模型" sheetId="16" r:id="Rd82d8a9b6c2745a3"/>
    <x:sheet xmlns:r="http://schemas.openxmlformats.org/officeDocument/2006/relationships" name="评审计划" sheetId="17" r:id="R4bc13dca76754697"/>
    <x:sheet xmlns:r="http://schemas.openxmlformats.org/officeDocument/2006/relationships" name="部署控制" sheetId="18" r:id="Rab228b4ddd7a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0.00%"/>
    <x:numFmt numFmtId="202" formatCode="yyyy-mm-dd"/>
    <x:numFmt numFmtId="203" formatCode="#,##0.000"/>
    <x:numFmt numFmtId="204" formatCode="#,##0.00"/>
    <x:numFmt numFmtId="205" formatCode="0%"/>
    <x:numFmt numFmtId="206" formatCode="0.00"/>
    <x:numFmt numFmtId="207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2"/>
      <x:color rgb="FF1F4E78"/>
      <x:name val="Carlito"/>
    </x:font>
    <x:font>
      <x:b/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medium">
        <x:color rgb="FF5B9BD5"/>
      </x:left>
      <x:top style="medium">
        <x:color rgb="FF5B9BD5"/>
      </x:top>
    </x:border>
    <x:border>
      <x:top style="medium">
        <x:color rgb="FF5B9BD5"/>
      </x:top>
    </x:border>
    <x:border>
      <x:right style="medium">
        <x:color rgb="FF5B9BD5"/>
      </x:right>
      <x:top style="medium">
        <x:color rgb="FF5B9BD5"/>
      </x:top>
    </x:border>
    <x:border>
      <x:left style="medium">
        <x:color rgb="FF5B9BD5"/>
      </x:left>
      <x:bottom style="medium">
        <x:color rgb="FF5B9BD5"/>
      </x:bottom>
    </x:border>
    <x:border>
      <x:bottom style="medium">
        <x:color rgb="FF5B9BD5"/>
      </x:bottom>
    </x:border>
    <x:border>
      <x:right style="medium">
        <x:color rgb="FF5B9BD5"/>
      </x:right>
      <x:bottom style="medium">
        <x:color rgb="FF5B9BD5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200" fontId="3" fillId="4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3" fontId="2" fillId="0" borderId="1" xfId="0" applyNumberFormat="1" applyFont="1" applyFill="1" applyBorder="1" applyAlignment="1">
      <x:alignment vertical="center" wrapText="1"/>
    </x:xf>
    <x:xf numFmtId="204" fontId="2" fillId="0" borderId="1" xfId="0" applyNumberFormat="1" applyFont="1" applyFill="1" applyBorder="1" applyAlignment="1">
      <x:alignment vertical="center" wrapText="1"/>
    </x:xf>
    <x:xf numFmtId="201" fontId="2" fillId="6" borderId="1" xfId="0" applyNumberFormat="1" applyFont="1" applyFill="1" applyBorder="1" applyAlignment="1">
      <x:alignment vertical="center" wrapText="1"/>
    </x:xf>
    <x:xf numFmtId="204" fontId="2" fillId="6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6" fontId="3" fillId="4" borderId="1" xfId="0" applyNumberFormat="1" applyFont="1" applyFill="1" applyBorder="1"/>
    <x:xf numFmtId="207" fontId="0" fillId="0" borderId="0" xfId="0" applyNumberFormat="1" applyFont="1" applyFill="1" applyBorder="1"/>
    <x:xf numFmtId="205" fontId="0" fillId="0" borderId="1" xfId="0" applyNumberFormat="1" applyFont="1" applyFill="1" applyBorder="1"/>
    <x:xf numFmtId="207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206" fontId="2" fillId="0" borderId="1" xfId="0" applyNumberFormat="1" applyFont="1" applyFill="1" applyBorder="1" applyAlignment="1">
      <x:alignment vertical="center" wrapText="1"/>
    </x:xf>
    <x:xf numFmtId="207" fontId="2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5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c3736918c4a1e" /><Relationship Type="http://schemas.openxmlformats.org/officeDocument/2006/relationships/theme" Target="/xl/theme/theme1.xml" Id="Rdb66d500796b401a" /><Relationship Type="http://schemas.openxmlformats.org/officeDocument/2006/relationships/sharedStrings" Target="/xl/sharedStrings.xml" Id="Rb134daf0f23b49c6" /><Relationship Type="http://schemas.openxmlformats.org/officeDocument/2006/relationships/worksheet" Target="/xl/worksheets/sheet1.xml" Id="R228dd4c06da94f24" /><Relationship Type="http://schemas.openxmlformats.org/officeDocument/2006/relationships/worksheet" Target="/xl/worksheets/sheet2.xml" Id="R1f6f869e8cfe4fac" /><Relationship Type="http://schemas.openxmlformats.org/officeDocument/2006/relationships/worksheet" Target="/xl/worksheets/sheet3.xml" Id="R538ca551e998438b" /><Relationship Type="http://schemas.openxmlformats.org/officeDocument/2006/relationships/worksheet" Target="/xl/worksheets/sheet4.xml" Id="Rdc74b57a584b45f6" /><Relationship Type="http://schemas.openxmlformats.org/officeDocument/2006/relationships/worksheet" Target="/xl/worksheets/sheet5.xml" Id="Rb93587922cff47fd" /><Relationship Type="http://schemas.openxmlformats.org/officeDocument/2006/relationships/worksheet" Target="/xl/worksheets/sheet6.xml" Id="Re393d30f9f324bff" /><Relationship Type="http://schemas.openxmlformats.org/officeDocument/2006/relationships/worksheet" Target="/xl/worksheets/sheet7.xml" Id="Rbbb7a91fa7f84e1a" /><Relationship Type="http://schemas.openxmlformats.org/officeDocument/2006/relationships/worksheet" Target="/xl/worksheets/sheet8.xml" Id="R08bb9e8d002442c4" /><Relationship Type="http://schemas.openxmlformats.org/officeDocument/2006/relationships/worksheet" Target="/xl/worksheets/sheet9.xml" Id="R72cba3b058b043b3" /><Relationship Type="http://schemas.openxmlformats.org/officeDocument/2006/relationships/worksheet" Target="/xl/worksheets/sheet10.xml" Id="R47bdca5d53bd4309" /><Relationship Type="http://schemas.openxmlformats.org/officeDocument/2006/relationships/worksheet" Target="/xl/worksheets/sheet11.xml" Id="R97f52437ad8f4f5d" /><Relationship Type="http://schemas.openxmlformats.org/officeDocument/2006/relationships/worksheet" Target="/xl/worksheets/sheet12.xml" Id="R0c8f253175154308" /><Relationship Type="http://schemas.openxmlformats.org/officeDocument/2006/relationships/worksheet" Target="/xl/worksheets/sheet13.xml" Id="R7ccb4411d0b04790" /><Relationship Type="http://schemas.openxmlformats.org/officeDocument/2006/relationships/worksheet" Target="/xl/worksheets/sheet14.xml" Id="Rcd4bb3705cc64e04" /><Relationship Type="http://schemas.openxmlformats.org/officeDocument/2006/relationships/worksheet" Target="/xl/worksheets/sheet15.xml" Id="Rd5ae767144814385" /><Relationship Type="http://schemas.openxmlformats.org/officeDocument/2006/relationships/worksheet" Target="/xl/worksheets/sheet16.xml" Id="Rd82d8a9b6c2745a3" /><Relationship Type="http://schemas.openxmlformats.org/officeDocument/2006/relationships/worksheet" Target="/xl/worksheets/sheet17.xml" Id="R4bc13dca76754697" /><Relationship Type="http://schemas.openxmlformats.org/officeDocument/2006/relationships/worksheet" Target="/xl/worksheets/sheet18.xml" Id="Rab228b4ddd7a40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263dadba134e05" /><Relationship Type="http://schemas.openxmlformats.org/officeDocument/2006/relationships/chart" Target="/xl/drawings/charts/chart2.xml" Id="R4bf367e900a84ada" /><Relationship Type="http://schemas.openxmlformats.org/officeDocument/2006/relationships/chart" Target="/xl/drawings/charts/chart3.xml" Id="Rfd84be027bcc4059" /><Relationship Type="http://schemas.openxmlformats.org/officeDocument/2006/relationships/chart" Target="/xl/drawings/charts/chart4.xml" Id="R724a740fb1b0458c" /><Relationship Type="http://schemas.openxmlformats.org/officeDocument/2006/relationships/chart" Target="/xl/drawings/charts/chart5.xml" Id="R585c1b866f9d4487" /><Relationship Type="http://schemas.openxmlformats.org/officeDocument/2006/relationships/chart" Target="/xl/drawings/charts/chart6.xml" Id="R4051e7a6e57f49cf" /><Relationship Type="http://schemas.openxmlformats.org/officeDocument/2006/relationships/chart" Target="/xl/drawings/charts/chart7.xml" Id="R0fece7b78edb4b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硬度趋势 (N)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CR均值</c:v>
          </c:tx>
          <c:marker>
            <c:symbol val="none"/>
          </c:marker>
          <c:cat>
            <c:strRef>
              <c:f>'趋势图'!$A$5:$A$10</c:f>
              <c:strCache>
                <c:ptCount val="0"/>
              </c:strCache>
            </c:strRef>
          </c:cat>
          <c:val>
            <c:numRef>
              <c:f>'趋势图'!$B$5:$B$10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MF均值</c:v>
          </c:tx>
          <c:marker>
            <c:symbol val="none"/>
          </c:marker>
          <c:cat>
            <c:strRef>
              <c:f>'趋势图'!$A$5:$A$10</c:f>
              <c:strCache>
                <c:ptCount val="0"/>
              </c:strCache>
            </c:strRef>
          </c:cat>
          <c:val>
            <c:numRef>
              <c:f>'趋势图'!$C$5:$C$10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失重率趋势 (%)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CR均值</c:v>
          </c:tx>
          <c:marker>
            <c:symbol val="none"/>
          </c:marker>
          <c:cat>
            <c:strRef>
              <c:f>'趋势图'!$A$17:$A$22</c:f>
              <c:strCache>
                <c:ptCount val="0"/>
              </c:strCache>
            </c:strRef>
          </c:cat>
          <c:val>
            <c:numRef>
              <c:f>'趋势图'!$B$17:$B$22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MF均值</c:v>
          </c:tx>
          <c:marker>
            <c:symbol val="none"/>
          </c:marker>
          <c:cat>
            <c:strRef>
              <c:f>'趋势图'!$A$17:$A$22</c:f>
              <c:strCache>
                <c:ptCount val="0"/>
              </c:strCache>
            </c:strRef>
          </c:cat>
          <c:val>
            <c:numRef>
              <c:f>'趋势图'!$C$17:$C$22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水溶性果胶趋势 (mg/g)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CR均值</c:v>
          </c:tx>
          <c:marker>
            <c:symbol val="none"/>
          </c:marker>
          <c:cat>
            <c:strRef>
              <c:f>'趋势图'!$A$29:$A$34</c:f>
              <c:strCache>
                <c:ptCount val="0"/>
              </c:strCache>
            </c:strRef>
          </c:cat>
          <c:val>
            <c:numRef>
              <c:f>'趋势图'!$B$29:$B$34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MF均值</c:v>
          </c:tx>
          <c:marker>
            <c:symbol val="none"/>
          </c:marker>
          <c:cat>
            <c:strRef>
              <c:f>'趋势图'!$A$29:$A$34</c:f>
              <c:strCache>
                <c:ptCount val="0"/>
              </c:strCache>
            </c:strRef>
          </c:cat>
          <c:val>
            <c:numRef>
              <c:f>'趋势图'!$C$29:$C$34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多聚半乳糖醛酸酶活性趋势 (U/kg)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CR均值</c:v>
          </c:tx>
          <c:marker>
            <c:symbol val="none"/>
          </c:marker>
          <c:cat>
            <c:strRef>
              <c:f>'趋势图'!$A$41:$A$46</c:f>
              <c:strCache>
                <c:ptCount val="0"/>
              </c:strCache>
            </c:strRef>
          </c:cat>
          <c:val>
            <c:numRef>
              <c:f>'趋势图'!$B$41:$B$46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MF均值</c:v>
          </c:tx>
          <c:marker>
            <c:symbol val="none"/>
          </c:marker>
          <c:cat>
            <c:strRef>
              <c:f>'趋势图'!$A$41:$A$46</c:f>
              <c:strCache>
                <c:ptCount val="0"/>
              </c:strCache>
            </c:strRef>
          </c:cat>
          <c:val>
            <c:numRef>
              <c:f>'趋势图'!$C$41:$C$46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颜色L*趋势 (-)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CR均值</c:v>
          </c:tx>
          <c:marker>
            <c:symbol val="none"/>
          </c:marker>
          <c:cat>
            <c:strRef>
              <c:f>'趋势图'!$A$53:$A$58</c:f>
              <c:strCache>
                <c:ptCount val="0"/>
              </c:strCache>
            </c:strRef>
          </c:cat>
          <c:val>
            <c:numRef>
              <c:f>'趋势图'!$B$53:$B$58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MF均值</c:v>
          </c:tx>
          <c:marker>
            <c:symbol val="none"/>
          </c:marker>
          <c:cat>
            <c:strRef>
              <c:f>'趋势图'!$A$53:$A$58</c:f>
              <c:strCache>
                <c:ptCount val="0"/>
              </c:strCache>
            </c:strRef>
          </c:cat>
          <c:val>
            <c:numRef>
              <c:f>'趋势图'!$C$53:$C$58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颜色a*趋势 (-)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CR均值</c:v>
          </c:tx>
          <c:marker>
            <c:symbol val="none"/>
          </c:marker>
          <c:cat>
            <c:strRef>
              <c:f>'趋势图'!$A$65:$A$70</c:f>
              <c:strCache>
                <c:ptCount val="0"/>
              </c:strCache>
            </c:strRef>
          </c:cat>
          <c:val>
            <c:numRef>
              <c:f>'趋势图'!$B$65:$B$70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MF均值</c:v>
          </c:tx>
          <c:marker>
            <c:symbol val="none"/>
          </c:marker>
          <c:cat>
            <c:strRef>
              <c:f>'趋势图'!$A$65:$A$70</c:f>
              <c:strCache>
                <c:ptCount val="0"/>
              </c:strCache>
            </c:strRef>
          </c:cat>
          <c:val>
            <c:numRef>
              <c:f>'趋势图'!$C$65:$C$70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总色差ΔE趋势 (-)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CR均值</c:v>
          </c:tx>
          <c:marker>
            <c:symbol val="none"/>
          </c:marker>
          <c:cat>
            <c:strRef>
              <c:f>'趋势图'!$A$77:$A$82</c:f>
              <c:strCache>
                <c:ptCount val="0"/>
              </c:strCache>
            </c:strRef>
          </c:cat>
          <c:val>
            <c:numRef>
              <c:f>'趋势图'!$B$77:$B$82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MF均值</c:v>
          </c:tx>
          <c:marker>
            <c:symbol val="none"/>
          </c:marker>
          <c:cat>
            <c:strRef>
              <c:f>'趋势图'!$A$77:$A$82</c:f>
              <c:strCache>
                <c:ptCount val="0"/>
              </c:strCache>
            </c:strRef>
          </c:cat>
          <c:val>
            <c:numRef>
              <c:f>'趋势图'!$C$77:$C$82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263dadba134e05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f367e900a84ada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84be027bcc4059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4a740fb1b0458c"/>
        </a:graphicData>
      </a:graphic>
    </xdr:graphicFrame>
    <xdr:clientData/>
  </xdr:twoCellAnchor>
  <xdr:twoCellAnchor>
    <xdr:from>
      <xdr:col>4</xdr:col>
      <xdr:colOff>0</xdr:colOff>
      <xdr:row>51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c1b866f9d4487"/>
        </a:graphicData>
      </a:graphic>
    </xdr:graphicFrame>
    <xdr:clientData/>
  </xdr:twoCellAnchor>
  <xdr:twoCellAnchor>
    <xdr:from>
      <xdr:col>4</xdr:col>
      <xdr:colOff>0</xdr:colOff>
      <xdr:row>63</xdr:row>
      <xdr:rowOff>0</xdr:rowOff>
    </xdr:from>
    <xdr:to>
      <xdr:col>12</xdr:col>
      <xdr:colOff>0</xdr:colOff>
      <xdr:row>74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51e7a6e57f49cf"/>
        </a:graphicData>
      </a:graphic>
    </xdr:graphicFrame>
    <xdr:clientData/>
  </xdr:twoCellAnchor>
  <xdr:twoCellAnchor>
    <xdr:from>
      <xdr:col>4</xdr:col>
      <xdr:colOff>0</xdr:colOff>
      <xdr:row>75</xdr:row>
      <xdr:rowOff>0</xdr:rowOff>
    </xdr:from>
    <xdr:to>
      <xdr:col>12</xdr:col>
      <xdr:colOff>0</xdr:colOff>
      <xdr:row>86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ece7b78edb4b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242dc4604f748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4" hidden="0" customWidth="1"/>
    <x:col min="9" max="9" width="68" hidden="0" customWidth="1"/>
  </x:cols>
  <x:sheetData>
    <x:row r="1" ht="30" customHeight="1">
      <x:c r="A1" s="3" t="str">
        <x:v>数据导入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从输入材料逐项抄录的可审计分析底表；源位置保留到单元格。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3" t="str">
        <x:v>指标ID</x:v>
      </x:c>
      <x:c r="B4" s="13" t="str">
        <x:v>指标</x:v>
      </x:c>
      <x:c r="C4" s="13" t="str">
        <x:v>单位</x:v>
      </x:c>
      <x:c r="D4" s="13" t="str">
        <x:v>方向</x:v>
      </x:c>
      <x:c r="E4" s="13" t="str">
        <x:v>天数</x:v>
      </x:c>
      <x:c r="F4" s="13" t="str">
        <x:v>处理</x:v>
      </x:c>
      <x:c r="G4" s="13" t="str">
        <x:v>重复</x:v>
      </x:c>
      <x:c r="H4" s="13" t="str">
        <x:v>测量值</x:v>
      </x:c>
      <x:c r="I4" s="13" t="str">
        <x:v>源位置</x:v>
      </x:c>
    </x:row>
    <x:row r="5">
      <x:c r="A5" s="17" t="str">
        <x:v>hardness</x:v>
      </x:c>
      <x:c r="B5" s="17" t="str">
        <x:v>硬度</x:v>
      </x:c>
      <x:c r="C5" s="17" t="str">
        <x:v>N</x:v>
      </x:c>
      <x:c r="D5" s="17" t="str">
        <x:v>higher_better</x:v>
      </x:c>
      <x:c r="E5" s="17" t="n">
        <x:v>0</x:v>
      </x:c>
      <x:c r="F5" s="17" t="str">
        <x:v>CR</x:v>
      </x:c>
      <x:c r="G5" s="17" t="n">
        <x:v>1</x:v>
      </x:c>
      <x:c r="H5" s="18" t="n">
        <x:v>84.2</x:v>
      </x:c>
      <x:c r="I5" s="17" t="str">
        <x:v>硬度 (Hardness, N).xlsx | 硬度 (Hardness, N)!B3</x:v>
      </x:c>
    </x:row>
    <x:row r="6">
      <x:c r="A6" s="17" t="str">
        <x:v>hardness</x:v>
      </x:c>
      <x:c r="B6" s="17" t="str">
        <x:v>硬度</x:v>
      </x:c>
      <x:c r="C6" s="17" t="str">
        <x:v>N</x:v>
      </x:c>
      <x:c r="D6" s="17" t="str">
        <x:v>higher_better</x:v>
      </x:c>
      <x:c r="E6" s="17" t="n">
        <x:v>0</x:v>
      </x:c>
      <x:c r="F6" s="17" t="str">
        <x:v>CR</x:v>
      </x:c>
      <x:c r="G6" s="17" t="n">
        <x:v>2</x:v>
      </x:c>
      <x:c r="H6" s="18" t="n">
        <x:v>83.8</x:v>
      </x:c>
      <x:c r="I6" s="17" t="str">
        <x:v>硬度 (Hardness, N).xlsx | 硬度 (Hardness, N)!C3</x:v>
      </x:c>
    </x:row>
    <x:row r="7">
      <x:c r="A7" s="17" t="str">
        <x:v>hardness</x:v>
      </x:c>
      <x:c r="B7" s="17" t="str">
        <x:v>硬度</x:v>
      </x:c>
      <x:c r="C7" s="17" t="str">
        <x:v>N</x:v>
      </x:c>
      <x:c r="D7" s="17" t="str">
        <x:v>higher_better</x:v>
      </x:c>
      <x:c r="E7" s="17" t="n">
        <x:v>0</x:v>
      </x:c>
      <x:c r="F7" s="17" t="str">
        <x:v>CR</x:v>
      </x:c>
      <x:c r="G7" s="17" t="n">
        <x:v>3</x:v>
      </x:c>
      <x:c r="H7" s="18" t="n">
        <x:v>84</x:v>
      </x:c>
      <x:c r="I7" s="17" t="str">
        <x:v>硬度 (Hardness, N).xlsx | 硬度 (Hardness, N)!D3</x:v>
      </x:c>
    </x:row>
    <x:row r="8">
      <x:c r="A8" s="17" t="str">
        <x:v>hardness</x:v>
      </x:c>
      <x:c r="B8" s="17" t="str">
        <x:v>硬度</x:v>
      </x:c>
      <x:c r="C8" s="17" t="str">
        <x:v>N</x:v>
      </x:c>
      <x:c r="D8" s="17" t="str">
        <x:v>higher_better</x:v>
      </x:c>
      <x:c r="E8" s="17" t="n">
        <x:v>0</x:v>
      </x:c>
      <x:c r="F8" s="17" t="str">
        <x:v>MF</x:v>
      </x:c>
      <x:c r="G8" s="17" t="n">
        <x:v>1</x:v>
      </x:c>
      <x:c r="H8" s="18" t="n">
        <x:v>84.1</x:v>
      </x:c>
      <x:c r="I8" s="17" t="str">
        <x:v>硬度 (Hardness, N).xlsx | 硬度 (Hardness, N)!E3</x:v>
      </x:c>
    </x:row>
    <x:row r="9">
      <x:c r="A9" s="17" t="str">
        <x:v>hardness</x:v>
      </x:c>
      <x:c r="B9" s="17" t="str">
        <x:v>硬度</x:v>
      </x:c>
      <x:c r="C9" s="17" t="str">
        <x:v>N</x:v>
      </x:c>
      <x:c r="D9" s="17" t="str">
        <x:v>higher_better</x:v>
      </x:c>
      <x:c r="E9" s="17" t="n">
        <x:v>0</x:v>
      </x:c>
      <x:c r="F9" s="17" t="str">
        <x:v>MF</x:v>
      </x:c>
      <x:c r="G9" s="17" t="n">
        <x:v>2</x:v>
      </x:c>
      <x:c r="H9" s="18" t="n">
        <x:v>84</x:v>
      </x:c>
      <x:c r="I9" s="17" t="str">
        <x:v>硬度 (Hardness, N).xlsx | 硬度 (Hardness, N)!F3</x:v>
      </x:c>
    </x:row>
    <x:row r="10">
      <x:c r="A10" s="17" t="str">
        <x:v>hardness</x:v>
      </x:c>
      <x:c r="B10" s="17" t="str">
        <x:v>硬度</x:v>
      </x:c>
      <x:c r="C10" s="17" t="str">
        <x:v>N</x:v>
      </x:c>
      <x:c r="D10" s="17" t="str">
        <x:v>higher_better</x:v>
      </x:c>
      <x:c r="E10" s="17" t="n">
        <x:v>0</x:v>
      </x:c>
      <x:c r="F10" s="17" t="str">
        <x:v>MF</x:v>
      </x:c>
      <x:c r="G10" s="17" t="n">
        <x:v>3</x:v>
      </x:c>
      <x:c r="H10" s="18" t="n">
        <x:v>83.9</x:v>
      </x:c>
      <x:c r="I10" s="17" t="str">
        <x:v>硬度 (Hardness, N).xlsx | 硬度 (Hardness, N)!G3</x:v>
      </x:c>
    </x:row>
    <x:row r="11">
      <x:c r="A11" s="17" t="str">
        <x:v>hardness</x:v>
      </x:c>
      <x:c r="B11" s="17" t="str">
        <x:v>硬度</x:v>
      </x:c>
      <x:c r="C11" s="17" t="str">
        <x:v>N</x:v>
      </x:c>
      <x:c r="D11" s="17" t="str">
        <x:v>higher_better</x:v>
      </x:c>
      <x:c r="E11" s="17" t="n">
        <x:v>3</x:v>
      </x:c>
      <x:c r="F11" s="17" t="str">
        <x:v>CR</x:v>
      </x:c>
      <x:c r="G11" s="17" t="n">
        <x:v>1</x:v>
      </x:c>
      <x:c r="H11" s="18" t="n">
        <x:v>68.5</x:v>
      </x:c>
      <x:c r="I11" s="17" t="str">
        <x:v>硬度 (Hardness, N).xlsx | 硬度 (Hardness, N)!B4</x:v>
      </x:c>
    </x:row>
    <x:row r="12">
      <x:c r="A12" s="17" t="str">
        <x:v>hardness</x:v>
      </x:c>
      <x:c r="B12" s="17" t="str">
        <x:v>硬度</x:v>
      </x:c>
      <x:c r="C12" s="17" t="str">
        <x:v>N</x:v>
      </x:c>
      <x:c r="D12" s="17" t="str">
        <x:v>higher_better</x:v>
      </x:c>
      <x:c r="E12" s="17" t="n">
        <x:v>3</x:v>
      </x:c>
      <x:c r="F12" s="17" t="str">
        <x:v>CR</x:v>
      </x:c>
      <x:c r="G12" s="17" t="n">
        <x:v>2</x:v>
      </x:c>
      <x:c r="H12" s="18" t="n">
        <x:v>65</x:v>
      </x:c>
      <x:c r="I12" s="17" t="str">
        <x:v>硬度 (Hardness, N).xlsx | 硬度 (Hardness, N)!C4</x:v>
      </x:c>
    </x:row>
    <x:row r="13">
      <x:c r="A13" s="17" t="str">
        <x:v>hardness</x:v>
      </x:c>
      <x:c r="B13" s="17" t="str">
        <x:v>硬度</x:v>
      </x:c>
      <x:c r="C13" s="17" t="str">
        <x:v>N</x:v>
      </x:c>
      <x:c r="D13" s="17" t="str">
        <x:v>higher_better</x:v>
      </x:c>
      <x:c r="E13" s="17" t="n">
        <x:v>3</x:v>
      </x:c>
      <x:c r="F13" s="17" t="str">
        <x:v>CR</x:v>
      </x:c>
      <x:c r="G13" s="17" t="n">
        <x:v>3</x:v>
      </x:c>
      <x:c r="H13" s="18" t="n">
        <x:v>66.8</x:v>
      </x:c>
      <x:c r="I13" s="17" t="str">
        <x:v>硬度 (Hardness, N).xlsx | 硬度 (Hardness, N)!D4</x:v>
      </x:c>
    </x:row>
    <x:row r="14">
      <x:c r="A14" s="17" t="str">
        <x:v>hardness</x:v>
      </x:c>
      <x:c r="B14" s="17" t="str">
        <x:v>硬度</x:v>
      </x:c>
      <x:c r="C14" s="17" t="str">
        <x:v>N</x:v>
      </x:c>
      <x:c r="D14" s="17" t="str">
        <x:v>higher_better</x:v>
      </x:c>
      <x:c r="E14" s="17" t="n">
        <x:v>3</x:v>
      </x:c>
      <x:c r="F14" s="17" t="str">
        <x:v>MF</x:v>
      </x:c>
      <x:c r="G14" s="17" t="n">
        <x:v>1</x:v>
      </x:c>
      <x:c r="H14" s="18" t="n">
        <x:v>78</x:v>
      </x:c>
      <x:c r="I14" s="17" t="str">
        <x:v>硬度 (Hardness, N).xlsx | 硬度 (Hardness, N)!E4</x:v>
      </x:c>
    </x:row>
    <x:row r="15">
      <x:c r="A15" s="17" t="str">
        <x:v>hardness</x:v>
      </x:c>
      <x:c r="B15" s="17" t="str">
        <x:v>硬度</x:v>
      </x:c>
      <x:c r="C15" s="17" t="str">
        <x:v>N</x:v>
      </x:c>
      <x:c r="D15" s="17" t="str">
        <x:v>higher_better</x:v>
      </x:c>
      <x:c r="E15" s="17" t="n">
        <x:v>3</x:v>
      </x:c>
      <x:c r="F15" s="17" t="str">
        <x:v>MF</x:v>
      </x:c>
      <x:c r="G15" s="17" t="n">
        <x:v>2</x:v>
      </x:c>
      <x:c r="H15" s="18" t="n">
        <x:v>76.5</x:v>
      </x:c>
      <x:c r="I15" s="17" t="str">
        <x:v>硬度 (Hardness, N).xlsx | 硬度 (Hardness, N)!F4</x:v>
      </x:c>
    </x:row>
    <x:row r="16">
      <x:c r="A16" s="17" t="str">
        <x:v>hardness</x:v>
      </x:c>
      <x:c r="B16" s="17" t="str">
        <x:v>硬度</x:v>
      </x:c>
      <x:c r="C16" s="17" t="str">
        <x:v>N</x:v>
      </x:c>
      <x:c r="D16" s="17" t="str">
        <x:v>higher_better</x:v>
      </x:c>
      <x:c r="E16" s="17" t="n">
        <x:v>3</x:v>
      </x:c>
      <x:c r="F16" s="17" t="str">
        <x:v>MF</x:v>
      </x:c>
      <x:c r="G16" s="17" t="n">
        <x:v>3</x:v>
      </x:c>
      <x:c r="H16" s="18" t="n">
        <x:v>77.2</x:v>
      </x:c>
      <x:c r="I16" s="17" t="str">
        <x:v>硬度 (Hardness, N).xlsx | 硬度 (Hardness, N)!G4</x:v>
      </x:c>
    </x:row>
    <x:row r="17">
      <x:c r="A17" s="17" t="str">
        <x:v>hardness</x:v>
      </x:c>
      <x:c r="B17" s="17" t="str">
        <x:v>硬度</x:v>
      </x:c>
      <x:c r="C17" s="17" t="str">
        <x:v>N</x:v>
      </x:c>
      <x:c r="D17" s="17" t="str">
        <x:v>higher_better</x:v>
      </x:c>
      <x:c r="E17" s="17" t="n">
        <x:v>6</x:v>
      </x:c>
      <x:c r="F17" s="17" t="str">
        <x:v>CR</x:v>
      </x:c>
      <x:c r="G17" s="17" t="n">
        <x:v>1</x:v>
      </x:c>
      <x:c r="H17" s="18" t="n">
        <x:v>52</x:v>
      </x:c>
      <x:c r="I17" s="17" t="str">
        <x:v>硬度 (Hardness, N).xlsx | 硬度 (Hardness, N)!B5</x:v>
      </x:c>
    </x:row>
    <x:row r="18">
      <x:c r="A18" s="17" t="str">
        <x:v>hardness</x:v>
      </x:c>
      <x:c r="B18" s="17" t="str">
        <x:v>硬度</x:v>
      </x:c>
      <x:c r="C18" s="17" t="str">
        <x:v>N</x:v>
      </x:c>
      <x:c r="D18" s="17" t="str">
        <x:v>higher_better</x:v>
      </x:c>
      <x:c r="E18" s="17" t="n">
        <x:v>6</x:v>
      </x:c>
      <x:c r="F18" s="17" t="str">
        <x:v>CR</x:v>
      </x:c>
      <x:c r="G18" s="17" t="n">
        <x:v>2</x:v>
      </x:c>
      <x:c r="H18" s="18" t="n">
        <x:v>48.5</x:v>
      </x:c>
      <x:c r="I18" s="17" t="str">
        <x:v>硬度 (Hardness, N).xlsx | 硬度 (Hardness, N)!C5</x:v>
      </x:c>
    </x:row>
    <x:row r="19">
      <x:c r="A19" s="17" t="str">
        <x:v>hardness</x:v>
      </x:c>
      <x:c r="B19" s="17" t="str">
        <x:v>硬度</x:v>
      </x:c>
      <x:c r="C19" s="17" t="str">
        <x:v>N</x:v>
      </x:c>
      <x:c r="D19" s="17" t="str">
        <x:v>higher_better</x:v>
      </x:c>
      <x:c r="E19" s="17" t="n">
        <x:v>6</x:v>
      </x:c>
      <x:c r="F19" s="17" t="str">
        <x:v>CR</x:v>
      </x:c>
      <x:c r="G19" s="17" t="n">
        <x:v>3</x:v>
      </x:c>
      <x:c r="H19" s="18" t="n">
        <x:v>50.3</x:v>
      </x:c>
      <x:c r="I19" s="17" t="str">
        <x:v>硬度 (Hardness, N).xlsx | 硬度 (Hardness, N)!D5</x:v>
      </x:c>
    </x:row>
    <x:row r="20">
      <x:c r="A20" s="17" t="str">
        <x:v>hardness</x:v>
      </x:c>
      <x:c r="B20" s="17" t="str">
        <x:v>硬度</x:v>
      </x:c>
      <x:c r="C20" s="17" t="str">
        <x:v>N</x:v>
      </x:c>
      <x:c r="D20" s="17" t="str">
        <x:v>higher_better</x:v>
      </x:c>
      <x:c r="E20" s="17" t="n">
        <x:v>6</x:v>
      </x:c>
      <x:c r="F20" s="17" t="str">
        <x:v>MF</x:v>
      </x:c>
      <x:c r="G20" s="17" t="n">
        <x:v>1</x:v>
      </x:c>
      <x:c r="H20" s="18" t="n">
        <x:v>70.5</x:v>
      </x:c>
      <x:c r="I20" s="17" t="str">
        <x:v>硬度 (Hardness, N).xlsx | 硬度 (Hardness, N)!E5</x:v>
      </x:c>
    </x:row>
    <x:row r="21">
      <x:c r="A21" s="17" t="str">
        <x:v>hardness</x:v>
      </x:c>
      <x:c r="B21" s="17" t="str">
        <x:v>硬度</x:v>
      </x:c>
      <x:c r="C21" s="17" t="str">
        <x:v>N</x:v>
      </x:c>
      <x:c r="D21" s="17" t="str">
        <x:v>higher_better</x:v>
      </x:c>
      <x:c r="E21" s="17" t="n">
        <x:v>6</x:v>
      </x:c>
      <x:c r="F21" s="17" t="str">
        <x:v>MF</x:v>
      </x:c>
      <x:c r="G21" s="17" t="n">
        <x:v>2</x:v>
      </x:c>
      <x:c r="H21" s="18" t="n">
        <x:v>68</x:v>
      </x:c>
      <x:c r="I21" s="17" t="str">
        <x:v>硬度 (Hardness, N).xlsx | 硬度 (Hardness, N)!F5</x:v>
      </x:c>
    </x:row>
    <x:row r="22">
      <x:c r="A22" s="17" t="str">
        <x:v>hardness</x:v>
      </x:c>
      <x:c r="B22" s="17" t="str">
        <x:v>硬度</x:v>
      </x:c>
      <x:c r="C22" s="17" t="str">
        <x:v>N</x:v>
      </x:c>
      <x:c r="D22" s="17" t="str">
        <x:v>higher_better</x:v>
      </x:c>
      <x:c r="E22" s="17" t="n">
        <x:v>6</x:v>
      </x:c>
      <x:c r="F22" s="17" t="str">
        <x:v>MF</x:v>
      </x:c>
      <x:c r="G22" s="17" t="n">
        <x:v>3</x:v>
      </x:c>
      <x:c r="H22" s="18" t="n">
        <x:v>69.2</x:v>
      </x:c>
      <x:c r="I22" s="17" t="str">
        <x:v>硬度 (Hardness, N).xlsx | 硬度 (Hardness, N)!G5</x:v>
      </x:c>
    </x:row>
    <x:row r="23">
      <x:c r="A23" s="17" t="str">
        <x:v>hardness</x:v>
      </x:c>
      <x:c r="B23" s="17" t="str">
        <x:v>硬度</x:v>
      </x:c>
      <x:c r="C23" s="17" t="str">
        <x:v>N</x:v>
      </x:c>
      <x:c r="D23" s="17" t="str">
        <x:v>higher_better</x:v>
      </x:c>
      <x:c r="E23" s="17" t="n">
        <x:v>9</x:v>
      </x:c>
      <x:c r="F23" s="17" t="str">
        <x:v>CR</x:v>
      </x:c>
      <x:c r="G23" s="17" t="n">
        <x:v>1</x:v>
      </x:c>
      <x:c r="H23" s="18" t="n">
        <x:v>35</x:v>
      </x:c>
      <x:c r="I23" s="17" t="str">
        <x:v>硬度 (Hardness, N).xlsx | 硬度 (Hardness, N)!B6</x:v>
      </x:c>
    </x:row>
    <x:row r="24">
      <x:c r="A24" s="17" t="str">
        <x:v>hardness</x:v>
      </x:c>
      <x:c r="B24" s="17" t="str">
        <x:v>硬度</x:v>
      </x:c>
      <x:c r="C24" s="17" t="str">
        <x:v>N</x:v>
      </x:c>
      <x:c r="D24" s="17" t="str">
        <x:v>higher_better</x:v>
      </x:c>
      <x:c r="E24" s="17" t="n">
        <x:v>9</x:v>
      </x:c>
      <x:c r="F24" s="17" t="str">
        <x:v>CR</x:v>
      </x:c>
      <x:c r="G24" s="17" t="n">
        <x:v>2</x:v>
      </x:c>
      <x:c r="H24" s="18" t="n">
        <x:v>32</x:v>
      </x:c>
      <x:c r="I24" s="17" t="str">
        <x:v>硬度 (Hardness, N).xlsx | 硬度 (Hardness, N)!C6</x:v>
      </x:c>
    </x:row>
    <x:row r="25">
      <x:c r="A25" s="17" t="str">
        <x:v>hardness</x:v>
      </x:c>
      <x:c r="B25" s="17" t="str">
        <x:v>硬度</x:v>
      </x:c>
      <x:c r="C25" s="17" t="str">
        <x:v>N</x:v>
      </x:c>
      <x:c r="D25" s="17" t="str">
        <x:v>higher_better</x:v>
      </x:c>
      <x:c r="E25" s="17" t="n">
        <x:v>9</x:v>
      </x:c>
      <x:c r="F25" s="17" t="str">
        <x:v>CR</x:v>
      </x:c>
      <x:c r="G25" s="17" t="n">
        <x:v>3</x:v>
      </x:c>
      <x:c r="H25" s="18" t="n">
        <x:v>33.5</x:v>
      </x:c>
      <x:c r="I25" s="17" t="str">
        <x:v>硬度 (Hardness, N).xlsx | 硬度 (Hardness, N)!D6</x:v>
      </x:c>
    </x:row>
    <x:row r="26">
      <x:c r="A26" s="17" t="str">
        <x:v>hardness</x:v>
      </x:c>
      <x:c r="B26" s="17" t="str">
        <x:v>硬度</x:v>
      </x:c>
      <x:c r="C26" s="17" t="str">
        <x:v>N</x:v>
      </x:c>
      <x:c r="D26" s="17" t="str">
        <x:v>higher_better</x:v>
      </x:c>
      <x:c r="E26" s="17" t="n">
        <x:v>9</x:v>
      </x:c>
      <x:c r="F26" s="17" t="str">
        <x:v>MF</x:v>
      </x:c>
      <x:c r="G26" s="17" t="n">
        <x:v>1</x:v>
      </x:c>
      <x:c r="H26" s="18" t="n">
        <x:v>60</x:v>
      </x:c>
      <x:c r="I26" s="17" t="str">
        <x:v>硬度 (Hardness, N).xlsx | 硬度 (Hardness, N)!E6</x:v>
      </x:c>
    </x:row>
    <x:row r="27">
      <x:c r="A27" s="17" t="str">
        <x:v>hardness</x:v>
      </x:c>
      <x:c r="B27" s="17" t="str">
        <x:v>硬度</x:v>
      </x:c>
      <x:c r="C27" s="17" t="str">
        <x:v>N</x:v>
      </x:c>
      <x:c r="D27" s="17" t="str">
        <x:v>higher_better</x:v>
      </x:c>
      <x:c r="E27" s="17" t="n">
        <x:v>9</x:v>
      </x:c>
      <x:c r="F27" s="17" t="str">
        <x:v>MF</x:v>
      </x:c>
      <x:c r="G27" s="17" t="n">
        <x:v>2</x:v>
      </x:c>
      <x:c r="H27" s="18" t="n">
        <x:v>57</x:v>
      </x:c>
      <x:c r="I27" s="17" t="str">
        <x:v>硬度 (Hardness, N).xlsx | 硬度 (Hardness, N)!F6</x:v>
      </x:c>
    </x:row>
    <x:row r="28">
      <x:c r="A28" s="17" t="str">
        <x:v>hardness</x:v>
      </x:c>
      <x:c r="B28" s="17" t="str">
        <x:v>硬度</x:v>
      </x:c>
      <x:c r="C28" s="17" t="str">
        <x:v>N</x:v>
      </x:c>
      <x:c r="D28" s="17" t="str">
        <x:v>higher_better</x:v>
      </x:c>
      <x:c r="E28" s="17" t="n">
        <x:v>9</x:v>
      </x:c>
      <x:c r="F28" s="17" t="str">
        <x:v>MF</x:v>
      </x:c>
      <x:c r="G28" s="17" t="n">
        <x:v>3</x:v>
      </x:c>
      <x:c r="H28" s="18" t="n">
        <x:v>58.5</x:v>
      </x:c>
      <x:c r="I28" s="17" t="str">
        <x:v>硬度 (Hardness, N).xlsx | 硬度 (Hardness, N)!G6</x:v>
      </x:c>
    </x:row>
    <x:row r="29">
      <x:c r="A29" s="17" t="str">
        <x:v>hardness</x:v>
      </x:c>
      <x:c r="B29" s="17" t="str">
        <x:v>硬度</x:v>
      </x:c>
      <x:c r="C29" s="17" t="str">
        <x:v>N</x:v>
      </x:c>
      <x:c r="D29" s="17" t="str">
        <x:v>higher_better</x:v>
      </x:c>
      <x:c r="E29" s="17" t="n">
        <x:v>12</x:v>
      </x:c>
      <x:c r="F29" s="17" t="str">
        <x:v>CR</x:v>
      </x:c>
      <x:c r="G29" s="17" t="n">
        <x:v>1</x:v>
      </x:c>
      <x:c r="H29" s="18" t="n">
        <x:v>18</x:v>
      </x:c>
      <x:c r="I29" s="17" t="str">
        <x:v>硬度 (Hardness, N).xlsx | 硬度 (Hardness, N)!B7</x:v>
      </x:c>
    </x:row>
    <x:row r="30">
      <x:c r="A30" s="17" t="str">
        <x:v>hardness</x:v>
      </x:c>
      <x:c r="B30" s="17" t="str">
        <x:v>硬度</x:v>
      </x:c>
      <x:c r="C30" s="17" t="str">
        <x:v>N</x:v>
      </x:c>
      <x:c r="D30" s="17" t="str">
        <x:v>higher_better</x:v>
      </x:c>
      <x:c r="E30" s="17" t="n">
        <x:v>12</x:v>
      </x:c>
      <x:c r="F30" s="17" t="str">
        <x:v>CR</x:v>
      </x:c>
      <x:c r="G30" s="17" t="n">
        <x:v>2</x:v>
      </x:c>
      <x:c r="H30" s="18" t="n">
        <x:v>15.5</x:v>
      </x:c>
      <x:c r="I30" s="17" t="str">
        <x:v>硬度 (Hardness, N).xlsx | 硬度 (Hardness, N)!C7</x:v>
      </x:c>
    </x:row>
    <x:row r="31">
      <x:c r="A31" s="17" t="str">
        <x:v>hardness</x:v>
      </x:c>
      <x:c r="B31" s="17" t="str">
        <x:v>硬度</x:v>
      </x:c>
      <x:c r="C31" s="17" t="str">
        <x:v>N</x:v>
      </x:c>
      <x:c r="D31" s="17" t="str">
        <x:v>higher_better</x:v>
      </x:c>
      <x:c r="E31" s="17" t="n">
        <x:v>12</x:v>
      </x:c>
      <x:c r="F31" s="17" t="str">
        <x:v>CR</x:v>
      </x:c>
      <x:c r="G31" s="17" t="n">
        <x:v>3</x:v>
      </x:c>
      <x:c r="H31" s="18" t="n">
        <x:v>16.8</x:v>
      </x:c>
      <x:c r="I31" s="17" t="str">
        <x:v>硬度 (Hardness, N).xlsx | 硬度 (Hardness, N)!D7</x:v>
      </x:c>
    </x:row>
    <x:row r="32">
      <x:c r="A32" s="17" t="str">
        <x:v>hardness</x:v>
      </x:c>
      <x:c r="B32" s="17" t="str">
        <x:v>硬度</x:v>
      </x:c>
      <x:c r="C32" s="17" t="str">
        <x:v>N</x:v>
      </x:c>
      <x:c r="D32" s="17" t="str">
        <x:v>higher_better</x:v>
      </x:c>
      <x:c r="E32" s="17" t="n">
        <x:v>12</x:v>
      </x:c>
      <x:c r="F32" s="17" t="str">
        <x:v>MF</x:v>
      </x:c>
      <x:c r="G32" s="17" t="n">
        <x:v>1</x:v>
      </x:c>
      <x:c r="H32" s="18" t="n">
        <x:v>40</x:v>
      </x:c>
      <x:c r="I32" s="17" t="str">
        <x:v>硬度 (Hardness, N).xlsx | 硬度 (Hardness, N)!E7</x:v>
      </x:c>
    </x:row>
    <x:row r="33">
      <x:c r="A33" s="17" t="str">
        <x:v>hardness</x:v>
      </x:c>
      <x:c r="B33" s="17" t="str">
        <x:v>硬度</x:v>
      </x:c>
      <x:c r="C33" s="17" t="str">
        <x:v>N</x:v>
      </x:c>
      <x:c r="D33" s="17" t="str">
        <x:v>higher_better</x:v>
      </x:c>
      <x:c r="E33" s="17" t="n">
        <x:v>12</x:v>
      </x:c>
      <x:c r="F33" s="17" t="str">
        <x:v>MF</x:v>
      </x:c>
      <x:c r="G33" s="17" t="n">
        <x:v>2</x:v>
      </x:c>
      <x:c r="H33" s="18" t="n">
        <x:v>37.5</x:v>
      </x:c>
      <x:c r="I33" s="17" t="str">
        <x:v>硬度 (Hardness, N).xlsx | 硬度 (Hardness, N)!F7</x:v>
      </x:c>
    </x:row>
    <x:row r="34">
      <x:c r="A34" s="17" t="str">
        <x:v>hardness</x:v>
      </x:c>
      <x:c r="B34" s="17" t="str">
        <x:v>硬度</x:v>
      </x:c>
      <x:c r="C34" s="17" t="str">
        <x:v>N</x:v>
      </x:c>
      <x:c r="D34" s="17" t="str">
        <x:v>higher_better</x:v>
      </x:c>
      <x:c r="E34" s="17" t="n">
        <x:v>12</x:v>
      </x:c>
      <x:c r="F34" s="17" t="str">
        <x:v>MF</x:v>
      </x:c>
      <x:c r="G34" s="17" t="n">
        <x:v>3</x:v>
      </x:c>
      <x:c r="H34" s="18" t="n">
        <x:v>38.8</x:v>
      </x:c>
      <x:c r="I34" s="17" t="str">
        <x:v>硬度 (Hardness, N).xlsx | 硬度 (Hardness, N)!G7</x:v>
      </x:c>
    </x:row>
    <x:row r="35">
      <x:c r="A35" s="17" t="str">
        <x:v>hardness</x:v>
      </x:c>
      <x:c r="B35" s="17" t="str">
        <x:v>硬度</x:v>
      </x:c>
      <x:c r="C35" s="17" t="str">
        <x:v>N</x:v>
      </x:c>
      <x:c r="D35" s="17" t="str">
        <x:v>higher_better</x:v>
      </x:c>
      <x:c r="E35" s="17" t="n">
        <x:v>15</x:v>
      </x:c>
      <x:c r="F35" s="17" t="str">
        <x:v>CR</x:v>
      </x:c>
      <x:c r="G35" s="17" t="n">
        <x:v>1</x:v>
      </x:c>
      <x:c r="H35" s="18" t="n">
        <x:v>3.5</x:v>
      </x:c>
      <x:c r="I35" s="17" t="str">
        <x:v>硬度 (Hardness, N).xlsx | 硬度 (Hardness, N)!B8</x:v>
      </x:c>
    </x:row>
    <x:row r="36">
      <x:c r="A36" s="17" t="str">
        <x:v>hardness</x:v>
      </x:c>
      <x:c r="B36" s="17" t="str">
        <x:v>硬度</x:v>
      </x:c>
      <x:c r="C36" s="17" t="str">
        <x:v>N</x:v>
      </x:c>
      <x:c r="D36" s="17" t="str">
        <x:v>higher_better</x:v>
      </x:c>
      <x:c r="E36" s="17" t="n">
        <x:v>15</x:v>
      </x:c>
      <x:c r="F36" s="17" t="str">
        <x:v>CR</x:v>
      </x:c>
      <x:c r="G36" s="17" t="n">
        <x:v>2</x:v>
      </x:c>
      <x:c r="H36" s="18" t="n">
        <x:v>2.5</x:v>
      </x:c>
      <x:c r="I36" s="17" t="str">
        <x:v>硬度 (Hardness, N).xlsx | 硬度 (Hardness, N)!C8</x:v>
      </x:c>
    </x:row>
    <x:row r="37">
      <x:c r="A37" s="17" t="str">
        <x:v>hardness</x:v>
      </x:c>
      <x:c r="B37" s="17" t="str">
        <x:v>硬度</x:v>
      </x:c>
      <x:c r="C37" s="17" t="str">
        <x:v>N</x:v>
      </x:c>
      <x:c r="D37" s="17" t="str">
        <x:v>higher_better</x:v>
      </x:c>
      <x:c r="E37" s="17" t="n">
        <x:v>15</x:v>
      </x:c>
      <x:c r="F37" s="17" t="str">
        <x:v>CR</x:v>
      </x:c>
      <x:c r="G37" s="17" t="n">
        <x:v>3</x:v>
      </x:c>
      <x:c r="H37" s="18" t="n">
        <x:v>3</x:v>
      </x:c>
      <x:c r="I37" s="17" t="str">
        <x:v>硬度 (Hardness, N).xlsx | 硬度 (Hardness, N)!D8</x:v>
      </x:c>
    </x:row>
    <x:row r="38">
      <x:c r="A38" s="17" t="str">
        <x:v>hardness</x:v>
      </x:c>
      <x:c r="B38" s="17" t="str">
        <x:v>硬度</x:v>
      </x:c>
      <x:c r="C38" s="17" t="str">
        <x:v>N</x:v>
      </x:c>
      <x:c r="D38" s="17" t="str">
        <x:v>higher_better</x:v>
      </x:c>
      <x:c r="E38" s="17" t="n">
        <x:v>15</x:v>
      </x:c>
      <x:c r="F38" s="17" t="str">
        <x:v>MF</x:v>
      </x:c>
      <x:c r="G38" s="17" t="n">
        <x:v>1</x:v>
      </x:c>
      <x:c r="H38" s="18" t="n">
        <x:v>17</x:v>
      </x:c>
      <x:c r="I38" s="17" t="str">
        <x:v>硬度 (Hardness, N).xlsx | 硬度 (Hardness, N)!E8</x:v>
      </x:c>
    </x:row>
    <x:row r="39">
      <x:c r="A39" s="17" t="str">
        <x:v>hardness</x:v>
      </x:c>
      <x:c r="B39" s="17" t="str">
        <x:v>硬度</x:v>
      </x:c>
      <x:c r="C39" s="17" t="str">
        <x:v>N</x:v>
      </x:c>
      <x:c r="D39" s="17" t="str">
        <x:v>higher_better</x:v>
      </x:c>
      <x:c r="E39" s="17" t="n">
        <x:v>15</x:v>
      </x:c>
      <x:c r="F39" s="17" t="str">
        <x:v>MF</x:v>
      </x:c>
      <x:c r="G39" s="17" t="n">
        <x:v>2</x:v>
      </x:c>
      <x:c r="H39" s="18" t="n">
        <x:v>15.5</x:v>
      </x:c>
      <x:c r="I39" s="17" t="str">
        <x:v>硬度 (Hardness, N).xlsx | 硬度 (Hardness, N)!F8</x:v>
      </x:c>
    </x:row>
    <x:row r="40">
      <x:c r="A40" s="17" t="str">
        <x:v>hardness</x:v>
      </x:c>
      <x:c r="B40" s="17" t="str">
        <x:v>硬度</x:v>
      </x:c>
      <x:c r="C40" s="17" t="str">
        <x:v>N</x:v>
      </x:c>
      <x:c r="D40" s="17" t="str">
        <x:v>higher_better</x:v>
      </x:c>
      <x:c r="E40" s="17" t="n">
        <x:v>15</x:v>
      </x:c>
      <x:c r="F40" s="17" t="str">
        <x:v>MF</x:v>
      </x:c>
      <x:c r="G40" s="17" t="n">
        <x:v>3</x:v>
      </x:c>
      <x:c r="H40" s="18" t="n">
        <x:v>16.2</x:v>
      </x:c>
      <x:c r="I40" s="17" t="str">
        <x:v>硬度 (Hardness, N).xlsx | 硬度 (Hardness, N)!G8</x:v>
      </x:c>
    </x:row>
    <x:row r="41">
      <x:c r="A41" s="17" t="str">
        <x:v>weight_loss</x:v>
      </x:c>
      <x:c r="B41" s="17" t="str">
        <x:v>失重率</x:v>
      </x:c>
      <x:c r="C41" s="17" t="str">
        <x:v>%</x:v>
      </x:c>
      <x:c r="D41" s="17" t="str">
        <x:v>lower_better</x:v>
      </x:c>
      <x:c r="E41" s="17" t="n">
        <x:v>0</x:v>
      </x:c>
      <x:c r="F41" s="17" t="str">
        <x:v>CR</x:v>
      </x:c>
      <x:c r="G41" s="17" t="n">
        <x:v>1</x:v>
      </x:c>
      <x:c r="H41" s="18" t="n">
        <x:v>0</x:v>
      </x:c>
      <x:c r="I41" s="17" t="str">
        <x:v>失重率 (Weight loss, %).xlsx | 失重率 (Weight loss, %)!B3</x:v>
      </x:c>
    </x:row>
    <x:row r="42">
      <x:c r="A42" s="17" t="str">
        <x:v>weight_loss</x:v>
      </x:c>
      <x:c r="B42" s="17" t="str">
        <x:v>失重率</x:v>
      </x:c>
      <x:c r="C42" s="17" t="str">
        <x:v>%</x:v>
      </x:c>
      <x:c r="D42" s="17" t="str">
        <x:v>lower_better</x:v>
      </x:c>
      <x:c r="E42" s="17" t="n">
        <x:v>0</x:v>
      </x:c>
      <x:c r="F42" s="17" t="str">
        <x:v>CR</x:v>
      </x:c>
      <x:c r="G42" s="17" t="n">
        <x:v>2</x:v>
      </x:c>
      <x:c r="H42" s="18" t="n">
        <x:v>0</x:v>
      </x:c>
      <x:c r="I42" s="17" t="str">
        <x:v>失重率 (Weight loss, %).xlsx | 失重率 (Weight loss, %)!C3</x:v>
      </x:c>
    </x:row>
    <x:row r="43">
      <x:c r="A43" s="17" t="str">
        <x:v>weight_loss</x:v>
      </x:c>
      <x:c r="B43" s="17" t="str">
        <x:v>失重率</x:v>
      </x:c>
      <x:c r="C43" s="17" t="str">
        <x:v>%</x:v>
      </x:c>
      <x:c r="D43" s="17" t="str">
        <x:v>lower_better</x:v>
      </x:c>
      <x:c r="E43" s="17" t="n">
        <x:v>0</x:v>
      </x:c>
      <x:c r="F43" s="17" t="str">
        <x:v>CR</x:v>
      </x:c>
      <x:c r="G43" s="17" t="n">
        <x:v>3</x:v>
      </x:c>
      <x:c r="H43" s="18" t="n">
        <x:v>0</x:v>
      </x:c>
      <x:c r="I43" s="17" t="str">
        <x:v>失重率 (Weight loss, %).xlsx | 失重率 (Weight loss, %)!D3</x:v>
      </x:c>
    </x:row>
    <x:row r="44">
      <x:c r="A44" s="17" t="str">
        <x:v>weight_loss</x:v>
      </x:c>
      <x:c r="B44" s="17" t="str">
        <x:v>失重率</x:v>
      </x:c>
      <x:c r="C44" s="17" t="str">
        <x:v>%</x:v>
      </x:c>
      <x:c r="D44" s="17" t="str">
        <x:v>lower_better</x:v>
      </x:c>
      <x:c r="E44" s="17" t="n">
        <x:v>0</x:v>
      </x:c>
      <x:c r="F44" s="17" t="str">
        <x:v>MF</x:v>
      </x:c>
      <x:c r="G44" s="17" t="n">
        <x:v>1</x:v>
      </x:c>
      <x:c r="H44" s="18" t="n">
        <x:v>0</x:v>
      </x:c>
      <x:c r="I44" s="17" t="str">
        <x:v>失重率 (Weight loss, %).xlsx | 失重率 (Weight loss, %)!E3</x:v>
      </x:c>
    </x:row>
    <x:row r="45">
      <x:c r="A45" s="17" t="str">
        <x:v>weight_loss</x:v>
      </x:c>
      <x:c r="B45" s="17" t="str">
        <x:v>失重率</x:v>
      </x:c>
      <x:c r="C45" s="17" t="str">
        <x:v>%</x:v>
      </x:c>
      <x:c r="D45" s="17" t="str">
        <x:v>lower_better</x:v>
      </x:c>
      <x:c r="E45" s="17" t="n">
        <x:v>0</x:v>
      </x:c>
      <x:c r="F45" s="17" t="str">
        <x:v>MF</x:v>
      </x:c>
      <x:c r="G45" s="17" t="n">
        <x:v>2</x:v>
      </x:c>
      <x:c r="H45" s="18" t="n">
        <x:v>0</x:v>
      </x:c>
      <x:c r="I45" s="17" t="str">
        <x:v>失重率 (Weight loss, %).xlsx | 失重率 (Weight loss, %)!F3</x:v>
      </x:c>
    </x:row>
    <x:row r="46">
      <x:c r="A46" s="17" t="str">
        <x:v>weight_loss</x:v>
      </x:c>
      <x:c r="B46" s="17" t="str">
        <x:v>失重率</x:v>
      </x:c>
      <x:c r="C46" s="17" t="str">
        <x:v>%</x:v>
      </x:c>
      <x:c r="D46" s="17" t="str">
        <x:v>lower_better</x:v>
      </x:c>
      <x:c r="E46" s="17" t="n">
        <x:v>0</x:v>
      </x:c>
      <x:c r="F46" s="17" t="str">
        <x:v>MF</x:v>
      </x:c>
      <x:c r="G46" s="17" t="n">
        <x:v>3</x:v>
      </x:c>
      <x:c r="H46" s="18" t="n">
        <x:v>0</x:v>
      </x:c>
      <x:c r="I46" s="17" t="str">
        <x:v>失重率 (Weight loss, %).xlsx | 失重率 (Weight loss, %)!G3</x:v>
      </x:c>
    </x:row>
    <x:row r="47">
      <x:c r="A47" s="17" t="str">
        <x:v>weight_loss</x:v>
      </x:c>
      <x:c r="B47" s="17" t="str">
        <x:v>失重率</x:v>
      </x:c>
      <x:c r="C47" s="17" t="str">
        <x:v>%</x:v>
      </x:c>
      <x:c r="D47" s="17" t="str">
        <x:v>lower_better</x:v>
      </x:c>
      <x:c r="E47" s="17" t="n">
        <x:v>3</x:v>
      </x:c>
      <x:c r="F47" s="17" t="str">
        <x:v>CR</x:v>
      </x:c>
      <x:c r="G47" s="17" t="n">
        <x:v>1</x:v>
      </x:c>
      <x:c r="H47" s="18" t="n">
        <x:v>2.1</x:v>
      </x:c>
      <x:c r="I47" s="17" t="str">
        <x:v>失重率 (Weight loss, %).xlsx | 失重率 (Weight loss, %)!B4</x:v>
      </x:c>
    </x:row>
    <x:row r="48">
      <x:c r="A48" s="17" t="str">
        <x:v>weight_loss</x:v>
      </x:c>
      <x:c r="B48" s="17" t="str">
        <x:v>失重率</x:v>
      </x:c>
      <x:c r="C48" s="17" t="str">
        <x:v>%</x:v>
      </x:c>
      <x:c r="D48" s="17" t="str">
        <x:v>lower_better</x:v>
      </x:c>
      <x:c r="E48" s="17" t="n">
        <x:v>3</x:v>
      </x:c>
      <x:c r="F48" s="17" t="str">
        <x:v>CR</x:v>
      </x:c>
      <x:c r="G48" s="17" t="n">
        <x:v>2</x:v>
      </x:c>
      <x:c r="H48" s="18" t="n">
        <x:v>2.5</x:v>
      </x:c>
      <x:c r="I48" s="17" t="str">
        <x:v>失重率 (Weight loss, %).xlsx | 失重率 (Weight loss, %)!C4</x:v>
      </x:c>
    </x:row>
    <x:row r="49">
      <x:c r="A49" s="17" t="str">
        <x:v>weight_loss</x:v>
      </x:c>
      <x:c r="B49" s="17" t="str">
        <x:v>失重率</x:v>
      </x:c>
      <x:c r="C49" s="17" t="str">
        <x:v>%</x:v>
      </x:c>
      <x:c r="D49" s="17" t="str">
        <x:v>lower_better</x:v>
      </x:c>
      <x:c r="E49" s="17" t="n">
        <x:v>3</x:v>
      </x:c>
      <x:c r="F49" s="17" t="str">
        <x:v>CR</x:v>
      </x:c>
      <x:c r="G49" s="17" t="n">
        <x:v>3</x:v>
      </x:c>
      <x:c r="H49" s="18" t="n">
        <x:v>2.3</x:v>
      </x:c>
      <x:c r="I49" s="17" t="str">
        <x:v>失重率 (Weight loss, %).xlsx | 失重率 (Weight loss, %)!D4</x:v>
      </x:c>
    </x:row>
    <x:row r="50">
      <x:c r="A50" s="17" t="str">
        <x:v>weight_loss</x:v>
      </x:c>
      <x:c r="B50" s="17" t="str">
        <x:v>失重率</x:v>
      </x:c>
      <x:c r="C50" s="17" t="str">
        <x:v>%</x:v>
      </x:c>
      <x:c r="D50" s="17" t="str">
        <x:v>lower_better</x:v>
      </x:c>
      <x:c r="E50" s="17" t="n">
        <x:v>3</x:v>
      </x:c>
      <x:c r="F50" s="17" t="str">
        <x:v>MF</x:v>
      </x:c>
      <x:c r="G50" s="17" t="n">
        <x:v>1</x:v>
      </x:c>
      <x:c r="H50" s="18" t="n">
        <x:v>1</x:v>
      </x:c>
      <x:c r="I50" s="17" t="str">
        <x:v>失重率 (Weight loss, %).xlsx | 失重率 (Weight loss, %)!E4</x:v>
      </x:c>
    </x:row>
    <x:row r="51">
      <x:c r="A51" s="17" t="str">
        <x:v>weight_loss</x:v>
      </x:c>
      <x:c r="B51" s="17" t="str">
        <x:v>失重率</x:v>
      </x:c>
      <x:c r="C51" s="17" t="str">
        <x:v>%</x:v>
      </x:c>
      <x:c r="D51" s="17" t="str">
        <x:v>lower_better</x:v>
      </x:c>
      <x:c r="E51" s="17" t="n">
        <x:v>3</x:v>
      </x:c>
      <x:c r="F51" s="17" t="str">
        <x:v>MF</x:v>
      </x:c>
      <x:c r="G51" s="17" t="n">
        <x:v>2</x:v>
      </x:c>
      <x:c r="H51" s="18" t="n">
        <x:v>1.2</x:v>
      </x:c>
      <x:c r="I51" s="17" t="str">
        <x:v>失重率 (Weight loss, %).xlsx | 失重率 (Weight loss, %)!F4</x:v>
      </x:c>
    </x:row>
    <x:row r="52">
      <x:c r="A52" s="17" t="str">
        <x:v>weight_loss</x:v>
      </x:c>
      <x:c r="B52" s="17" t="str">
        <x:v>失重率</x:v>
      </x:c>
      <x:c r="C52" s="17" t="str">
        <x:v>%</x:v>
      </x:c>
      <x:c r="D52" s="17" t="str">
        <x:v>lower_better</x:v>
      </x:c>
      <x:c r="E52" s="17" t="n">
        <x:v>3</x:v>
      </x:c>
      <x:c r="F52" s="17" t="str">
        <x:v>MF</x:v>
      </x:c>
      <x:c r="G52" s="17" t="n">
        <x:v>3</x:v>
      </x:c>
      <x:c r="H52" s="18" t="n">
        <x:v>1.1</x:v>
      </x:c>
      <x:c r="I52" s="17" t="str">
        <x:v>失重率 (Weight loss, %).xlsx | 失重率 (Weight loss, %)!G4</x:v>
      </x:c>
    </x:row>
    <x:row r="53">
      <x:c r="A53" s="17" t="str">
        <x:v>weight_loss</x:v>
      </x:c>
      <x:c r="B53" s="17" t="str">
        <x:v>失重率</x:v>
      </x:c>
      <x:c r="C53" s="17" t="str">
        <x:v>%</x:v>
      </x:c>
      <x:c r="D53" s="17" t="str">
        <x:v>lower_better</x:v>
      </x:c>
      <x:c r="E53" s="17" t="n">
        <x:v>6</x:v>
      </x:c>
      <x:c r="F53" s="17" t="str">
        <x:v>CR</x:v>
      </x:c>
      <x:c r="G53" s="17" t="n">
        <x:v>1</x:v>
      </x:c>
      <x:c r="H53" s="18" t="n">
        <x:v>5.5</x:v>
      </x:c>
      <x:c r="I53" s="17" t="str">
        <x:v>失重率 (Weight loss, %).xlsx | 失重率 (Weight loss, %)!B5</x:v>
      </x:c>
    </x:row>
    <x:row r="54">
      <x:c r="A54" s="17" t="str">
        <x:v>weight_loss</x:v>
      </x:c>
      <x:c r="B54" s="17" t="str">
        <x:v>失重率</x:v>
      </x:c>
      <x:c r="C54" s="17" t="str">
        <x:v>%</x:v>
      </x:c>
      <x:c r="D54" s="17" t="str">
        <x:v>lower_better</x:v>
      </x:c>
      <x:c r="E54" s="17" t="n">
        <x:v>6</x:v>
      </x:c>
      <x:c r="F54" s="17" t="str">
        <x:v>CR</x:v>
      </x:c>
      <x:c r="G54" s="17" t="n">
        <x:v>2</x:v>
      </x:c>
      <x:c r="H54" s="18" t="n">
        <x:v>6</x:v>
      </x:c>
      <x:c r="I54" s="17" t="str">
        <x:v>失重率 (Weight loss, %).xlsx | 失重率 (Weight loss, %)!C5</x:v>
      </x:c>
    </x:row>
    <x:row r="55">
      <x:c r="A55" s="17" t="str">
        <x:v>weight_loss</x:v>
      </x:c>
      <x:c r="B55" s="17" t="str">
        <x:v>失重率</x:v>
      </x:c>
      <x:c r="C55" s="17" t="str">
        <x:v>%</x:v>
      </x:c>
      <x:c r="D55" s="17" t="str">
        <x:v>lower_better</x:v>
      </x:c>
      <x:c r="E55" s="17" t="n">
        <x:v>6</x:v>
      </x:c>
      <x:c r="F55" s="17" t="str">
        <x:v>CR</x:v>
      </x:c>
      <x:c r="G55" s="17" t="n">
        <x:v>3</x:v>
      </x:c>
      <x:c r="H55" s="18" t="n">
        <x:v>5.8</x:v>
      </x:c>
      <x:c r="I55" s="17" t="str">
        <x:v>失重率 (Weight loss, %).xlsx | 失重率 (Weight loss, %)!D5</x:v>
      </x:c>
    </x:row>
    <x:row r="56">
      <x:c r="A56" s="17" t="str">
        <x:v>weight_loss</x:v>
      </x:c>
      <x:c r="B56" s="17" t="str">
        <x:v>失重率</x:v>
      </x:c>
      <x:c r="C56" s="17" t="str">
        <x:v>%</x:v>
      </x:c>
      <x:c r="D56" s="17" t="str">
        <x:v>lower_better</x:v>
      </x:c>
      <x:c r="E56" s="17" t="n">
        <x:v>6</x:v>
      </x:c>
      <x:c r="F56" s="17" t="str">
        <x:v>MF</x:v>
      </x:c>
      <x:c r="G56" s="17" t="n">
        <x:v>1</x:v>
      </x:c>
      <x:c r="H56" s="18" t="n">
        <x:v>2.8</x:v>
      </x:c>
      <x:c r="I56" s="17" t="str">
        <x:v>失重率 (Weight loss, %).xlsx | 失重率 (Weight loss, %)!E5</x:v>
      </x:c>
    </x:row>
    <x:row r="57">
      <x:c r="A57" s="17" t="str">
        <x:v>weight_loss</x:v>
      </x:c>
      <x:c r="B57" s="17" t="str">
        <x:v>失重率</x:v>
      </x:c>
      <x:c r="C57" s="17" t="str">
        <x:v>%</x:v>
      </x:c>
      <x:c r="D57" s="17" t="str">
        <x:v>lower_better</x:v>
      </x:c>
      <x:c r="E57" s="17" t="n">
        <x:v>6</x:v>
      </x:c>
      <x:c r="F57" s="17" t="str">
        <x:v>MF</x:v>
      </x:c>
      <x:c r="G57" s="17" t="n">
        <x:v>2</x:v>
      </x:c>
      <x:c r="H57" s="18" t="n">
        <x:v>3.2</x:v>
      </x:c>
      <x:c r="I57" s="17" t="str">
        <x:v>失重率 (Weight loss, %).xlsx | 失重率 (Weight loss, %)!F5</x:v>
      </x:c>
    </x:row>
    <x:row r="58">
      <x:c r="A58" s="17" t="str">
        <x:v>weight_loss</x:v>
      </x:c>
      <x:c r="B58" s="17" t="str">
        <x:v>失重率</x:v>
      </x:c>
      <x:c r="C58" s="17" t="str">
        <x:v>%</x:v>
      </x:c>
      <x:c r="D58" s="17" t="str">
        <x:v>lower_better</x:v>
      </x:c>
      <x:c r="E58" s="17" t="n">
        <x:v>6</x:v>
      </x:c>
      <x:c r="F58" s="17" t="str">
        <x:v>MF</x:v>
      </x:c>
      <x:c r="G58" s="17" t="n">
        <x:v>3</x:v>
      </x:c>
      <x:c r="H58" s="18" t="n">
        <x:v>3</x:v>
      </x:c>
      <x:c r="I58" s="17" t="str">
        <x:v>失重率 (Weight loss, %).xlsx | 失重率 (Weight loss, %)!G5</x:v>
      </x:c>
    </x:row>
    <x:row r="59">
      <x:c r="A59" s="17" t="str">
        <x:v>weight_loss</x:v>
      </x:c>
      <x:c r="B59" s="17" t="str">
        <x:v>失重率</x:v>
      </x:c>
      <x:c r="C59" s="17" t="str">
        <x:v>%</x:v>
      </x:c>
      <x:c r="D59" s="17" t="str">
        <x:v>lower_better</x:v>
      </x:c>
      <x:c r="E59" s="17" t="n">
        <x:v>9</x:v>
      </x:c>
      <x:c r="F59" s="17" t="str">
        <x:v>CR</x:v>
      </x:c>
      <x:c r="G59" s="17" t="n">
        <x:v>1</x:v>
      </x:c>
      <x:c r="H59" s="18" t="n">
        <x:v>9</x:v>
      </x:c>
      <x:c r="I59" s="17" t="str">
        <x:v>失重率 (Weight loss, %).xlsx | 失重率 (Weight loss, %)!B6</x:v>
      </x:c>
    </x:row>
    <x:row r="60">
      <x:c r="A60" s="17" t="str">
        <x:v>weight_loss</x:v>
      </x:c>
      <x:c r="B60" s="17" t="str">
        <x:v>失重率</x:v>
      </x:c>
      <x:c r="C60" s="17" t="str">
        <x:v>%</x:v>
      </x:c>
      <x:c r="D60" s="17" t="str">
        <x:v>lower_better</x:v>
      </x:c>
      <x:c r="E60" s="17" t="n">
        <x:v>9</x:v>
      </x:c>
      <x:c r="F60" s="17" t="str">
        <x:v>CR</x:v>
      </x:c>
      <x:c r="G60" s="17" t="n">
        <x:v>2</x:v>
      </x:c>
      <x:c r="H60" s="18" t="n">
        <x:v>9.5</x:v>
      </x:c>
      <x:c r="I60" s="17" t="str">
        <x:v>失重率 (Weight loss, %).xlsx | 失重率 (Weight loss, %)!C6</x:v>
      </x:c>
    </x:row>
    <x:row r="61">
      <x:c r="A61" s="17" t="str">
        <x:v>weight_loss</x:v>
      </x:c>
      <x:c r="B61" s="17" t="str">
        <x:v>失重率</x:v>
      </x:c>
      <x:c r="C61" s="17" t="str">
        <x:v>%</x:v>
      </x:c>
      <x:c r="D61" s="17" t="str">
        <x:v>lower_better</x:v>
      </x:c>
      <x:c r="E61" s="17" t="n">
        <x:v>9</x:v>
      </x:c>
      <x:c r="F61" s="17" t="str">
        <x:v>CR</x:v>
      </x:c>
      <x:c r="G61" s="17" t="n">
        <x:v>3</x:v>
      </x:c>
      <x:c r="H61" s="18" t="n">
        <x:v>9.3</x:v>
      </x:c>
      <x:c r="I61" s="17" t="str">
        <x:v>失重率 (Weight loss, %).xlsx | 失重率 (Weight loss, %)!D6</x:v>
      </x:c>
    </x:row>
    <x:row r="62">
      <x:c r="A62" s="17" t="str">
        <x:v>weight_loss</x:v>
      </x:c>
      <x:c r="B62" s="17" t="str">
        <x:v>失重率</x:v>
      </x:c>
      <x:c r="C62" s="17" t="str">
        <x:v>%</x:v>
      </x:c>
      <x:c r="D62" s="17" t="str">
        <x:v>lower_better</x:v>
      </x:c>
      <x:c r="E62" s="17" t="n">
        <x:v>9</x:v>
      </x:c>
      <x:c r="F62" s="17" t="str">
        <x:v>MF</x:v>
      </x:c>
      <x:c r="G62" s="17" t="n">
        <x:v>1</x:v>
      </x:c>
      <x:c r="H62" s="18" t="n">
        <x:v>4.5</x:v>
      </x:c>
      <x:c r="I62" s="17" t="str">
        <x:v>失重率 (Weight loss, %).xlsx | 失重率 (Weight loss, %)!E6</x:v>
      </x:c>
    </x:row>
    <x:row r="63">
      <x:c r="A63" s="17" t="str">
        <x:v>weight_loss</x:v>
      </x:c>
      <x:c r="B63" s="17" t="str">
        <x:v>失重率</x:v>
      </x:c>
      <x:c r="C63" s="17" t="str">
        <x:v>%</x:v>
      </x:c>
      <x:c r="D63" s="17" t="str">
        <x:v>lower_better</x:v>
      </x:c>
      <x:c r="E63" s="17" t="n">
        <x:v>9</x:v>
      </x:c>
      <x:c r="F63" s="17" t="str">
        <x:v>MF</x:v>
      </x:c>
      <x:c r="G63" s="17" t="n">
        <x:v>2</x:v>
      </x:c>
      <x:c r="H63" s="18" t="n">
        <x:v>5</x:v>
      </x:c>
      <x:c r="I63" s="17" t="str">
        <x:v>失重率 (Weight loss, %).xlsx | 失重率 (Weight loss, %)!F6</x:v>
      </x:c>
    </x:row>
    <x:row r="64">
      <x:c r="A64" s="17" t="str">
        <x:v>weight_loss</x:v>
      </x:c>
      <x:c r="B64" s="17" t="str">
        <x:v>失重率</x:v>
      </x:c>
      <x:c r="C64" s="17" t="str">
        <x:v>%</x:v>
      </x:c>
      <x:c r="D64" s="17" t="str">
        <x:v>lower_better</x:v>
      </x:c>
      <x:c r="E64" s="17" t="n">
        <x:v>9</x:v>
      </x:c>
      <x:c r="F64" s="17" t="str">
        <x:v>MF</x:v>
      </x:c>
      <x:c r="G64" s="17" t="n">
        <x:v>3</x:v>
      </x:c>
      <x:c r="H64" s="18" t="n">
        <x:v>4.8</x:v>
      </x:c>
      <x:c r="I64" s="17" t="str">
        <x:v>失重率 (Weight loss, %).xlsx | 失重率 (Weight loss, %)!G6</x:v>
      </x:c>
    </x:row>
    <x:row r="65">
      <x:c r="A65" s="17" t="str">
        <x:v>weight_loss</x:v>
      </x:c>
      <x:c r="B65" s="17" t="str">
        <x:v>失重率</x:v>
      </x:c>
      <x:c r="C65" s="17" t="str">
        <x:v>%</x:v>
      </x:c>
      <x:c r="D65" s="17" t="str">
        <x:v>lower_better</x:v>
      </x:c>
      <x:c r="E65" s="17" t="n">
        <x:v>12</x:v>
      </x:c>
      <x:c r="F65" s="17" t="str">
        <x:v>CR</x:v>
      </x:c>
      <x:c r="G65" s="17" t="n">
        <x:v>1</x:v>
      </x:c>
      <x:c r="H65" s="18" t="n">
        <x:v>13.5</x:v>
      </x:c>
      <x:c r="I65" s="17" t="str">
        <x:v>失重率 (Weight loss, %).xlsx | 失重率 (Weight loss, %)!B7</x:v>
      </x:c>
    </x:row>
    <x:row r="66">
      <x:c r="A66" s="17" t="str">
        <x:v>weight_loss</x:v>
      </x:c>
      <x:c r="B66" s="17" t="str">
        <x:v>失重率</x:v>
      </x:c>
      <x:c r="C66" s="17" t="str">
        <x:v>%</x:v>
      </x:c>
      <x:c r="D66" s="17" t="str">
        <x:v>lower_better</x:v>
      </x:c>
      <x:c r="E66" s="17" t="n">
        <x:v>12</x:v>
      </x:c>
      <x:c r="F66" s="17" t="str">
        <x:v>CR</x:v>
      </x:c>
      <x:c r="G66" s="17" t="n">
        <x:v>2</x:v>
      </x:c>
      <x:c r="H66" s="18" t="n">
        <x:v>14</x:v>
      </x:c>
      <x:c r="I66" s="17" t="str">
        <x:v>失重率 (Weight loss, %).xlsx | 失重率 (Weight loss, %)!C7</x:v>
      </x:c>
    </x:row>
    <x:row r="67">
      <x:c r="A67" s="17" t="str">
        <x:v>weight_loss</x:v>
      </x:c>
      <x:c r="B67" s="17" t="str">
        <x:v>失重率</x:v>
      </x:c>
      <x:c r="C67" s="17" t="str">
        <x:v>%</x:v>
      </x:c>
      <x:c r="D67" s="17" t="str">
        <x:v>lower_better</x:v>
      </x:c>
      <x:c r="E67" s="17" t="n">
        <x:v>12</x:v>
      </x:c>
      <x:c r="F67" s="17" t="str">
        <x:v>CR</x:v>
      </x:c>
      <x:c r="G67" s="17" t="n">
        <x:v>3</x:v>
      </x:c>
      <x:c r="H67" s="18" t="n">
        <x:v>13.8</x:v>
      </x:c>
      <x:c r="I67" s="17" t="str">
        <x:v>失重率 (Weight loss, %).xlsx | 失重率 (Weight loss, %)!D7</x:v>
      </x:c>
    </x:row>
    <x:row r="68">
      <x:c r="A68" s="17" t="str">
        <x:v>weight_loss</x:v>
      </x:c>
      <x:c r="B68" s="17" t="str">
        <x:v>失重率</x:v>
      </x:c>
      <x:c r="C68" s="17" t="str">
        <x:v>%</x:v>
      </x:c>
      <x:c r="D68" s="17" t="str">
        <x:v>lower_better</x:v>
      </x:c>
      <x:c r="E68" s="17" t="n">
        <x:v>12</x:v>
      </x:c>
      <x:c r="F68" s="17" t="str">
        <x:v>MF</x:v>
      </x:c>
      <x:c r="G68" s="17" t="n">
        <x:v>1</x:v>
      </x:c>
      <x:c r="H68" s="18" t="n">
        <x:v>6.5</x:v>
      </x:c>
      <x:c r="I68" s="17" t="str">
        <x:v>失重率 (Weight loss, %).xlsx | 失重率 (Weight loss, %)!E7</x:v>
      </x:c>
    </x:row>
    <x:row r="69">
      <x:c r="A69" s="17" t="str">
        <x:v>weight_loss</x:v>
      </x:c>
      <x:c r="B69" s="17" t="str">
        <x:v>失重率</x:v>
      </x:c>
      <x:c r="C69" s="17" t="str">
        <x:v>%</x:v>
      </x:c>
      <x:c r="D69" s="17" t="str">
        <x:v>lower_better</x:v>
      </x:c>
      <x:c r="E69" s="17" t="n">
        <x:v>12</x:v>
      </x:c>
      <x:c r="F69" s="17" t="str">
        <x:v>MF</x:v>
      </x:c>
      <x:c r="G69" s="17" t="n">
        <x:v>2</x:v>
      </x:c>
      <x:c r="H69" s="18" t="n">
        <x:v>7</x:v>
      </x:c>
      <x:c r="I69" s="17" t="str">
        <x:v>失重率 (Weight loss, %).xlsx | 失重率 (Weight loss, %)!F7</x:v>
      </x:c>
    </x:row>
    <x:row r="70">
      <x:c r="A70" s="17" t="str">
        <x:v>weight_loss</x:v>
      </x:c>
      <x:c r="B70" s="17" t="str">
        <x:v>失重率</x:v>
      </x:c>
      <x:c r="C70" s="17" t="str">
        <x:v>%</x:v>
      </x:c>
      <x:c r="D70" s="17" t="str">
        <x:v>lower_better</x:v>
      </x:c>
      <x:c r="E70" s="17" t="n">
        <x:v>12</x:v>
      </x:c>
      <x:c r="F70" s="17" t="str">
        <x:v>MF</x:v>
      </x:c>
      <x:c r="G70" s="17" t="n">
        <x:v>3</x:v>
      </x:c>
      <x:c r="H70" s="18" t="n">
        <x:v>6.8</x:v>
      </x:c>
      <x:c r="I70" s="17" t="str">
        <x:v>失重率 (Weight loss, %).xlsx | 失重率 (Weight loss, %)!G7</x:v>
      </x:c>
    </x:row>
    <x:row r="71">
      <x:c r="A71" s="17" t="str">
        <x:v>weight_loss</x:v>
      </x:c>
      <x:c r="B71" s="17" t="str">
        <x:v>失重率</x:v>
      </x:c>
      <x:c r="C71" s="17" t="str">
        <x:v>%</x:v>
      </x:c>
      <x:c r="D71" s="17" t="str">
        <x:v>lower_better</x:v>
      </x:c>
      <x:c r="E71" s="17" t="n">
        <x:v>15</x:v>
      </x:c>
      <x:c r="F71" s="17" t="str">
        <x:v>CR</x:v>
      </x:c>
      <x:c r="G71" s="17" t="n">
        <x:v>1</x:v>
      </x:c>
      <x:c r="H71" s="18" t="n">
        <x:v>18</x:v>
      </x:c>
      <x:c r="I71" s="17" t="str">
        <x:v>失重率 (Weight loss, %).xlsx | 失重率 (Weight loss, %)!B8</x:v>
      </x:c>
    </x:row>
    <x:row r="72">
      <x:c r="A72" s="17" t="str">
        <x:v>weight_loss</x:v>
      </x:c>
      <x:c r="B72" s="17" t="str">
        <x:v>失重率</x:v>
      </x:c>
      <x:c r="C72" s="17" t="str">
        <x:v>%</x:v>
      </x:c>
      <x:c r="D72" s="17" t="str">
        <x:v>lower_better</x:v>
      </x:c>
      <x:c r="E72" s="17" t="n">
        <x:v>15</x:v>
      </x:c>
      <x:c r="F72" s="17" t="str">
        <x:v>CR</x:v>
      </x:c>
      <x:c r="G72" s="17" t="n">
        <x:v>2</x:v>
      </x:c>
      <x:c r="H72" s="18" t="n">
        <x:v>18.5</x:v>
      </x:c>
      <x:c r="I72" s="17" t="str">
        <x:v>失重率 (Weight loss, %).xlsx | 失重率 (Weight loss, %)!C8</x:v>
      </x:c>
    </x:row>
    <x:row r="73">
      <x:c r="A73" s="17" t="str">
        <x:v>weight_loss</x:v>
      </x:c>
      <x:c r="B73" s="17" t="str">
        <x:v>失重率</x:v>
      </x:c>
      <x:c r="C73" s="17" t="str">
        <x:v>%</x:v>
      </x:c>
      <x:c r="D73" s="17" t="str">
        <x:v>lower_better</x:v>
      </x:c>
      <x:c r="E73" s="17" t="n">
        <x:v>15</x:v>
      </x:c>
      <x:c r="F73" s="17" t="str">
        <x:v>CR</x:v>
      </x:c>
      <x:c r="G73" s="17" t="n">
        <x:v>3</x:v>
      </x:c>
      <x:c r="H73" s="18" t="n">
        <x:v>18.2</x:v>
      </x:c>
      <x:c r="I73" s="17" t="str">
        <x:v>失重率 (Weight loss, %).xlsx | 失重率 (Weight loss, %)!D8</x:v>
      </x:c>
    </x:row>
    <x:row r="74">
      <x:c r="A74" s="17" t="str">
        <x:v>weight_loss</x:v>
      </x:c>
      <x:c r="B74" s="17" t="str">
        <x:v>失重率</x:v>
      </x:c>
      <x:c r="C74" s="17" t="str">
        <x:v>%</x:v>
      </x:c>
      <x:c r="D74" s="17" t="str">
        <x:v>lower_better</x:v>
      </x:c>
      <x:c r="E74" s="17" t="n">
        <x:v>15</x:v>
      </x:c>
      <x:c r="F74" s="17" t="str">
        <x:v>MF</x:v>
      </x:c>
      <x:c r="G74" s="17" t="n">
        <x:v>1</x:v>
      </x:c>
      <x:c r="H74" s="18" t="n">
        <x:v>7.5</x:v>
      </x:c>
      <x:c r="I74" s="17" t="str">
        <x:v>失重率 (Weight loss, %).xlsx | 失重率 (Weight loss, %)!E8</x:v>
      </x:c>
    </x:row>
    <x:row r="75">
      <x:c r="A75" s="17" t="str">
        <x:v>weight_loss</x:v>
      </x:c>
      <x:c r="B75" s="17" t="str">
        <x:v>失重率</x:v>
      </x:c>
      <x:c r="C75" s="17" t="str">
        <x:v>%</x:v>
      </x:c>
      <x:c r="D75" s="17" t="str">
        <x:v>lower_better</x:v>
      </x:c>
      <x:c r="E75" s="17" t="n">
        <x:v>15</x:v>
      </x:c>
      <x:c r="F75" s="17" t="str">
        <x:v>MF</x:v>
      </x:c>
      <x:c r="G75" s="17" t="n">
        <x:v>2</x:v>
      </x:c>
      <x:c r="H75" s="18" t="n">
        <x:v>8</x:v>
      </x:c>
      <x:c r="I75" s="17" t="str">
        <x:v>失重率 (Weight loss, %).xlsx | 失重率 (Weight loss, %)!F8</x:v>
      </x:c>
    </x:row>
    <x:row r="76">
      <x:c r="A76" s="17" t="str">
        <x:v>weight_loss</x:v>
      </x:c>
      <x:c r="B76" s="17" t="str">
        <x:v>失重率</x:v>
      </x:c>
      <x:c r="C76" s="17" t="str">
        <x:v>%</x:v>
      </x:c>
      <x:c r="D76" s="17" t="str">
        <x:v>lower_better</x:v>
      </x:c>
      <x:c r="E76" s="17" t="n">
        <x:v>15</x:v>
      </x:c>
      <x:c r="F76" s="17" t="str">
        <x:v>MF</x:v>
      </x:c>
      <x:c r="G76" s="17" t="n">
        <x:v>3</x:v>
      </x:c>
      <x:c r="H76" s="18" t="n">
        <x:v>7.8</x:v>
      </x:c>
      <x:c r="I76" s="17" t="str">
        <x:v>失重率 (Weight loss, %).xlsx | 失重率 (Weight loss, %)!G8</x:v>
      </x:c>
    </x:row>
    <x:row r="77">
      <x:c r="A77" s="17" t="str">
        <x:v>wsp</x:v>
      </x:c>
      <x:c r="B77" s="17" t="str">
        <x:v>水溶性果胶</x:v>
      </x:c>
      <x:c r="C77" s="17" t="str">
        <x:v>mg/g</x:v>
      </x:c>
      <x:c r="D77" s="17" t="str">
        <x:v>lower_better</x:v>
      </x:c>
      <x:c r="E77" s="17" t="n">
        <x:v>0</x:v>
      </x:c>
      <x:c r="F77" s="17" t="str">
        <x:v>CR</x:v>
      </x:c>
      <x:c r="G77" s="17" t="n">
        <x:v>1</x:v>
      </x:c>
      <x:c r="H77" s="18" t="n">
        <x:v>2.5</x:v>
      </x:c>
      <x:c r="I77" s="17" t="str">
        <x:v>水溶性果胶 (WSP, mg-g).xlsx | 水溶性果胶 (WSP, mg-g)!B3</x:v>
      </x:c>
    </x:row>
    <x:row r="78">
      <x:c r="A78" s="17" t="str">
        <x:v>wsp</x:v>
      </x:c>
      <x:c r="B78" s="17" t="str">
        <x:v>水溶性果胶</x:v>
      </x:c>
      <x:c r="C78" s="17" t="str">
        <x:v>mg/g</x:v>
      </x:c>
      <x:c r="D78" s="17" t="str">
        <x:v>lower_better</x:v>
      </x:c>
      <x:c r="E78" s="17" t="n">
        <x:v>0</x:v>
      </x:c>
      <x:c r="F78" s="17" t="str">
        <x:v>CR</x:v>
      </x:c>
      <x:c r="G78" s="17" t="n">
        <x:v>2</x:v>
      </x:c>
      <x:c r="H78" s="18" t="n">
        <x:v>2.6</x:v>
      </x:c>
      <x:c r="I78" s="17" t="str">
        <x:v>水溶性果胶 (WSP, mg-g).xlsx | 水溶性果胶 (WSP, mg-g)!C3</x:v>
      </x:c>
    </x:row>
    <x:row r="79">
      <x:c r="A79" s="17" t="str">
        <x:v>wsp</x:v>
      </x:c>
      <x:c r="B79" s="17" t="str">
        <x:v>水溶性果胶</x:v>
      </x:c>
      <x:c r="C79" s="17" t="str">
        <x:v>mg/g</x:v>
      </x:c>
      <x:c r="D79" s="17" t="str">
        <x:v>lower_better</x:v>
      </x:c>
      <x:c r="E79" s="17" t="n">
        <x:v>0</x:v>
      </x:c>
      <x:c r="F79" s="17" t="str">
        <x:v>CR</x:v>
      </x:c>
      <x:c r="G79" s="17" t="n">
        <x:v>3</x:v>
      </x:c>
      <x:c r="H79" s="18" t="n">
        <x:v>2.4</x:v>
      </x:c>
      <x:c r="I79" s="17" t="str">
        <x:v>水溶性果胶 (WSP, mg-g).xlsx | 水溶性果胶 (WSP, mg-g)!D3</x:v>
      </x:c>
    </x:row>
    <x:row r="80">
      <x:c r="A80" s="17" t="str">
        <x:v>wsp</x:v>
      </x:c>
      <x:c r="B80" s="17" t="str">
        <x:v>水溶性果胶</x:v>
      </x:c>
      <x:c r="C80" s="17" t="str">
        <x:v>mg/g</x:v>
      </x:c>
      <x:c r="D80" s="17" t="str">
        <x:v>lower_better</x:v>
      </x:c>
      <x:c r="E80" s="17" t="n">
        <x:v>0</x:v>
      </x:c>
      <x:c r="F80" s="17" t="str">
        <x:v>MF</x:v>
      </x:c>
      <x:c r="G80" s="17" t="n">
        <x:v>1</x:v>
      </x:c>
      <x:c r="H80" s="18" t="n">
        <x:v>2.5</x:v>
      </x:c>
      <x:c r="I80" s="17" t="str">
        <x:v>水溶性果胶 (WSP, mg-g).xlsx | 水溶性果胶 (WSP, mg-g)!E3</x:v>
      </x:c>
    </x:row>
    <x:row r="81">
      <x:c r="A81" s="17" t="str">
        <x:v>wsp</x:v>
      </x:c>
      <x:c r="B81" s="17" t="str">
        <x:v>水溶性果胶</x:v>
      </x:c>
      <x:c r="C81" s="17" t="str">
        <x:v>mg/g</x:v>
      </x:c>
      <x:c r="D81" s="17" t="str">
        <x:v>lower_better</x:v>
      </x:c>
      <x:c r="E81" s="17" t="n">
        <x:v>0</x:v>
      </x:c>
      <x:c r="F81" s="17" t="str">
        <x:v>MF</x:v>
      </x:c>
      <x:c r="G81" s="17" t="n">
        <x:v>2</x:v>
      </x:c>
      <x:c r="H81" s="18" t="n">
        <x:v>2.6</x:v>
      </x:c>
      <x:c r="I81" s="17" t="str">
        <x:v>水溶性果胶 (WSP, mg-g).xlsx | 水溶性果胶 (WSP, mg-g)!F3</x:v>
      </x:c>
    </x:row>
    <x:row r="82">
      <x:c r="A82" s="17" t="str">
        <x:v>wsp</x:v>
      </x:c>
      <x:c r="B82" s="17" t="str">
        <x:v>水溶性果胶</x:v>
      </x:c>
      <x:c r="C82" s="17" t="str">
        <x:v>mg/g</x:v>
      </x:c>
      <x:c r="D82" s="17" t="str">
        <x:v>lower_better</x:v>
      </x:c>
      <x:c r="E82" s="17" t="n">
        <x:v>0</x:v>
      </x:c>
      <x:c r="F82" s="17" t="str">
        <x:v>MF</x:v>
      </x:c>
      <x:c r="G82" s="17" t="n">
        <x:v>3</x:v>
      </x:c>
      <x:c r="H82" s="18" t="n">
        <x:v>2.4</x:v>
      </x:c>
      <x:c r="I82" s="17" t="str">
        <x:v>水溶性果胶 (WSP, mg-g).xlsx | 水溶性果胶 (WSP, mg-g)!G3</x:v>
      </x:c>
    </x:row>
    <x:row r="83">
      <x:c r="A83" s="17" t="str">
        <x:v>wsp</x:v>
      </x:c>
      <x:c r="B83" s="17" t="str">
        <x:v>水溶性果胶</x:v>
      </x:c>
      <x:c r="C83" s="17" t="str">
        <x:v>mg/g</x:v>
      </x:c>
      <x:c r="D83" s="17" t="str">
        <x:v>lower_better</x:v>
      </x:c>
      <x:c r="E83" s="17" t="n">
        <x:v>3</x:v>
      </x:c>
      <x:c r="F83" s="17" t="str">
        <x:v>CR</x:v>
      </x:c>
      <x:c r="G83" s="17" t="n">
        <x:v>1</x:v>
      </x:c>
      <x:c r="H83" s="18" t="n">
        <x:v>3.8</x:v>
      </x:c>
      <x:c r="I83" s="17" t="str">
        <x:v>水溶性果胶 (WSP, mg-g).xlsx | 水溶性果胶 (WSP, mg-g)!B4</x:v>
      </x:c>
    </x:row>
    <x:row r="84">
      <x:c r="A84" s="17" t="str">
        <x:v>wsp</x:v>
      </x:c>
      <x:c r="B84" s="17" t="str">
        <x:v>水溶性果胶</x:v>
      </x:c>
      <x:c r="C84" s="17" t="str">
        <x:v>mg/g</x:v>
      </x:c>
      <x:c r="D84" s="17" t="str">
        <x:v>lower_better</x:v>
      </x:c>
      <x:c r="E84" s="17" t="n">
        <x:v>3</x:v>
      </x:c>
      <x:c r="F84" s="17" t="str">
        <x:v>CR</x:v>
      </x:c>
      <x:c r="G84" s="17" t="n">
        <x:v>2</x:v>
      </x:c>
      <x:c r="H84" s="18" t="n">
        <x:v>4</x:v>
      </x:c>
      <x:c r="I84" s="17" t="str">
        <x:v>水溶性果胶 (WSP, mg-g).xlsx | 水溶性果胶 (WSP, mg-g)!C4</x:v>
      </x:c>
    </x:row>
    <x:row r="85">
      <x:c r="A85" s="17" t="str">
        <x:v>wsp</x:v>
      </x:c>
      <x:c r="B85" s="17" t="str">
        <x:v>水溶性果胶</x:v>
      </x:c>
      <x:c r="C85" s="17" t="str">
        <x:v>mg/g</x:v>
      </x:c>
      <x:c r="D85" s="17" t="str">
        <x:v>lower_better</x:v>
      </x:c>
      <x:c r="E85" s="17" t="n">
        <x:v>3</x:v>
      </x:c>
      <x:c r="F85" s="17" t="str">
        <x:v>CR</x:v>
      </x:c>
      <x:c r="G85" s="17" t="n">
        <x:v>3</x:v>
      </x:c>
      <x:c r="H85" s="18" t="n">
        <x:v>3.9</x:v>
      </x:c>
      <x:c r="I85" s="17" t="str">
        <x:v>水溶性果胶 (WSP, mg-g).xlsx | 水溶性果胶 (WSP, mg-g)!D4</x:v>
      </x:c>
    </x:row>
    <x:row r="86">
      <x:c r="A86" s="17" t="str">
        <x:v>wsp</x:v>
      </x:c>
      <x:c r="B86" s="17" t="str">
        <x:v>水溶性果胶</x:v>
      </x:c>
      <x:c r="C86" s="17" t="str">
        <x:v>mg/g</x:v>
      </x:c>
      <x:c r="D86" s="17" t="str">
        <x:v>lower_better</x:v>
      </x:c>
      <x:c r="E86" s="17" t="n">
        <x:v>3</x:v>
      </x:c>
      <x:c r="F86" s="17" t="str">
        <x:v>MF</x:v>
      </x:c>
      <x:c r="G86" s="17" t="n">
        <x:v>1</x:v>
      </x:c>
      <x:c r="H86" s="18" t="n">
        <x:v>3.2</x:v>
      </x:c>
      <x:c r="I86" s="17" t="str">
        <x:v>水溶性果胶 (WSP, mg-g).xlsx | 水溶性果胶 (WSP, mg-g)!E4</x:v>
      </x:c>
    </x:row>
    <x:row r="87">
      <x:c r="A87" s="17" t="str">
        <x:v>wsp</x:v>
      </x:c>
      <x:c r="B87" s="17" t="str">
        <x:v>水溶性果胶</x:v>
      </x:c>
      <x:c r="C87" s="17" t="str">
        <x:v>mg/g</x:v>
      </x:c>
      <x:c r="D87" s="17" t="str">
        <x:v>lower_better</x:v>
      </x:c>
      <x:c r="E87" s="17" t="n">
        <x:v>3</x:v>
      </x:c>
      <x:c r="F87" s="17" t="str">
        <x:v>MF</x:v>
      </x:c>
      <x:c r="G87" s="17" t="n">
        <x:v>2</x:v>
      </x:c>
      <x:c r="H87" s="18" t="n">
        <x:v>3.3</x:v>
      </x:c>
      <x:c r="I87" s="17" t="str">
        <x:v>水溶性果胶 (WSP, mg-g).xlsx | 水溶性果胶 (WSP, mg-g)!F4</x:v>
      </x:c>
    </x:row>
    <x:row r="88">
      <x:c r="A88" s="17" t="str">
        <x:v>wsp</x:v>
      </x:c>
      <x:c r="B88" s="17" t="str">
        <x:v>水溶性果胶</x:v>
      </x:c>
      <x:c r="C88" s="17" t="str">
        <x:v>mg/g</x:v>
      </x:c>
      <x:c r="D88" s="17" t="str">
        <x:v>lower_better</x:v>
      </x:c>
      <x:c r="E88" s="17" t="n">
        <x:v>3</x:v>
      </x:c>
      <x:c r="F88" s="17" t="str">
        <x:v>MF</x:v>
      </x:c>
      <x:c r="G88" s="17" t="n">
        <x:v>3</x:v>
      </x:c>
      <x:c r="H88" s="18" t="n">
        <x:v>3.1</x:v>
      </x:c>
      <x:c r="I88" s="17" t="str">
        <x:v>水溶性果胶 (WSP, mg-g).xlsx | 水溶性果胶 (WSP, mg-g)!G4</x:v>
      </x:c>
    </x:row>
    <x:row r="89">
      <x:c r="A89" s="17" t="str">
        <x:v>wsp</x:v>
      </x:c>
      <x:c r="B89" s="17" t="str">
        <x:v>水溶性果胶</x:v>
      </x:c>
      <x:c r="C89" s="17" t="str">
        <x:v>mg/g</x:v>
      </x:c>
      <x:c r="D89" s="17" t="str">
        <x:v>lower_better</x:v>
      </x:c>
      <x:c r="E89" s="17" t="n">
        <x:v>6</x:v>
      </x:c>
      <x:c r="F89" s="17" t="str">
        <x:v>CR</x:v>
      </x:c>
      <x:c r="G89" s="17" t="n">
        <x:v>1</x:v>
      </x:c>
      <x:c r="H89" s="18" t="n">
        <x:v>5.5</x:v>
      </x:c>
      <x:c r="I89" s="17" t="str">
        <x:v>水溶性果胶 (WSP, mg-g).xlsx | 水溶性果胶 (WSP, mg-g)!B5</x:v>
      </x:c>
    </x:row>
    <x:row r="90">
      <x:c r="A90" s="17" t="str">
        <x:v>wsp</x:v>
      </x:c>
      <x:c r="B90" s="17" t="str">
        <x:v>水溶性果胶</x:v>
      </x:c>
      <x:c r="C90" s="17" t="str">
        <x:v>mg/g</x:v>
      </x:c>
      <x:c r="D90" s="17" t="str">
        <x:v>lower_better</x:v>
      </x:c>
      <x:c r="E90" s="17" t="n">
        <x:v>6</x:v>
      </x:c>
      <x:c r="F90" s="17" t="str">
        <x:v>CR</x:v>
      </x:c>
      <x:c r="G90" s="17" t="n">
        <x:v>2</x:v>
      </x:c>
      <x:c r="H90" s="18" t="n">
        <x:v>5.6</x:v>
      </x:c>
      <x:c r="I90" s="17" t="str">
        <x:v>水溶性果胶 (WSP, mg-g).xlsx | 水溶性果胶 (WSP, mg-g)!C5</x:v>
      </x:c>
    </x:row>
    <x:row r="91">
      <x:c r="A91" s="17" t="str">
        <x:v>wsp</x:v>
      </x:c>
      <x:c r="B91" s="17" t="str">
        <x:v>水溶性果胶</x:v>
      </x:c>
      <x:c r="C91" s="17" t="str">
        <x:v>mg/g</x:v>
      </x:c>
      <x:c r="D91" s="17" t="str">
        <x:v>lower_better</x:v>
      </x:c>
      <x:c r="E91" s="17" t="n">
        <x:v>6</x:v>
      </x:c>
      <x:c r="F91" s="17" t="str">
        <x:v>CR</x:v>
      </x:c>
      <x:c r="G91" s="17" t="n">
        <x:v>3</x:v>
      </x:c>
      <x:c r="H91" s="18" t="n">
        <x:v>5.4</x:v>
      </x:c>
      <x:c r="I91" s="17" t="str">
        <x:v>水溶性果胶 (WSP, mg-g).xlsx | 水溶性果胶 (WSP, mg-g)!D5</x:v>
      </x:c>
    </x:row>
    <x:row r="92">
      <x:c r="A92" s="17" t="str">
        <x:v>wsp</x:v>
      </x:c>
      <x:c r="B92" s="17" t="str">
        <x:v>水溶性果胶</x:v>
      </x:c>
      <x:c r="C92" s="17" t="str">
        <x:v>mg/g</x:v>
      </x:c>
      <x:c r="D92" s="17" t="str">
        <x:v>lower_better</x:v>
      </x:c>
      <x:c r="E92" s="17" t="n">
        <x:v>6</x:v>
      </x:c>
      <x:c r="F92" s="17" t="str">
        <x:v>MF</x:v>
      </x:c>
      <x:c r="G92" s="17" t="n">
        <x:v>1</x:v>
      </x:c>
      <x:c r="H92" s="18" t="n">
        <x:v>4.3</x:v>
      </x:c>
      <x:c r="I92" s="17" t="str">
        <x:v>水溶性果胶 (WSP, mg-g).xlsx | 水溶性果胶 (WSP, mg-g)!E5</x:v>
      </x:c>
    </x:row>
    <x:row r="93">
      <x:c r="A93" s="17" t="str">
        <x:v>wsp</x:v>
      </x:c>
      <x:c r="B93" s="17" t="str">
        <x:v>水溶性果胶</x:v>
      </x:c>
      <x:c r="C93" s="17" t="str">
        <x:v>mg/g</x:v>
      </x:c>
      <x:c r="D93" s="17" t="str">
        <x:v>lower_better</x:v>
      </x:c>
      <x:c r="E93" s="17" t="n">
        <x:v>6</x:v>
      </x:c>
      <x:c r="F93" s="17" t="str">
        <x:v>MF</x:v>
      </x:c>
      <x:c r="G93" s="17" t="n">
        <x:v>2</x:v>
      </x:c>
      <x:c r="H93" s="18" t="n">
        <x:v>4.4</x:v>
      </x:c>
      <x:c r="I93" s="17" t="str">
        <x:v>水溶性果胶 (WSP, mg-g).xlsx | 水溶性果胶 (WSP, mg-g)!F5</x:v>
      </x:c>
    </x:row>
    <x:row r="94">
      <x:c r="A94" s="17" t="str">
        <x:v>wsp</x:v>
      </x:c>
      <x:c r="B94" s="17" t="str">
        <x:v>水溶性果胶</x:v>
      </x:c>
      <x:c r="C94" s="17" t="str">
        <x:v>mg/g</x:v>
      </x:c>
      <x:c r="D94" s="17" t="str">
        <x:v>lower_better</x:v>
      </x:c>
      <x:c r="E94" s="17" t="n">
        <x:v>6</x:v>
      </x:c>
      <x:c r="F94" s="17" t="str">
        <x:v>MF</x:v>
      </x:c>
      <x:c r="G94" s="17" t="n">
        <x:v>3</x:v>
      </x:c>
      <x:c r="H94" s="18" t="n">
        <x:v>4.2</x:v>
      </x:c>
      <x:c r="I94" s="17" t="str">
        <x:v>水溶性果胶 (WSP, mg-g).xlsx | 水溶性果胶 (WSP, mg-g)!G5</x:v>
      </x:c>
    </x:row>
    <x:row r="95">
      <x:c r="A95" s="17" t="str">
        <x:v>wsp</x:v>
      </x:c>
      <x:c r="B95" s="17" t="str">
        <x:v>水溶性果胶</x:v>
      </x:c>
      <x:c r="C95" s="17" t="str">
        <x:v>mg/g</x:v>
      </x:c>
      <x:c r="D95" s="17" t="str">
        <x:v>lower_better</x:v>
      </x:c>
      <x:c r="E95" s="17" t="n">
        <x:v>9</x:v>
      </x:c>
      <x:c r="F95" s="17" t="str">
        <x:v>CR</x:v>
      </x:c>
      <x:c r="G95" s="17" t="n">
        <x:v>1</x:v>
      </x:c>
      <x:c r="H95" s="18" t="n">
        <x:v>7.2</x:v>
      </x:c>
      <x:c r="I95" s="17" t="str">
        <x:v>水溶性果胶 (WSP, mg-g).xlsx | 水溶性果胶 (WSP, mg-g)!B6</x:v>
      </x:c>
    </x:row>
    <x:row r="96">
      <x:c r="A96" s="17" t="str">
        <x:v>wsp</x:v>
      </x:c>
      <x:c r="B96" s="17" t="str">
        <x:v>水溶性果胶</x:v>
      </x:c>
      <x:c r="C96" s="17" t="str">
        <x:v>mg/g</x:v>
      </x:c>
      <x:c r="D96" s="17" t="str">
        <x:v>lower_better</x:v>
      </x:c>
      <x:c r="E96" s="17" t="n">
        <x:v>9</x:v>
      </x:c>
      <x:c r="F96" s="17" t="str">
        <x:v>CR</x:v>
      </x:c>
      <x:c r="G96" s="17" t="n">
        <x:v>2</x:v>
      </x:c>
      <x:c r="H96" s="18" t="n">
        <x:v>7.3</x:v>
      </x:c>
      <x:c r="I96" s="17" t="str">
        <x:v>水溶性果胶 (WSP, mg-g).xlsx | 水溶性果胶 (WSP, mg-g)!C6</x:v>
      </x:c>
    </x:row>
    <x:row r="97">
      <x:c r="A97" s="17" t="str">
        <x:v>wsp</x:v>
      </x:c>
      <x:c r="B97" s="17" t="str">
        <x:v>水溶性果胶</x:v>
      </x:c>
      <x:c r="C97" s="17" t="str">
        <x:v>mg/g</x:v>
      </x:c>
      <x:c r="D97" s="17" t="str">
        <x:v>lower_better</x:v>
      </x:c>
      <x:c r="E97" s="17" t="n">
        <x:v>9</x:v>
      </x:c>
      <x:c r="F97" s="17" t="str">
        <x:v>CR</x:v>
      </x:c>
      <x:c r="G97" s="17" t="n">
        <x:v>3</x:v>
      </x:c>
      <x:c r="H97" s="18" t="n">
        <x:v>7.1</x:v>
      </x:c>
      <x:c r="I97" s="17" t="str">
        <x:v>水溶性果胶 (WSP, mg-g).xlsx | 水溶性果胶 (WSP, mg-g)!D6</x:v>
      </x:c>
    </x:row>
    <x:row r="98">
      <x:c r="A98" s="17" t="str">
        <x:v>wsp</x:v>
      </x:c>
      <x:c r="B98" s="17" t="str">
        <x:v>水溶性果胶</x:v>
      </x:c>
      <x:c r="C98" s="17" t="str">
        <x:v>mg/g</x:v>
      </x:c>
      <x:c r="D98" s="17" t="str">
        <x:v>lower_better</x:v>
      </x:c>
      <x:c r="E98" s="17" t="n">
        <x:v>9</x:v>
      </x:c>
      <x:c r="F98" s="17" t="str">
        <x:v>MF</x:v>
      </x:c>
      <x:c r="G98" s="17" t="n">
        <x:v>1</x:v>
      </x:c>
      <x:c r="H98" s="18" t="n">
        <x:v>5.5</x:v>
      </x:c>
      <x:c r="I98" s="17" t="str">
        <x:v>水溶性果胶 (WSP, mg-g).xlsx | 水溶性果胶 (WSP, mg-g)!E6</x:v>
      </x:c>
    </x:row>
    <x:row r="99">
      <x:c r="A99" s="17" t="str">
        <x:v>wsp</x:v>
      </x:c>
      <x:c r="B99" s="17" t="str">
        <x:v>水溶性果胶</x:v>
      </x:c>
      <x:c r="C99" s="17" t="str">
        <x:v>mg/g</x:v>
      </x:c>
      <x:c r="D99" s="17" t="str">
        <x:v>lower_better</x:v>
      </x:c>
      <x:c r="E99" s="17" t="n">
        <x:v>9</x:v>
      </x:c>
      <x:c r="F99" s="17" t="str">
        <x:v>MF</x:v>
      </x:c>
      <x:c r="G99" s="17" t="n">
        <x:v>2</x:v>
      </x:c>
      <x:c r="H99" s="18" t="n">
        <x:v>5.6</x:v>
      </x:c>
      <x:c r="I99" s="17" t="str">
        <x:v>水溶性果胶 (WSP, mg-g).xlsx | 水溶性果胶 (WSP, mg-g)!F6</x:v>
      </x:c>
    </x:row>
    <x:row r="100">
      <x:c r="A100" s="17" t="str">
        <x:v>wsp</x:v>
      </x:c>
      <x:c r="B100" s="17" t="str">
        <x:v>水溶性果胶</x:v>
      </x:c>
      <x:c r="C100" s="17" t="str">
        <x:v>mg/g</x:v>
      </x:c>
      <x:c r="D100" s="17" t="str">
        <x:v>lower_better</x:v>
      </x:c>
      <x:c r="E100" s="17" t="n">
        <x:v>9</x:v>
      </x:c>
      <x:c r="F100" s="17" t="str">
        <x:v>MF</x:v>
      </x:c>
      <x:c r="G100" s="17" t="n">
        <x:v>3</x:v>
      </x:c>
      <x:c r="H100" s="18" t="n">
        <x:v>5.4</x:v>
      </x:c>
      <x:c r="I100" s="17" t="str">
        <x:v>水溶性果胶 (WSP, mg-g).xlsx | 水溶性果胶 (WSP, mg-g)!G6</x:v>
      </x:c>
    </x:row>
    <x:row r="101">
      <x:c r="A101" s="17" t="str">
        <x:v>wsp</x:v>
      </x:c>
      <x:c r="B101" s="17" t="str">
        <x:v>水溶性果胶</x:v>
      </x:c>
      <x:c r="C101" s="17" t="str">
        <x:v>mg/g</x:v>
      </x:c>
      <x:c r="D101" s="17" t="str">
        <x:v>lower_better</x:v>
      </x:c>
      <x:c r="E101" s="17" t="n">
        <x:v>12</x:v>
      </x:c>
      <x:c r="F101" s="17" t="str">
        <x:v>CR</x:v>
      </x:c>
      <x:c r="G101" s="17" t="n">
        <x:v>1</x:v>
      </x:c>
      <x:c r="H101" s="18" t="n">
        <x:v>9</x:v>
      </x:c>
      <x:c r="I101" s="17" t="str">
        <x:v>水溶性果胶 (WSP, mg-g).xlsx | 水溶性果胶 (WSP, mg-g)!B7</x:v>
      </x:c>
    </x:row>
    <x:row r="102">
      <x:c r="A102" s="17" t="str">
        <x:v>wsp</x:v>
      </x:c>
      <x:c r="B102" s="17" t="str">
        <x:v>水溶性果胶</x:v>
      </x:c>
      <x:c r="C102" s="17" t="str">
        <x:v>mg/g</x:v>
      </x:c>
      <x:c r="D102" s="17" t="str">
        <x:v>lower_better</x:v>
      </x:c>
      <x:c r="E102" s="17" t="n">
        <x:v>12</x:v>
      </x:c>
      <x:c r="F102" s="17" t="str">
        <x:v>CR</x:v>
      </x:c>
      <x:c r="G102" s="17" t="n">
        <x:v>2</x:v>
      </x:c>
      <x:c r="H102" s="18" t="n">
        <x:v>9.1</x:v>
      </x:c>
      <x:c r="I102" s="17" t="str">
        <x:v>水溶性果胶 (WSP, mg-g).xlsx | 水溶性果胶 (WSP, mg-g)!C7</x:v>
      </x:c>
    </x:row>
    <x:row r="103">
      <x:c r="A103" s="17" t="str">
        <x:v>wsp</x:v>
      </x:c>
      <x:c r="B103" s="17" t="str">
        <x:v>水溶性果胶</x:v>
      </x:c>
      <x:c r="C103" s="17" t="str">
        <x:v>mg/g</x:v>
      </x:c>
      <x:c r="D103" s="17" t="str">
        <x:v>lower_better</x:v>
      </x:c>
      <x:c r="E103" s="17" t="n">
        <x:v>12</x:v>
      </x:c>
      <x:c r="F103" s="17" t="str">
        <x:v>CR</x:v>
      </x:c>
      <x:c r="G103" s="17" t="n">
        <x:v>3</x:v>
      </x:c>
      <x:c r="H103" s="18" t="n">
        <x:v>8.9</x:v>
      </x:c>
      <x:c r="I103" s="17" t="str">
        <x:v>水溶性果胶 (WSP, mg-g).xlsx | 水溶性果胶 (WSP, mg-g)!D7</x:v>
      </x:c>
    </x:row>
    <x:row r="104">
      <x:c r="A104" s="17" t="str">
        <x:v>wsp</x:v>
      </x:c>
      <x:c r="B104" s="17" t="str">
        <x:v>水溶性果胶</x:v>
      </x:c>
      <x:c r="C104" s="17" t="str">
        <x:v>mg/g</x:v>
      </x:c>
      <x:c r="D104" s="17" t="str">
        <x:v>lower_better</x:v>
      </x:c>
      <x:c r="E104" s="17" t="n">
        <x:v>12</x:v>
      </x:c>
      <x:c r="F104" s="17" t="str">
        <x:v>MF</x:v>
      </x:c>
      <x:c r="G104" s="17" t="n">
        <x:v>1</x:v>
      </x:c>
      <x:c r="H104" s="18" t="n">
        <x:v>6.8</x:v>
      </x:c>
      <x:c r="I104" s="17" t="str">
        <x:v>水溶性果胶 (WSP, mg-g).xlsx | 水溶性果胶 (WSP, mg-g)!E7</x:v>
      </x:c>
    </x:row>
    <x:row r="105">
      <x:c r="A105" s="17" t="str">
        <x:v>wsp</x:v>
      </x:c>
      <x:c r="B105" s="17" t="str">
        <x:v>水溶性果胶</x:v>
      </x:c>
      <x:c r="C105" s="17" t="str">
        <x:v>mg/g</x:v>
      </x:c>
      <x:c r="D105" s="17" t="str">
        <x:v>lower_better</x:v>
      </x:c>
      <x:c r="E105" s="17" t="n">
        <x:v>12</x:v>
      </x:c>
      <x:c r="F105" s="17" t="str">
        <x:v>MF</x:v>
      </x:c>
      <x:c r="G105" s="17" t="n">
        <x:v>2</x:v>
      </x:c>
      <x:c r="H105" s="18" t="n">
        <x:v>6.9</x:v>
      </x:c>
      <x:c r="I105" s="17" t="str">
        <x:v>水溶性果胶 (WSP, mg-g).xlsx | 水溶性果胶 (WSP, mg-g)!F7</x:v>
      </x:c>
    </x:row>
    <x:row r="106">
      <x:c r="A106" s="17" t="str">
        <x:v>wsp</x:v>
      </x:c>
      <x:c r="B106" s="17" t="str">
        <x:v>水溶性果胶</x:v>
      </x:c>
      <x:c r="C106" s="17" t="str">
        <x:v>mg/g</x:v>
      </x:c>
      <x:c r="D106" s="17" t="str">
        <x:v>lower_better</x:v>
      </x:c>
      <x:c r="E106" s="17" t="n">
        <x:v>12</x:v>
      </x:c>
      <x:c r="F106" s="17" t="str">
        <x:v>MF</x:v>
      </x:c>
      <x:c r="G106" s="17" t="n">
        <x:v>3</x:v>
      </x:c>
      <x:c r="H106" s="18" t="n">
        <x:v>6.7</x:v>
      </x:c>
      <x:c r="I106" s="17" t="str">
        <x:v>水溶性果胶 (WSP, mg-g).xlsx | 水溶性果胶 (WSP, mg-g)!G7</x:v>
      </x:c>
    </x:row>
    <x:row r="107">
      <x:c r="A107" s="17" t="str">
        <x:v>wsp</x:v>
      </x:c>
      <x:c r="B107" s="17" t="str">
        <x:v>水溶性果胶</x:v>
      </x:c>
      <x:c r="C107" s="17" t="str">
        <x:v>mg/g</x:v>
      </x:c>
      <x:c r="D107" s="17" t="str">
        <x:v>lower_better</x:v>
      </x:c>
      <x:c r="E107" s="17" t="n">
        <x:v>15</x:v>
      </x:c>
      <x:c r="F107" s="17" t="str">
        <x:v>CR</x:v>
      </x:c>
      <x:c r="G107" s="17" t="n">
        <x:v>1</x:v>
      </x:c>
      <x:c r="H107" s="18" t="n">
        <x:v>10.5</x:v>
      </x:c>
      <x:c r="I107" s="17" t="str">
        <x:v>水溶性果胶 (WSP, mg-g).xlsx | 水溶性果胶 (WSP, mg-g)!B8</x:v>
      </x:c>
    </x:row>
    <x:row r="108">
      <x:c r="A108" s="17" t="str">
        <x:v>wsp</x:v>
      </x:c>
      <x:c r="B108" s="17" t="str">
        <x:v>水溶性果胶</x:v>
      </x:c>
      <x:c r="C108" s="17" t="str">
        <x:v>mg/g</x:v>
      </x:c>
      <x:c r="D108" s="17" t="str">
        <x:v>lower_better</x:v>
      </x:c>
      <x:c r="E108" s="17" t="n">
        <x:v>15</x:v>
      </x:c>
      <x:c r="F108" s="17" t="str">
        <x:v>CR</x:v>
      </x:c>
      <x:c r="G108" s="17" t="n">
        <x:v>2</x:v>
      </x:c>
      <x:c r="H108" s="18" t="n">
        <x:v>10.6</x:v>
      </x:c>
      <x:c r="I108" s="17" t="str">
        <x:v>水溶性果胶 (WSP, mg-g).xlsx | 水溶性果胶 (WSP, mg-g)!C8</x:v>
      </x:c>
    </x:row>
    <x:row r="109">
      <x:c r="A109" s="17" t="str">
        <x:v>wsp</x:v>
      </x:c>
      <x:c r="B109" s="17" t="str">
        <x:v>水溶性果胶</x:v>
      </x:c>
      <x:c r="C109" s="17" t="str">
        <x:v>mg/g</x:v>
      </x:c>
      <x:c r="D109" s="17" t="str">
        <x:v>lower_better</x:v>
      </x:c>
      <x:c r="E109" s="17" t="n">
        <x:v>15</x:v>
      </x:c>
      <x:c r="F109" s="17" t="str">
        <x:v>CR</x:v>
      </x:c>
      <x:c r="G109" s="17" t="n">
        <x:v>3</x:v>
      </x:c>
      <x:c r="H109" s="18" t="n">
        <x:v>10.4</x:v>
      </x:c>
      <x:c r="I109" s="17" t="str">
        <x:v>水溶性果胶 (WSP, mg-g).xlsx | 水溶性果胶 (WSP, mg-g)!D8</x:v>
      </x:c>
    </x:row>
    <x:row r="110">
      <x:c r="A110" s="17" t="str">
        <x:v>wsp</x:v>
      </x:c>
      <x:c r="B110" s="17" t="str">
        <x:v>水溶性果胶</x:v>
      </x:c>
      <x:c r="C110" s="17" t="str">
        <x:v>mg/g</x:v>
      </x:c>
      <x:c r="D110" s="17" t="str">
        <x:v>lower_better</x:v>
      </x:c>
      <x:c r="E110" s="17" t="n">
        <x:v>15</x:v>
      </x:c>
      <x:c r="F110" s="17" t="str">
        <x:v>MF</x:v>
      </x:c>
      <x:c r="G110" s="17" t="n">
        <x:v>1</x:v>
      </x:c>
      <x:c r="H110" s="18" t="n">
        <x:v>8</x:v>
      </x:c>
      <x:c r="I110" s="17" t="str">
        <x:v>水溶性果胶 (WSP, mg-g).xlsx | 水溶性果胶 (WSP, mg-g)!E8</x:v>
      </x:c>
    </x:row>
    <x:row r="111">
      <x:c r="A111" s="17" t="str">
        <x:v>wsp</x:v>
      </x:c>
      <x:c r="B111" s="17" t="str">
        <x:v>水溶性果胶</x:v>
      </x:c>
      <x:c r="C111" s="17" t="str">
        <x:v>mg/g</x:v>
      </x:c>
      <x:c r="D111" s="17" t="str">
        <x:v>lower_better</x:v>
      </x:c>
      <x:c r="E111" s="17" t="n">
        <x:v>15</x:v>
      </x:c>
      <x:c r="F111" s="17" t="str">
        <x:v>MF</x:v>
      </x:c>
      <x:c r="G111" s="17" t="n">
        <x:v>2</x:v>
      </x:c>
      <x:c r="H111" s="18" t="n">
        <x:v>8.1</x:v>
      </x:c>
      <x:c r="I111" s="17" t="str">
        <x:v>水溶性果胶 (WSP, mg-g).xlsx | 水溶性果胶 (WSP, mg-g)!F8</x:v>
      </x:c>
    </x:row>
    <x:row r="112">
      <x:c r="A112" s="17" t="str">
        <x:v>wsp</x:v>
      </x:c>
      <x:c r="B112" s="17" t="str">
        <x:v>水溶性果胶</x:v>
      </x:c>
      <x:c r="C112" s="17" t="str">
        <x:v>mg/g</x:v>
      </x:c>
      <x:c r="D112" s="17" t="str">
        <x:v>lower_better</x:v>
      </x:c>
      <x:c r="E112" s="17" t="n">
        <x:v>15</x:v>
      </x:c>
      <x:c r="F112" s="17" t="str">
        <x:v>MF</x:v>
      </x:c>
      <x:c r="G112" s="17" t="n">
        <x:v>3</x:v>
      </x:c>
      <x:c r="H112" s="18" t="n">
        <x:v>7.9</x:v>
      </x:c>
      <x:c r="I112" s="17" t="str">
        <x:v>水溶性果胶 (WSP, mg-g).xlsx | 水溶性果胶 (WSP, mg-g)!G8</x:v>
      </x:c>
    </x:row>
    <x:row r="113">
      <x:c r="A113" s="17" t="str">
        <x:v>pg</x:v>
      </x:c>
      <x:c r="B113" s="17" t="str">
        <x:v>多聚半乳糖醛酸酶活性</x:v>
      </x:c>
      <x:c r="C113" s="17" t="str">
        <x:v>U/kg</x:v>
      </x:c>
      <x:c r="D113" s="17" t="str">
        <x:v>lower_better</x:v>
      </x:c>
      <x:c r="E113" s="17" t="n">
        <x:v>0</x:v>
      </x:c>
      <x:c r="F113" s="17" t="str">
        <x:v>CR</x:v>
      </x:c>
      <x:c r="G113" s="17" t="n">
        <x:v>1</x:v>
      </x:c>
      <x:c r="H113" s="18" t="n">
        <x:v>5</x:v>
      </x:c>
      <x:c r="I113" s="17" t="str">
        <x:v>多聚半乳糖醛酸酶活性 (PG activity, U-kg).xlsx | 多聚半乳糖醛酸酶活性 (PG activity, U-kg)!B3</x:v>
      </x:c>
    </x:row>
    <x:row r="114">
      <x:c r="A114" s="17" t="str">
        <x:v>pg</x:v>
      </x:c>
      <x:c r="B114" s="17" t="str">
        <x:v>多聚半乳糖醛酸酶活性</x:v>
      </x:c>
      <x:c r="C114" s="17" t="str">
        <x:v>U/kg</x:v>
      </x:c>
      <x:c r="D114" s="17" t="str">
        <x:v>lower_better</x:v>
      </x:c>
      <x:c r="E114" s="17" t="n">
        <x:v>0</x:v>
      </x:c>
      <x:c r="F114" s="17" t="str">
        <x:v>CR</x:v>
      </x:c>
      <x:c r="G114" s="17" t="n">
        <x:v>2</x:v>
      </x:c>
      <x:c r="H114" s="18" t="n">
        <x:v>5.1</x:v>
      </x:c>
      <x:c r="I114" s="17" t="str">
        <x:v>多聚半乳糖醛酸酶活性 (PG activity, U-kg).xlsx | 多聚半乳糖醛酸酶活性 (PG activity, U-kg)!C3</x:v>
      </x:c>
    </x:row>
    <x:row r="115">
      <x:c r="A115" s="17" t="str">
        <x:v>pg</x:v>
      </x:c>
      <x:c r="B115" s="17" t="str">
        <x:v>多聚半乳糖醛酸酶活性</x:v>
      </x:c>
      <x:c r="C115" s="17" t="str">
        <x:v>U/kg</x:v>
      </x:c>
      <x:c r="D115" s="17" t="str">
        <x:v>lower_better</x:v>
      </x:c>
      <x:c r="E115" s="17" t="n">
        <x:v>0</x:v>
      </x:c>
      <x:c r="F115" s="17" t="str">
        <x:v>CR</x:v>
      </x:c>
      <x:c r="G115" s="17" t="n">
        <x:v>3</x:v>
      </x:c>
      <x:c r="H115" s="18" t="n">
        <x:v>4.9</x:v>
      </x:c>
      <x:c r="I115" s="17" t="str">
        <x:v>多聚半乳糖醛酸酶活性 (PG activity, U-kg).xlsx | 多聚半乳糖醛酸酶活性 (PG activity, U-kg)!D3</x:v>
      </x:c>
    </x:row>
    <x:row r="116">
      <x:c r="A116" s="17" t="str">
        <x:v>pg</x:v>
      </x:c>
      <x:c r="B116" s="17" t="str">
        <x:v>多聚半乳糖醛酸酶活性</x:v>
      </x:c>
      <x:c r="C116" s="17" t="str">
        <x:v>U/kg</x:v>
      </x:c>
      <x:c r="D116" s="17" t="str">
        <x:v>lower_better</x:v>
      </x:c>
      <x:c r="E116" s="17" t="n">
        <x:v>0</x:v>
      </x:c>
      <x:c r="F116" s="17" t="str">
        <x:v>MF</x:v>
      </x:c>
      <x:c r="G116" s="17" t="n">
        <x:v>1</x:v>
      </x:c>
      <x:c r="H116" s="18" t="n">
        <x:v>5</x:v>
      </x:c>
      <x:c r="I116" s="17" t="str">
        <x:v>多聚半乳糖醛酸酶活性 (PG activity, U-kg).xlsx | 多聚半乳糖醛酸酶活性 (PG activity, U-kg)!E3</x:v>
      </x:c>
    </x:row>
    <x:row r="117">
      <x:c r="A117" s="17" t="str">
        <x:v>pg</x:v>
      </x:c>
      <x:c r="B117" s="17" t="str">
        <x:v>多聚半乳糖醛酸酶活性</x:v>
      </x:c>
      <x:c r="C117" s="17" t="str">
        <x:v>U/kg</x:v>
      </x:c>
      <x:c r="D117" s="17" t="str">
        <x:v>lower_better</x:v>
      </x:c>
      <x:c r="E117" s="17" t="n">
        <x:v>0</x:v>
      </x:c>
      <x:c r="F117" s="17" t="str">
        <x:v>MF</x:v>
      </x:c>
      <x:c r="G117" s="17" t="n">
        <x:v>2</x:v>
      </x:c>
      <x:c r="H117" s="18" t="n">
        <x:v>5.1</x:v>
      </x:c>
      <x:c r="I117" s="17" t="str">
        <x:v>多聚半乳糖醛酸酶活性 (PG activity, U-kg).xlsx | 多聚半乳糖醛酸酶活性 (PG activity, U-kg)!F3</x:v>
      </x:c>
    </x:row>
    <x:row r="118">
      <x:c r="A118" s="17" t="str">
        <x:v>pg</x:v>
      </x:c>
      <x:c r="B118" s="17" t="str">
        <x:v>多聚半乳糖醛酸酶活性</x:v>
      </x:c>
      <x:c r="C118" s="17" t="str">
        <x:v>U/kg</x:v>
      </x:c>
      <x:c r="D118" s="17" t="str">
        <x:v>lower_better</x:v>
      </x:c>
      <x:c r="E118" s="17" t="n">
        <x:v>0</x:v>
      </x:c>
      <x:c r="F118" s="17" t="str">
        <x:v>MF</x:v>
      </x:c>
      <x:c r="G118" s="17" t="n">
        <x:v>3</x:v>
      </x:c>
      <x:c r="H118" s="18" t="n">
        <x:v>4.9</x:v>
      </x:c>
      <x:c r="I118" s="17" t="str">
        <x:v>多聚半乳糖醛酸酶活性 (PG activity, U-kg).xlsx | 多聚半乳糖醛酸酶活性 (PG activity, U-kg)!G3</x:v>
      </x:c>
    </x:row>
    <x:row r="119">
      <x:c r="A119" s="17" t="str">
        <x:v>pg</x:v>
      </x:c>
      <x:c r="B119" s="17" t="str">
        <x:v>多聚半乳糖醛酸酶活性</x:v>
      </x:c>
      <x:c r="C119" s="17" t="str">
        <x:v>U/kg</x:v>
      </x:c>
      <x:c r="D119" s="17" t="str">
        <x:v>lower_better</x:v>
      </x:c>
      <x:c r="E119" s="17" t="n">
        <x:v>3</x:v>
      </x:c>
      <x:c r="F119" s="17" t="str">
        <x:v>CR</x:v>
      </x:c>
      <x:c r="G119" s="17" t="n">
        <x:v>1</x:v>
      </x:c>
      <x:c r="H119" s="18" t="n">
        <x:v>8.5</x:v>
      </x:c>
      <x:c r="I119" s="17" t="str">
        <x:v>多聚半乳糖醛酸酶活性 (PG activity, U-kg).xlsx | 多聚半乳糖醛酸酶活性 (PG activity, U-kg)!B4</x:v>
      </x:c>
    </x:row>
    <x:row r="120">
      <x:c r="A120" s="17" t="str">
        <x:v>pg</x:v>
      </x:c>
      <x:c r="B120" s="17" t="str">
        <x:v>多聚半乳糖醛酸酶活性</x:v>
      </x:c>
      <x:c r="C120" s="17" t="str">
        <x:v>U/kg</x:v>
      </x:c>
      <x:c r="D120" s="17" t="str">
        <x:v>lower_better</x:v>
      </x:c>
      <x:c r="E120" s="17" t="n">
        <x:v>3</x:v>
      </x:c>
      <x:c r="F120" s="17" t="str">
        <x:v>CR</x:v>
      </x:c>
      <x:c r="G120" s="17" t="n">
        <x:v>2</x:v>
      </x:c>
      <x:c r="H120" s="18" t="n">
        <x:v>8.6</x:v>
      </x:c>
      <x:c r="I120" s="17" t="str">
        <x:v>多聚半乳糖醛酸酶活性 (PG activity, U-kg).xlsx | 多聚半乳糖醛酸酶活性 (PG activity, U-kg)!C4</x:v>
      </x:c>
    </x:row>
    <x:row r="121">
      <x:c r="A121" s="17" t="str">
        <x:v>pg</x:v>
      </x:c>
      <x:c r="B121" s="17" t="str">
        <x:v>多聚半乳糖醛酸酶活性</x:v>
      </x:c>
      <x:c r="C121" s="17" t="str">
        <x:v>U/kg</x:v>
      </x:c>
      <x:c r="D121" s="17" t="str">
        <x:v>lower_better</x:v>
      </x:c>
      <x:c r="E121" s="17" t="n">
        <x:v>3</x:v>
      </x:c>
      <x:c r="F121" s="17" t="str">
        <x:v>CR</x:v>
      </x:c>
      <x:c r="G121" s="17" t="n">
        <x:v>3</x:v>
      </x:c>
      <x:c r="H121" s="18" t="n">
        <x:v>8.4</x:v>
      </x:c>
      <x:c r="I121" s="17" t="str">
        <x:v>多聚半乳糖醛酸酶活性 (PG activity, U-kg).xlsx | 多聚半乳糖醛酸酶活性 (PG activity, U-kg)!D4</x:v>
      </x:c>
    </x:row>
    <x:row r="122">
      <x:c r="A122" s="17" t="str">
        <x:v>pg</x:v>
      </x:c>
      <x:c r="B122" s="17" t="str">
        <x:v>多聚半乳糖醛酸酶活性</x:v>
      </x:c>
      <x:c r="C122" s="17" t="str">
        <x:v>U/kg</x:v>
      </x:c>
      <x:c r="D122" s="17" t="str">
        <x:v>lower_better</x:v>
      </x:c>
      <x:c r="E122" s="17" t="n">
        <x:v>3</x:v>
      </x:c>
      <x:c r="F122" s="17" t="str">
        <x:v>MF</x:v>
      </x:c>
      <x:c r="G122" s="17" t="n">
        <x:v>1</x:v>
      </x:c>
      <x:c r="H122" s="18" t="n">
        <x:v>6.5</x:v>
      </x:c>
      <x:c r="I122" s="17" t="str">
        <x:v>多聚半乳糖醛酸酶活性 (PG activity, U-kg).xlsx | 多聚半乳糖醛酸酶活性 (PG activity, U-kg)!E4</x:v>
      </x:c>
    </x:row>
    <x:row r="123">
      <x:c r="A123" s="17" t="str">
        <x:v>pg</x:v>
      </x:c>
      <x:c r="B123" s="17" t="str">
        <x:v>多聚半乳糖醛酸酶活性</x:v>
      </x:c>
      <x:c r="C123" s="17" t="str">
        <x:v>U/kg</x:v>
      </x:c>
      <x:c r="D123" s="17" t="str">
        <x:v>lower_better</x:v>
      </x:c>
      <x:c r="E123" s="17" t="n">
        <x:v>3</x:v>
      </x:c>
      <x:c r="F123" s="17" t="str">
        <x:v>MF</x:v>
      </x:c>
      <x:c r="G123" s="17" t="n">
        <x:v>2</x:v>
      </x:c>
      <x:c r="H123" s="18" t="n">
        <x:v>6.6</x:v>
      </x:c>
      <x:c r="I123" s="17" t="str">
        <x:v>多聚半乳糖醛酸酶活性 (PG activity, U-kg).xlsx | 多聚半乳糖醛酸酶活性 (PG activity, U-kg)!F4</x:v>
      </x:c>
    </x:row>
    <x:row r="124">
      <x:c r="A124" s="17" t="str">
        <x:v>pg</x:v>
      </x:c>
      <x:c r="B124" s="17" t="str">
        <x:v>多聚半乳糖醛酸酶活性</x:v>
      </x:c>
      <x:c r="C124" s="17" t="str">
        <x:v>U/kg</x:v>
      </x:c>
      <x:c r="D124" s="17" t="str">
        <x:v>lower_better</x:v>
      </x:c>
      <x:c r="E124" s="17" t="n">
        <x:v>3</x:v>
      </x:c>
      <x:c r="F124" s="17" t="str">
        <x:v>MF</x:v>
      </x:c>
      <x:c r="G124" s="17" t="n">
        <x:v>3</x:v>
      </x:c>
      <x:c r="H124" s="18" t="n">
        <x:v>6.4</x:v>
      </x:c>
      <x:c r="I124" s="17" t="str">
        <x:v>多聚半乳糖醛酸酶活性 (PG activity, U-kg).xlsx | 多聚半乳糖醛酸酶活性 (PG activity, U-kg)!G4</x:v>
      </x:c>
    </x:row>
    <x:row r="125">
      <x:c r="A125" s="17" t="str">
        <x:v>pg</x:v>
      </x:c>
      <x:c r="B125" s="17" t="str">
        <x:v>多聚半乳糖醛酸酶活性</x:v>
      </x:c>
      <x:c r="C125" s="17" t="str">
        <x:v>U/kg</x:v>
      </x:c>
      <x:c r="D125" s="17" t="str">
        <x:v>lower_better</x:v>
      </x:c>
      <x:c r="E125" s="17" t="n">
        <x:v>6</x:v>
      </x:c>
      <x:c r="F125" s="17" t="str">
        <x:v>CR</x:v>
      </x:c>
      <x:c r="G125" s="17" t="n">
        <x:v>1</x:v>
      </x:c>
      <x:c r="H125" s="18" t="n">
        <x:v>12</x:v>
      </x:c>
      <x:c r="I125" s="17" t="str">
        <x:v>多聚半乳糖醛酸酶活性 (PG activity, U-kg).xlsx | 多聚半乳糖醛酸酶活性 (PG activity, U-kg)!B5</x:v>
      </x:c>
    </x:row>
    <x:row r="126">
      <x:c r="A126" s="17" t="str">
        <x:v>pg</x:v>
      </x:c>
      <x:c r="B126" s="17" t="str">
        <x:v>多聚半乳糖醛酸酶活性</x:v>
      </x:c>
      <x:c r="C126" s="17" t="str">
        <x:v>U/kg</x:v>
      </x:c>
      <x:c r="D126" s="17" t="str">
        <x:v>lower_better</x:v>
      </x:c>
      <x:c r="E126" s="17" t="n">
        <x:v>6</x:v>
      </x:c>
      <x:c r="F126" s="17" t="str">
        <x:v>CR</x:v>
      </x:c>
      <x:c r="G126" s="17" t="n">
        <x:v>2</x:v>
      </x:c>
      <x:c r="H126" s="18" t="n">
        <x:v>12.1</x:v>
      </x:c>
      <x:c r="I126" s="17" t="str">
        <x:v>多聚半乳糖醛酸酶活性 (PG activity, U-kg).xlsx | 多聚半乳糖醛酸酶活性 (PG activity, U-kg)!C5</x:v>
      </x:c>
    </x:row>
    <x:row r="127">
      <x:c r="A127" s="17" t="str">
        <x:v>pg</x:v>
      </x:c>
      <x:c r="B127" s="17" t="str">
        <x:v>多聚半乳糖醛酸酶活性</x:v>
      </x:c>
      <x:c r="C127" s="17" t="str">
        <x:v>U/kg</x:v>
      </x:c>
      <x:c r="D127" s="17" t="str">
        <x:v>lower_better</x:v>
      </x:c>
      <x:c r="E127" s="17" t="n">
        <x:v>6</x:v>
      </x:c>
      <x:c r="F127" s="17" t="str">
        <x:v>CR</x:v>
      </x:c>
      <x:c r="G127" s="17" t="n">
        <x:v>3</x:v>
      </x:c>
      <x:c r="H127" s="18" t="n">
        <x:v>11.9</x:v>
      </x:c>
      <x:c r="I127" s="17" t="str">
        <x:v>多聚半乳糖醛酸酶活性 (PG activity, U-kg).xlsx | 多聚半乳糖醛酸酶活性 (PG activity, U-kg)!D5</x:v>
      </x:c>
    </x:row>
    <x:row r="128">
      <x:c r="A128" s="17" t="str">
        <x:v>pg</x:v>
      </x:c>
      <x:c r="B128" s="17" t="str">
        <x:v>多聚半乳糖醛酸酶活性</x:v>
      </x:c>
      <x:c r="C128" s="17" t="str">
        <x:v>U/kg</x:v>
      </x:c>
      <x:c r="D128" s="17" t="str">
        <x:v>lower_better</x:v>
      </x:c>
      <x:c r="E128" s="17" t="n">
        <x:v>6</x:v>
      </x:c>
      <x:c r="F128" s="17" t="str">
        <x:v>MF</x:v>
      </x:c>
      <x:c r="G128" s="17" t="n">
        <x:v>1</x:v>
      </x:c>
      <x:c r="H128" s="18" t="n">
        <x:v>8.8</x:v>
      </x:c>
      <x:c r="I128" s="17" t="str">
        <x:v>多聚半乳糖醛酸酶活性 (PG activity, U-kg).xlsx | 多聚半乳糖醛酸酶活性 (PG activity, U-kg)!E5</x:v>
      </x:c>
    </x:row>
    <x:row r="129">
      <x:c r="A129" s="17" t="str">
        <x:v>pg</x:v>
      </x:c>
      <x:c r="B129" s="17" t="str">
        <x:v>多聚半乳糖醛酸酶活性</x:v>
      </x:c>
      <x:c r="C129" s="17" t="str">
        <x:v>U/kg</x:v>
      </x:c>
      <x:c r="D129" s="17" t="str">
        <x:v>lower_better</x:v>
      </x:c>
      <x:c r="E129" s="17" t="n">
        <x:v>6</x:v>
      </x:c>
      <x:c r="F129" s="17" t="str">
        <x:v>MF</x:v>
      </x:c>
      <x:c r="G129" s="17" t="n">
        <x:v>2</x:v>
      </x:c>
      <x:c r="H129" s="18" t="n">
        <x:v>8.9</x:v>
      </x:c>
      <x:c r="I129" s="17" t="str">
        <x:v>多聚半乳糖醛酸酶活性 (PG activity, U-kg).xlsx | 多聚半乳糖醛酸酶活性 (PG activity, U-kg)!F5</x:v>
      </x:c>
    </x:row>
    <x:row r="130">
      <x:c r="A130" s="17" t="str">
        <x:v>pg</x:v>
      </x:c>
      <x:c r="B130" s="17" t="str">
        <x:v>多聚半乳糖醛酸酶活性</x:v>
      </x:c>
      <x:c r="C130" s="17" t="str">
        <x:v>U/kg</x:v>
      </x:c>
      <x:c r="D130" s="17" t="str">
        <x:v>lower_better</x:v>
      </x:c>
      <x:c r="E130" s="17" t="n">
        <x:v>6</x:v>
      </x:c>
      <x:c r="F130" s="17" t="str">
        <x:v>MF</x:v>
      </x:c>
      <x:c r="G130" s="17" t="n">
        <x:v>3</x:v>
      </x:c>
      <x:c r="H130" s="18" t="n">
        <x:v>8.7</x:v>
      </x:c>
      <x:c r="I130" s="17" t="str">
        <x:v>多聚半乳糖醛酸酶活性 (PG activity, U-kg).xlsx | 多聚半乳糖醛酸酶活性 (PG activity, U-kg)!G5</x:v>
      </x:c>
    </x:row>
    <x:row r="131">
      <x:c r="A131" s="17" t="str">
        <x:v>pg</x:v>
      </x:c>
      <x:c r="B131" s="17" t="str">
        <x:v>多聚半乳糖醛酸酶活性</x:v>
      </x:c>
      <x:c r="C131" s="17" t="str">
        <x:v>U/kg</x:v>
      </x:c>
      <x:c r="D131" s="17" t="str">
        <x:v>lower_better</x:v>
      </x:c>
      <x:c r="E131" s="17" t="n">
        <x:v>9</x:v>
      </x:c>
      <x:c r="F131" s="17" t="str">
        <x:v>CR</x:v>
      </x:c>
      <x:c r="G131" s="17" t="n">
        <x:v>1</x:v>
      </x:c>
      <x:c r="H131" s="18" t="n">
        <x:v>16.5</x:v>
      </x:c>
      <x:c r="I131" s="17" t="str">
        <x:v>多聚半乳糖醛酸酶活性 (PG activity, U-kg).xlsx | 多聚半乳糖醛酸酶活性 (PG activity, U-kg)!B6</x:v>
      </x:c>
    </x:row>
    <x:row r="132">
      <x:c r="A132" s="17" t="str">
        <x:v>pg</x:v>
      </x:c>
      <x:c r="B132" s="17" t="str">
        <x:v>多聚半乳糖醛酸酶活性</x:v>
      </x:c>
      <x:c r="C132" s="17" t="str">
        <x:v>U/kg</x:v>
      </x:c>
      <x:c r="D132" s="17" t="str">
        <x:v>lower_better</x:v>
      </x:c>
      <x:c r="E132" s="17" t="n">
        <x:v>9</x:v>
      </x:c>
      <x:c r="F132" s="17" t="str">
        <x:v>CR</x:v>
      </x:c>
      <x:c r="G132" s="17" t="n">
        <x:v>2</x:v>
      </x:c>
      <x:c r="H132" s="18" t="n">
        <x:v>16.6</x:v>
      </x:c>
      <x:c r="I132" s="17" t="str">
        <x:v>多聚半乳糖醛酸酶活性 (PG activity, U-kg).xlsx | 多聚半乳糖醛酸酶活性 (PG activity, U-kg)!C6</x:v>
      </x:c>
    </x:row>
    <x:row r="133">
      <x:c r="A133" s="17" t="str">
        <x:v>pg</x:v>
      </x:c>
      <x:c r="B133" s="17" t="str">
        <x:v>多聚半乳糖醛酸酶活性</x:v>
      </x:c>
      <x:c r="C133" s="17" t="str">
        <x:v>U/kg</x:v>
      </x:c>
      <x:c r="D133" s="17" t="str">
        <x:v>lower_better</x:v>
      </x:c>
      <x:c r="E133" s="17" t="n">
        <x:v>9</x:v>
      </x:c>
      <x:c r="F133" s="17" t="str">
        <x:v>CR</x:v>
      </x:c>
      <x:c r="G133" s="17" t="n">
        <x:v>3</x:v>
      </x:c>
      <x:c r="H133" s="18" t="n">
        <x:v>16.4</x:v>
      </x:c>
      <x:c r="I133" s="17" t="str">
        <x:v>多聚半乳糖醛酸酶活性 (PG activity, U-kg).xlsx | 多聚半乳糖醛酸酶活性 (PG activity, U-kg)!D6</x:v>
      </x:c>
    </x:row>
    <x:row r="134">
      <x:c r="A134" s="17" t="str">
        <x:v>pg</x:v>
      </x:c>
      <x:c r="B134" s="17" t="str">
        <x:v>多聚半乳糖醛酸酶活性</x:v>
      </x:c>
      <x:c r="C134" s="17" t="str">
        <x:v>U/kg</x:v>
      </x:c>
      <x:c r="D134" s="17" t="str">
        <x:v>lower_better</x:v>
      </x:c>
      <x:c r="E134" s="17" t="n">
        <x:v>9</x:v>
      </x:c>
      <x:c r="F134" s="17" t="str">
        <x:v>MF</x:v>
      </x:c>
      <x:c r="G134" s="17" t="n">
        <x:v>1</x:v>
      </x:c>
      <x:c r="H134" s="18" t="n">
        <x:v>11</x:v>
      </x:c>
      <x:c r="I134" s="17" t="str">
        <x:v>多聚半乳糖醛酸酶活性 (PG activity, U-kg).xlsx | 多聚半乳糖醛酸酶活性 (PG activity, U-kg)!E6</x:v>
      </x:c>
    </x:row>
    <x:row r="135">
      <x:c r="A135" s="17" t="str">
        <x:v>pg</x:v>
      </x:c>
      <x:c r="B135" s="17" t="str">
        <x:v>多聚半乳糖醛酸酶活性</x:v>
      </x:c>
      <x:c r="C135" s="17" t="str">
        <x:v>U/kg</x:v>
      </x:c>
      <x:c r="D135" s="17" t="str">
        <x:v>lower_better</x:v>
      </x:c>
      <x:c r="E135" s="17" t="n">
        <x:v>9</x:v>
      </x:c>
      <x:c r="F135" s="17" t="str">
        <x:v>MF</x:v>
      </x:c>
      <x:c r="G135" s="17" t="n">
        <x:v>2</x:v>
      </x:c>
      <x:c r="H135" s="18" t="n">
        <x:v>11.1</x:v>
      </x:c>
      <x:c r="I135" s="17" t="str">
        <x:v>多聚半乳糖醛酸酶活性 (PG activity, U-kg).xlsx | 多聚半乳糖醛酸酶活性 (PG activity, U-kg)!F6</x:v>
      </x:c>
    </x:row>
    <x:row r="136">
      <x:c r="A136" s="17" t="str">
        <x:v>pg</x:v>
      </x:c>
      <x:c r="B136" s="17" t="str">
        <x:v>多聚半乳糖醛酸酶活性</x:v>
      </x:c>
      <x:c r="C136" s="17" t="str">
        <x:v>U/kg</x:v>
      </x:c>
      <x:c r="D136" s="17" t="str">
        <x:v>lower_better</x:v>
      </x:c>
      <x:c r="E136" s="17" t="n">
        <x:v>9</x:v>
      </x:c>
      <x:c r="F136" s="17" t="str">
        <x:v>MF</x:v>
      </x:c>
      <x:c r="G136" s="17" t="n">
        <x:v>3</x:v>
      </x:c>
      <x:c r="H136" s="18" t="n">
        <x:v>10.9</x:v>
      </x:c>
      <x:c r="I136" s="17" t="str">
        <x:v>多聚半乳糖醛酸酶活性 (PG activity, U-kg).xlsx | 多聚半乳糖醛酸酶活性 (PG activity, U-kg)!G6</x:v>
      </x:c>
    </x:row>
    <x:row r="137">
      <x:c r="A137" s="17" t="str">
        <x:v>pg</x:v>
      </x:c>
      <x:c r="B137" s="17" t="str">
        <x:v>多聚半乳糖醛酸酶活性</x:v>
      </x:c>
      <x:c r="C137" s="17" t="str">
        <x:v>U/kg</x:v>
      </x:c>
      <x:c r="D137" s="17" t="str">
        <x:v>lower_better</x:v>
      </x:c>
      <x:c r="E137" s="17" t="n">
        <x:v>12</x:v>
      </x:c>
      <x:c r="F137" s="17" t="str">
        <x:v>CR</x:v>
      </x:c>
      <x:c r="G137" s="17" t="n">
        <x:v>1</x:v>
      </x:c>
      <x:c r="H137" s="18" t="n">
        <x:v>21</x:v>
      </x:c>
      <x:c r="I137" s="17" t="str">
        <x:v>多聚半乳糖醛酸酶活性 (PG activity, U-kg).xlsx | 多聚半乳糖醛酸酶活性 (PG activity, U-kg)!B7</x:v>
      </x:c>
    </x:row>
    <x:row r="138">
      <x:c r="A138" s="17" t="str">
        <x:v>pg</x:v>
      </x:c>
      <x:c r="B138" s="17" t="str">
        <x:v>多聚半乳糖醛酸酶活性</x:v>
      </x:c>
      <x:c r="C138" s="17" t="str">
        <x:v>U/kg</x:v>
      </x:c>
      <x:c r="D138" s="17" t="str">
        <x:v>lower_better</x:v>
      </x:c>
      <x:c r="E138" s="17" t="n">
        <x:v>12</x:v>
      </x:c>
      <x:c r="F138" s="17" t="str">
        <x:v>CR</x:v>
      </x:c>
      <x:c r="G138" s="17" t="n">
        <x:v>2</x:v>
      </x:c>
      <x:c r="H138" s="18" t="n">
        <x:v>21.1</x:v>
      </x:c>
      <x:c r="I138" s="17" t="str">
        <x:v>多聚半乳糖醛酸酶活性 (PG activity, U-kg).xlsx | 多聚半乳糖醛酸酶活性 (PG activity, U-kg)!C7</x:v>
      </x:c>
    </x:row>
    <x:row r="139">
      <x:c r="A139" s="17" t="str">
        <x:v>pg</x:v>
      </x:c>
      <x:c r="B139" s="17" t="str">
        <x:v>多聚半乳糖醛酸酶活性</x:v>
      </x:c>
      <x:c r="C139" s="17" t="str">
        <x:v>U/kg</x:v>
      </x:c>
      <x:c r="D139" s="17" t="str">
        <x:v>lower_better</x:v>
      </x:c>
      <x:c r="E139" s="17" t="n">
        <x:v>12</x:v>
      </x:c>
      <x:c r="F139" s="17" t="str">
        <x:v>CR</x:v>
      </x:c>
      <x:c r="G139" s="17" t="n">
        <x:v>3</x:v>
      </x:c>
      <x:c r="H139" s="18" t="n">
        <x:v>20.9</x:v>
      </x:c>
      <x:c r="I139" s="17" t="str">
        <x:v>多聚半乳糖醛酸酶活性 (PG activity, U-kg).xlsx | 多聚半乳糖醛酸酶活性 (PG activity, U-kg)!D7</x:v>
      </x:c>
    </x:row>
    <x:row r="140">
      <x:c r="A140" s="17" t="str">
        <x:v>pg</x:v>
      </x:c>
      <x:c r="B140" s="17" t="str">
        <x:v>多聚半乳糖醛酸酶活性</x:v>
      </x:c>
      <x:c r="C140" s="17" t="str">
        <x:v>U/kg</x:v>
      </x:c>
      <x:c r="D140" s="17" t="str">
        <x:v>lower_better</x:v>
      </x:c>
      <x:c r="E140" s="17" t="n">
        <x:v>12</x:v>
      </x:c>
      <x:c r="F140" s="17" t="str">
        <x:v>MF</x:v>
      </x:c>
      <x:c r="G140" s="17" t="n">
        <x:v>1</x:v>
      </x:c>
      <x:c r="H140" s="18" t="n">
        <x:v>14.5</x:v>
      </x:c>
      <x:c r="I140" s="17" t="str">
        <x:v>多聚半乳糖醛酸酶活性 (PG activity, U-kg).xlsx | 多聚半乳糖醛酸酶活性 (PG activity, U-kg)!E7</x:v>
      </x:c>
    </x:row>
    <x:row r="141">
      <x:c r="A141" s="17" t="str">
        <x:v>pg</x:v>
      </x:c>
      <x:c r="B141" s="17" t="str">
        <x:v>多聚半乳糖醛酸酶活性</x:v>
      </x:c>
      <x:c r="C141" s="17" t="str">
        <x:v>U/kg</x:v>
      </x:c>
      <x:c r="D141" s="17" t="str">
        <x:v>lower_better</x:v>
      </x:c>
      <x:c r="E141" s="17" t="n">
        <x:v>12</x:v>
      </x:c>
      <x:c r="F141" s="17" t="str">
        <x:v>MF</x:v>
      </x:c>
      <x:c r="G141" s="17" t="n">
        <x:v>2</x:v>
      </x:c>
      <x:c r="H141" s="18" t="n">
        <x:v>14.6</x:v>
      </x:c>
      <x:c r="I141" s="17" t="str">
        <x:v>多聚半乳糖醛酸酶活性 (PG activity, U-kg).xlsx | 多聚半乳糖醛酸酶活性 (PG activity, U-kg)!F7</x:v>
      </x:c>
    </x:row>
    <x:row r="142">
      <x:c r="A142" s="17" t="str">
        <x:v>pg</x:v>
      </x:c>
      <x:c r="B142" s="17" t="str">
        <x:v>多聚半乳糖醛酸酶活性</x:v>
      </x:c>
      <x:c r="C142" s="17" t="str">
        <x:v>U/kg</x:v>
      </x:c>
      <x:c r="D142" s="17" t="str">
        <x:v>lower_better</x:v>
      </x:c>
      <x:c r="E142" s="17" t="n">
        <x:v>12</x:v>
      </x:c>
      <x:c r="F142" s="17" t="str">
        <x:v>MF</x:v>
      </x:c>
      <x:c r="G142" s="17" t="n">
        <x:v>3</x:v>
      </x:c>
      <x:c r="H142" s="18" t="n">
        <x:v>14.4</x:v>
      </x:c>
      <x:c r="I142" s="17" t="str">
        <x:v>多聚半乳糖醛酸酶活性 (PG activity, U-kg).xlsx | 多聚半乳糖醛酸酶活性 (PG activity, U-kg)!G7</x:v>
      </x:c>
    </x:row>
    <x:row r="143">
      <x:c r="A143" s="17" t="str">
        <x:v>pg</x:v>
      </x:c>
      <x:c r="B143" s="17" t="str">
        <x:v>多聚半乳糖醛酸酶活性</x:v>
      </x:c>
      <x:c r="C143" s="17" t="str">
        <x:v>U/kg</x:v>
      </x:c>
      <x:c r="D143" s="17" t="str">
        <x:v>lower_better</x:v>
      </x:c>
      <x:c r="E143" s="17" t="n">
        <x:v>15</x:v>
      </x:c>
      <x:c r="F143" s="17" t="str">
        <x:v>CR</x:v>
      </x:c>
      <x:c r="G143" s="17" t="n">
        <x:v>1</x:v>
      </x:c>
      <x:c r="H143" s="18" t="n">
        <x:v>26</x:v>
      </x:c>
      <x:c r="I143" s="17" t="str">
        <x:v>多聚半乳糖醛酸酶活性 (PG activity, U-kg).xlsx | 多聚半乳糖醛酸酶活性 (PG activity, U-kg)!B8</x:v>
      </x:c>
    </x:row>
    <x:row r="144">
      <x:c r="A144" s="17" t="str">
        <x:v>pg</x:v>
      </x:c>
      <x:c r="B144" s="17" t="str">
        <x:v>多聚半乳糖醛酸酶活性</x:v>
      </x:c>
      <x:c r="C144" s="17" t="str">
        <x:v>U/kg</x:v>
      </x:c>
      <x:c r="D144" s="17" t="str">
        <x:v>lower_better</x:v>
      </x:c>
      <x:c r="E144" s="17" t="n">
        <x:v>15</x:v>
      </x:c>
      <x:c r="F144" s="17" t="str">
        <x:v>CR</x:v>
      </x:c>
      <x:c r="G144" s="17" t="n">
        <x:v>2</x:v>
      </x:c>
      <x:c r="H144" s="18" t="n">
        <x:v>26.1</x:v>
      </x:c>
      <x:c r="I144" s="17" t="str">
        <x:v>多聚半乳糖醛酸酶活性 (PG activity, U-kg).xlsx | 多聚半乳糖醛酸酶活性 (PG activity, U-kg)!C8</x:v>
      </x:c>
    </x:row>
    <x:row r="145">
      <x:c r="A145" s="17" t="str">
        <x:v>pg</x:v>
      </x:c>
      <x:c r="B145" s="17" t="str">
        <x:v>多聚半乳糖醛酸酶活性</x:v>
      </x:c>
      <x:c r="C145" s="17" t="str">
        <x:v>U/kg</x:v>
      </x:c>
      <x:c r="D145" s="17" t="str">
        <x:v>lower_better</x:v>
      </x:c>
      <x:c r="E145" s="17" t="n">
        <x:v>15</x:v>
      </x:c>
      <x:c r="F145" s="17" t="str">
        <x:v>CR</x:v>
      </x:c>
      <x:c r="G145" s="17" t="n">
        <x:v>3</x:v>
      </x:c>
      <x:c r="H145" s="18" t="n">
        <x:v>25.9</x:v>
      </x:c>
      <x:c r="I145" s="17" t="str">
        <x:v>多聚半乳糖醛酸酶活性 (PG activity, U-kg).xlsx | 多聚半乳糖醛酸酶活性 (PG activity, U-kg)!D8</x:v>
      </x:c>
    </x:row>
    <x:row r="146">
      <x:c r="A146" s="17" t="str">
        <x:v>pg</x:v>
      </x:c>
      <x:c r="B146" s="17" t="str">
        <x:v>多聚半乳糖醛酸酶活性</x:v>
      </x:c>
      <x:c r="C146" s="17" t="str">
        <x:v>U/kg</x:v>
      </x:c>
      <x:c r="D146" s="17" t="str">
        <x:v>lower_better</x:v>
      </x:c>
      <x:c r="E146" s="17" t="n">
        <x:v>15</x:v>
      </x:c>
      <x:c r="F146" s="17" t="str">
        <x:v>MF</x:v>
      </x:c>
      <x:c r="G146" s="17" t="n">
        <x:v>1</x:v>
      </x:c>
      <x:c r="H146" s="18" t="n">
        <x:v>16.8</x:v>
      </x:c>
      <x:c r="I146" s="17" t="str">
        <x:v>多聚半乳糖醛酸酶活性 (PG activity, U-kg).xlsx | 多聚半乳糖醛酸酶活性 (PG activity, U-kg)!E8</x:v>
      </x:c>
    </x:row>
    <x:row r="147">
      <x:c r="A147" s="17" t="str">
        <x:v>pg</x:v>
      </x:c>
      <x:c r="B147" s="17" t="str">
        <x:v>多聚半乳糖醛酸酶活性</x:v>
      </x:c>
      <x:c r="C147" s="17" t="str">
        <x:v>U/kg</x:v>
      </x:c>
      <x:c r="D147" s="17" t="str">
        <x:v>lower_better</x:v>
      </x:c>
      <x:c r="E147" s="17" t="n">
        <x:v>15</x:v>
      </x:c>
      <x:c r="F147" s="17" t="str">
        <x:v>MF</x:v>
      </x:c>
      <x:c r="G147" s="17" t="n">
        <x:v>2</x:v>
      </x:c>
      <x:c r="H147" s="18" t="n">
        <x:v>16.9</x:v>
      </x:c>
      <x:c r="I147" s="17" t="str">
        <x:v>多聚半乳糖醛酸酶活性 (PG activity, U-kg).xlsx | 多聚半乳糖醛酸酶活性 (PG activity, U-kg)!F8</x:v>
      </x:c>
    </x:row>
    <x:row r="148">
      <x:c r="A148" s="17" t="str">
        <x:v>pg</x:v>
      </x:c>
      <x:c r="B148" s="17" t="str">
        <x:v>多聚半乳糖醛酸酶活性</x:v>
      </x:c>
      <x:c r="C148" s="17" t="str">
        <x:v>U/kg</x:v>
      </x:c>
      <x:c r="D148" s="17" t="str">
        <x:v>lower_better</x:v>
      </x:c>
      <x:c r="E148" s="17" t="n">
        <x:v>15</x:v>
      </x:c>
      <x:c r="F148" s="17" t="str">
        <x:v>MF</x:v>
      </x:c>
      <x:c r="G148" s="17" t="n">
        <x:v>3</x:v>
      </x:c>
      <x:c r="H148" s="18" t="n">
        <x:v>16.7</x:v>
      </x:c>
      <x:c r="I148" s="17" t="str">
        <x:v>多聚半乳糖醛酸酶活性 (PG activity, U-kg).xlsx | 多聚半乳糖醛酸酶活性 (PG activity, U-kg)!G8</x:v>
      </x:c>
    </x:row>
    <x:row r="149">
      <x:c r="A149" s="17" t="str">
        <x:v>l_star</x:v>
      </x:c>
      <x:c r="B149" s="17" t="str">
        <x:v>颜色L*</x:v>
      </x:c>
      <x:c r="C149" s="17" t="str">
        <x:v>-</x:v>
      </x:c>
      <x:c r="D149" s="17" t="str">
        <x:v>higher_better</x:v>
      </x:c>
      <x:c r="E149" s="17" t="n">
        <x:v>0</x:v>
      </x:c>
      <x:c r="F149" s="17" t="str">
        <x:v>CR</x:v>
      </x:c>
      <x:c r="G149" s="17" t="n">
        <x:v>1</x:v>
      </x:c>
      <x:c r="H149" s="18" t="n">
        <x:v>40.7</x:v>
      </x:c>
      <x:c r="I149" s="17" t="str">
        <x:v>颜色 L★ (亮度).xlsx | 颜色 L★ (亮度)!B3</x:v>
      </x:c>
    </x:row>
    <x:row r="150">
      <x:c r="A150" s="17" t="str">
        <x:v>l_star</x:v>
      </x:c>
      <x:c r="B150" s="17" t="str">
        <x:v>颜色L*</x:v>
      </x:c>
      <x:c r="C150" s="17" t="str">
        <x:v>-</x:v>
      </x:c>
      <x:c r="D150" s="17" t="str">
        <x:v>higher_better</x:v>
      </x:c>
      <x:c r="E150" s="17" t="n">
        <x:v>0</x:v>
      </x:c>
      <x:c r="F150" s="17" t="str">
        <x:v>CR</x:v>
      </x:c>
      <x:c r="G150" s="17" t="n">
        <x:v>2</x:v>
      </x:c>
      <x:c r="H150" s="18" t="n">
        <x:v>40.5</x:v>
      </x:c>
      <x:c r="I150" s="17" t="str">
        <x:v>颜色 L★ (亮度).xlsx | 颜色 L★ (亮度)!C3</x:v>
      </x:c>
    </x:row>
    <x:row r="151">
      <x:c r="A151" s="17" t="str">
        <x:v>l_star</x:v>
      </x:c>
      <x:c r="B151" s="17" t="str">
        <x:v>颜色L*</x:v>
      </x:c>
      <x:c r="C151" s="17" t="str">
        <x:v>-</x:v>
      </x:c>
      <x:c r="D151" s="17" t="str">
        <x:v>higher_better</x:v>
      </x:c>
      <x:c r="E151" s="17" t="n">
        <x:v>0</x:v>
      </x:c>
      <x:c r="F151" s="17" t="str">
        <x:v>CR</x:v>
      </x:c>
      <x:c r="G151" s="17" t="n">
        <x:v>3</x:v>
      </x:c>
      <x:c r="H151" s="18" t="n">
        <x:v>40.8</x:v>
      </x:c>
      <x:c r="I151" s="17" t="str">
        <x:v>颜色 L★ (亮度).xlsx | 颜色 L★ (亮度)!D3</x:v>
      </x:c>
    </x:row>
    <x:row r="152">
      <x:c r="A152" s="17" t="str">
        <x:v>l_star</x:v>
      </x:c>
      <x:c r="B152" s="17" t="str">
        <x:v>颜色L*</x:v>
      </x:c>
      <x:c r="C152" s="17" t="str">
        <x:v>-</x:v>
      </x:c>
      <x:c r="D152" s="17" t="str">
        <x:v>higher_better</x:v>
      </x:c>
      <x:c r="E152" s="17" t="n">
        <x:v>0</x:v>
      </x:c>
      <x:c r="F152" s="17" t="str">
        <x:v>MF</x:v>
      </x:c>
      <x:c r="G152" s="17" t="n">
        <x:v>1</x:v>
      </x:c>
      <x:c r="H152" s="18" t="n">
        <x:v>40.6</x:v>
      </x:c>
      <x:c r="I152" s="17" t="str">
        <x:v>颜色 L★ (亮度).xlsx | 颜色 L★ (亮度)!E3</x:v>
      </x:c>
    </x:row>
    <x:row r="153">
      <x:c r="A153" s="17" t="str">
        <x:v>l_star</x:v>
      </x:c>
      <x:c r="B153" s="17" t="str">
        <x:v>颜色L*</x:v>
      </x:c>
      <x:c r="C153" s="17" t="str">
        <x:v>-</x:v>
      </x:c>
      <x:c r="D153" s="17" t="str">
        <x:v>higher_better</x:v>
      </x:c>
      <x:c r="E153" s="17" t="n">
        <x:v>0</x:v>
      </x:c>
      <x:c r="F153" s="17" t="str">
        <x:v>MF</x:v>
      </x:c>
      <x:c r="G153" s="17" t="n">
        <x:v>2</x:v>
      </x:c>
      <x:c r="H153" s="18" t="n">
        <x:v>40.7</x:v>
      </x:c>
      <x:c r="I153" s="17" t="str">
        <x:v>颜色 L★ (亮度).xlsx | 颜色 L★ (亮度)!F3</x:v>
      </x:c>
    </x:row>
    <x:row r="154">
      <x:c r="A154" s="17" t="str">
        <x:v>l_star</x:v>
      </x:c>
      <x:c r="B154" s="17" t="str">
        <x:v>颜色L*</x:v>
      </x:c>
      <x:c r="C154" s="17" t="str">
        <x:v>-</x:v>
      </x:c>
      <x:c r="D154" s="17" t="str">
        <x:v>higher_better</x:v>
      </x:c>
      <x:c r="E154" s="17" t="n">
        <x:v>0</x:v>
      </x:c>
      <x:c r="F154" s="17" t="str">
        <x:v>MF</x:v>
      </x:c>
      <x:c r="G154" s="17" t="n">
        <x:v>3</x:v>
      </x:c>
      <x:c r="H154" s="18" t="n">
        <x:v>40.5</x:v>
      </x:c>
      <x:c r="I154" s="17" t="str">
        <x:v>颜色 L★ (亮度).xlsx | 颜色 L★ (亮度)!G3</x:v>
      </x:c>
    </x:row>
    <x:row r="155">
      <x:c r="A155" s="17" t="str">
        <x:v>l_star</x:v>
      </x:c>
      <x:c r="B155" s="17" t="str">
        <x:v>颜色L*</x:v>
      </x:c>
      <x:c r="C155" s="17" t="str">
        <x:v>-</x:v>
      </x:c>
      <x:c r="D155" s="17" t="str">
        <x:v>higher_better</x:v>
      </x:c>
      <x:c r="E155" s="17" t="n">
        <x:v>3</x:v>
      </x:c>
      <x:c r="F155" s="17" t="str">
        <x:v>CR</x:v>
      </x:c>
      <x:c r="G155" s="17" t="n">
        <x:v>1</x:v>
      </x:c>
      <x:c r="H155" s="18" t="n">
        <x:v>36.8</x:v>
      </x:c>
      <x:c r="I155" s="17" t="str">
        <x:v>颜色 L★ (亮度).xlsx | 颜色 L★ (亮度)!B4</x:v>
      </x:c>
    </x:row>
    <x:row r="156">
      <x:c r="A156" s="17" t="str">
        <x:v>l_star</x:v>
      </x:c>
      <x:c r="B156" s="17" t="str">
        <x:v>颜色L*</x:v>
      </x:c>
      <x:c r="C156" s="17" t="str">
        <x:v>-</x:v>
      </x:c>
      <x:c r="D156" s="17" t="str">
        <x:v>higher_better</x:v>
      </x:c>
      <x:c r="E156" s="17" t="n">
        <x:v>3</x:v>
      </x:c>
      <x:c r="F156" s="17" t="str">
        <x:v>CR</x:v>
      </x:c>
      <x:c r="G156" s="17" t="n">
        <x:v>2</x:v>
      </x:c>
      <x:c r="H156" s="18" t="n">
        <x:v>36.9</x:v>
      </x:c>
      <x:c r="I156" s="17" t="str">
        <x:v>颜色 L★ (亮度).xlsx | 颜色 L★ (亮度)!C4</x:v>
      </x:c>
    </x:row>
    <x:row r="157">
      <x:c r="A157" s="17" t="str">
        <x:v>l_star</x:v>
      </x:c>
      <x:c r="B157" s="17" t="str">
        <x:v>颜色L*</x:v>
      </x:c>
      <x:c r="C157" s="17" t="str">
        <x:v>-</x:v>
      </x:c>
      <x:c r="D157" s="17" t="str">
        <x:v>higher_better</x:v>
      </x:c>
      <x:c r="E157" s="17" t="n">
        <x:v>3</x:v>
      </x:c>
      <x:c r="F157" s="17" t="str">
        <x:v>CR</x:v>
      </x:c>
      <x:c r="G157" s="17" t="n">
        <x:v>3</x:v>
      </x:c>
      <x:c r="H157" s="18" t="n">
        <x:v>36.7</x:v>
      </x:c>
      <x:c r="I157" s="17" t="str">
        <x:v>颜色 L★ (亮度).xlsx | 颜色 L★ (亮度)!D4</x:v>
      </x:c>
    </x:row>
    <x:row r="158">
      <x:c r="A158" s="17" t="str">
        <x:v>l_star</x:v>
      </x:c>
      <x:c r="B158" s="17" t="str">
        <x:v>颜色L*</x:v>
      </x:c>
      <x:c r="C158" s="17" t="str">
        <x:v>-</x:v>
      </x:c>
      <x:c r="D158" s="17" t="str">
        <x:v>higher_better</x:v>
      </x:c>
      <x:c r="E158" s="17" t="n">
        <x:v>3</x:v>
      </x:c>
      <x:c r="F158" s="17" t="str">
        <x:v>MF</x:v>
      </x:c>
      <x:c r="G158" s="17" t="n">
        <x:v>1</x:v>
      </x:c>
      <x:c r="H158" s="18" t="n">
        <x:v>40.2</x:v>
      </x:c>
      <x:c r="I158" s="17" t="str">
        <x:v>颜色 L★ (亮度).xlsx | 颜色 L★ (亮度)!E4</x:v>
      </x:c>
    </x:row>
    <x:row r="159">
      <x:c r="A159" s="17" t="str">
        <x:v>l_star</x:v>
      </x:c>
      <x:c r="B159" s="17" t="str">
        <x:v>颜色L*</x:v>
      </x:c>
      <x:c r="C159" s="17" t="str">
        <x:v>-</x:v>
      </x:c>
      <x:c r="D159" s="17" t="str">
        <x:v>higher_better</x:v>
      </x:c>
      <x:c r="E159" s="17" t="n">
        <x:v>3</x:v>
      </x:c>
      <x:c r="F159" s="17" t="str">
        <x:v>MF</x:v>
      </x:c>
      <x:c r="G159" s="17" t="n">
        <x:v>2</x:v>
      </x:c>
      <x:c r="H159" s="18" t="n">
        <x:v>40.3</x:v>
      </x:c>
      <x:c r="I159" s="17" t="str">
        <x:v>颜色 L★ (亮度).xlsx | 颜色 L★ (亮度)!F4</x:v>
      </x:c>
    </x:row>
    <x:row r="160">
      <x:c r="A160" s="17" t="str">
        <x:v>l_star</x:v>
      </x:c>
      <x:c r="B160" s="17" t="str">
        <x:v>颜色L*</x:v>
      </x:c>
      <x:c r="C160" s="17" t="str">
        <x:v>-</x:v>
      </x:c>
      <x:c r="D160" s="17" t="str">
        <x:v>higher_better</x:v>
      </x:c>
      <x:c r="E160" s="17" t="n">
        <x:v>3</x:v>
      </x:c>
      <x:c r="F160" s="17" t="str">
        <x:v>MF</x:v>
      </x:c>
      <x:c r="G160" s="17" t="n">
        <x:v>3</x:v>
      </x:c>
      <x:c r="H160" s="18" t="n">
        <x:v>40.1</x:v>
      </x:c>
      <x:c r="I160" s="17" t="str">
        <x:v>颜色 L★ (亮度).xlsx | 颜色 L★ (亮度)!G4</x:v>
      </x:c>
    </x:row>
    <x:row r="161">
      <x:c r="A161" s="17" t="str">
        <x:v>l_star</x:v>
      </x:c>
      <x:c r="B161" s="17" t="str">
        <x:v>颜色L*</x:v>
      </x:c>
      <x:c r="C161" s="17" t="str">
        <x:v>-</x:v>
      </x:c>
      <x:c r="D161" s="17" t="str">
        <x:v>higher_better</x:v>
      </x:c>
      <x:c r="E161" s="17" t="n">
        <x:v>6</x:v>
      </x:c>
      <x:c r="F161" s="17" t="str">
        <x:v>CR</x:v>
      </x:c>
      <x:c r="G161" s="17" t="n">
        <x:v>1</x:v>
      </x:c>
      <x:c r="H161" s="18" t="n">
        <x:v>35</x:v>
      </x:c>
      <x:c r="I161" s="17" t="str">
        <x:v>颜色 L★ (亮度).xlsx | 颜色 L★ (亮度)!B5</x:v>
      </x:c>
    </x:row>
    <x:row r="162">
      <x:c r="A162" s="17" t="str">
        <x:v>l_star</x:v>
      </x:c>
      <x:c r="B162" s="17" t="str">
        <x:v>颜色L*</x:v>
      </x:c>
      <x:c r="C162" s="17" t="str">
        <x:v>-</x:v>
      </x:c>
      <x:c r="D162" s="17" t="str">
        <x:v>higher_better</x:v>
      </x:c>
      <x:c r="E162" s="17" t="n">
        <x:v>6</x:v>
      </x:c>
      <x:c r="F162" s="17" t="str">
        <x:v>CR</x:v>
      </x:c>
      <x:c r="G162" s="17" t="n">
        <x:v>2</x:v>
      </x:c>
      <x:c r="H162" s="18" t="n">
        <x:v>35.1</x:v>
      </x:c>
      <x:c r="I162" s="17" t="str">
        <x:v>颜色 L★ (亮度).xlsx | 颜色 L★ (亮度)!C5</x:v>
      </x:c>
    </x:row>
    <x:row r="163">
      <x:c r="A163" s="17" t="str">
        <x:v>l_star</x:v>
      </x:c>
      <x:c r="B163" s="17" t="str">
        <x:v>颜色L*</x:v>
      </x:c>
      <x:c r="C163" s="17" t="str">
        <x:v>-</x:v>
      </x:c>
      <x:c r="D163" s="17" t="str">
        <x:v>higher_better</x:v>
      </x:c>
      <x:c r="E163" s="17" t="n">
        <x:v>6</x:v>
      </x:c>
      <x:c r="F163" s="17" t="str">
        <x:v>CR</x:v>
      </x:c>
      <x:c r="G163" s="17" t="n">
        <x:v>3</x:v>
      </x:c>
      <x:c r="H163" s="18" t="n">
        <x:v>34.9</x:v>
      </x:c>
      <x:c r="I163" s="17" t="str">
        <x:v>颜色 L★ (亮度).xlsx | 颜色 L★ (亮度)!D5</x:v>
      </x:c>
    </x:row>
    <x:row r="164">
      <x:c r="A164" s="17" t="str">
        <x:v>l_star</x:v>
      </x:c>
      <x:c r="B164" s="17" t="str">
        <x:v>颜色L*</x:v>
      </x:c>
      <x:c r="C164" s="17" t="str">
        <x:v>-</x:v>
      </x:c>
      <x:c r="D164" s="17" t="str">
        <x:v>higher_better</x:v>
      </x:c>
      <x:c r="E164" s="17" t="n">
        <x:v>6</x:v>
      </x:c>
      <x:c r="F164" s="17" t="str">
        <x:v>MF</x:v>
      </x:c>
      <x:c r="G164" s="17" t="n">
        <x:v>1</x:v>
      </x:c>
      <x:c r="H164" s="18" t="n">
        <x:v>38</x:v>
      </x:c>
      <x:c r="I164" s="17" t="str">
        <x:v>颜色 L★ (亮度).xlsx | 颜色 L★ (亮度)!E5</x:v>
      </x:c>
    </x:row>
    <x:row r="165">
      <x:c r="A165" s="17" t="str">
        <x:v>l_star</x:v>
      </x:c>
      <x:c r="B165" s="17" t="str">
        <x:v>颜色L*</x:v>
      </x:c>
      <x:c r="C165" s="17" t="str">
        <x:v>-</x:v>
      </x:c>
      <x:c r="D165" s="17" t="str">
        <x:v>higher_better</x:v>
      </x:c>
      <x:c r="E165" s="17" t="n">
        <x:v>6</x:v>
      </x:c>
      <x:c r="F165" s="17" t="str">
        <x:v>MF</x:v>
      </x:c>
      <x:c r="G165" s="17" t="n">
        <x:v>2</x:v>
      </x:c>
      <x:c r="H165" s="18" t="n">
        <x:v>37.8</x:v>
      </x:c>
      <x:c r="I165" s="17" t="str">
        <x:v>颜色 L★ (亮度).xlsx | 颜色 L★ (亮度)!F5</x:v>
      </x:c>
    </x:row>
    <x:row r="166">
      <x:c r="A166" s="17" t="str">
        <x:v>l_star</x:v>
      </x:c>
      <x:c r="B166" s="17" t="str">
        <x:v>颜色L*</x:v>
      </x:c>
      <x:c r="C166" s="17" t="str">
        <x:v>-</x:v>
      </x:c>
      <x:c r="D166" s="17" t="str">
        <x:v>higher_better</x:v>
      </x:c>
      <x:c r="E166" s="17" t="n">
        <x:v>6</x:v>
      </x:c>
      <x:c r="F166" s="17" t="str">
        <x:v>MF</x:v>
      </x:c>
      <x:c r="G166" s="17" t="n">
        <x:v>3</x:v>
      </x:c>
      <x:c r="H166" s="18" t="n">
        <x:v>38.2</x:v>
      </x:c>
      <x:c r="I166" s="17" t="str">
        <x:v>颜色 L★ (亮度).xlsx | 颜色 L★ (亮度)!G5</x:v>
      </x:c>
    </x:row>
    <x:row r="167">
      <x:c r="A167" s="17" t="str">
        <x:v>l_star</x:v>
      </x:c>
      <x:c r="B167" s="17" t="str">
        <x:v>颜色L*</x:v>
      </x:c>
      <x:c r="C167" s="17" t="str">
        <x:v>-</x:v>
      </x:c>
      <x:c r="D167" s="17" t="str">
        <x:v>higher_better</x:v>
      </x:c>
      <x:c r="E167" s="17" t="n">
        <x:v>9</x:v>
      </x:c>
      <x:c r="F167" s="17" t="str">
        <x:v>CR</x:v>
      </x:c>
      <x:c r="G167" s="17" t="n">
        <x:v>1</x:v>
      </x:c>
      <x:c r="H167" s="18" t="n">
        <x:v>33.1</x:v>
      </x:c>
      <x:c r="I167" s="17" t="str">
        <x:v>颜色 L★ (亮度).xlsx | 颜色 L★ (亮度)!B6</x:v>
      </x:c>
    </x:row>
    <x:row r="168">
      <x:c r="A168" s="17" t="str">
        <x:v>l_star</x:v>
      </x:c>
      <x:c r="B168" s="17" t="str">
        <x:v>颜色L*</x:v>
      </x:c>
      <x:c r="C168" s="17" t="str">
        <x:v>-</x:v>
      </x:c>
      <x:c r="D168" s="17" t="str">
        <x:v>higher_better</x:v>
      </x:c>
      <x:c r="E168" s="17" t="n">
        <x:v>9</x:v>
      </x:c>
      <x:c r="F168" s="17" t="str">
        <x:v>CR</x:v>
      </x:c>
      <x:c r="G168" s="17" t="n">
        <x:v>2</x:v>
      </x:c>
      <x:c r="H168" s="18" t="n">
        <x:v>33</x:v>
      </x:c>
      <x:c r="I168" s="17" t="str">
        <x:v>颜色 L★ (亮度).xlsx | 颜色 L★ (亮度)!C6</x:v>
      </x:c>
    </x:row>
    <x:row r="169">
      <x:c r="A169" s="17" t="str">
        <x:v>l_star</x:v>
      </x:c>
      <x:c r="B169" s="17" t="str">
        <x:v>颜色L*</x:v>
      </x:c>
      <x:c r="C169" s="17" t="str">
        <x:v>-</x:v>
      </x:c>
      <x:c r="D169" s="17" t="str">
        <x:v>higher_better</x:v>
      </x:c>
      <x:c r="E169" s="17" t="n">
        <x:v>9</x:v>
      </x:c>
      <x:c r="F169" s="17" t="str">
        <x:v>CR</x:v>
      </x:c>
      <x:c r="G169" s="17" t="n">
        <x:v>3</x:v>
      </x:c>
      <x:c r="H169" s="18" t="n">
        <x:v>33.2</x:v>
      </x:c>
      <x:c r="I169" s="17" t="str">
        <x:v>颜色 L★ (亮度).xlsx | 颜色 L★ (亮度)!D6</x:v>
      </x:c>
    </x:row>
    <x:row r="170">
      <x:c r="A170" s="17" t="str">
        <x:v>l_star</x:v>
      </x:c>
      <x:c r="B170" s="17" t="str">
        <x:v>颜色L*</x:v>
      </x:c>
      <x:c r="C170" s="17" t="str">
        <x:v>-</x:v>
      </x:c>
      <x:c r="D170" s="17" t="str">
        <x:v>higher_better</x:v>
      </x:c>
      <x:c r="E170" s="17" t="n">
        <x:v>9</x:v>
      </x:c>
      <x:c r="F170" s="17" t="str">
        <x:v>MF</x:v>
      </x:c>
      <x:c r="G170" s="17" t="n">
        <x:v>1</x:v>
      </x:c>
      <x:c r="H170" s="18" t="n">
        <x:v>37.1</x:v>
      </x:c>
      <x:c r="I170" s="17" t="str">
        <x:v>颜色 L★ (亮度).xlsx | 颜色 L★ (亮度)!E6</x:v>
      </x:c>
    </x:row>
    <x:row r="171">
      <x:c r="A171" s="17" t="str">
        <x:v>l_star</x:v>
      </x:c>
      <x:c r="B171" s="17" t="str">
        <x:v>颜色L*</x:v>
      </x:c>
      <x:c r="C171" s="17" t="str">
        <x:v>-</x:v>
      </x:c>
      <x:c r="D171" s="17" t="str">
        <x:v>higher_better</x:v>
      </x:c>
      <x:c r="E171" s="17" t="n">
        <x:v>9</x:v>
      </x:c>
      <x:c r="F171" s="17" t="str">
        <x:v>MF</x:v>
      </x:c>
      <x:c r="G171" s="17" t="n">
        <x:v>2</x:v>
      </x:c>
      <x:c r="H171" s="18" t="n">
        <x:v>36.9</x:v>
      </x:c>
      <x:c r="I171" s="17" t="str">
        <x:v>颜色 L★ (亮度).xlsx | 颜色 L★ (亮度)!F6</x:v>
      </x:c>
    </x:row>
    <x:row r="172">
      <x:c r="A172" s="17" t="str">
        <x:v>l_star</x:v>
      </x:c>
      <x:c r="B172" s="17" t="str">
        <x:v>颜色L*</x:v>
      </x:c>
      <x:c r="C172" s="17" t="str">
        <x:v>-</x:v>
      </x:c>
      <x:c r="D172" s="17" t="str">
        <x:v>higher_better</x:v>
      </x:c>
      <x:c r="E172" s="17" t="n">
        <x:v>9</x:v>
      </x:c>
      <x:c r="F172" s="17" t="str">
        <x:v>MF</x:v>
      </x:c>
      <x:c r="G172" s="17" t="n">
        <x:v>3</x:v>
      </x:c>
      <x:c r="H172" s="18" t="n">
        <x:v>37.2</x:v>
      </x:c>
      <x:c r="I172" s="17" t="str">
        <x:v>颜色 L★ (亮度).xlsx | 颜色 L★ (亮度)!G6</x:v>
      </x:c>
    </x:row>
    <x:row r="173">
      <x:c r="A173" s="17" t="str">
        <x:v>l_star</x:v>
      </x:c>
      <x:c r="B173" s="17" t="str">
        <x:v>颜色L*</x:v>
      </x:c>
      <x:c r="C173" s="17" t="str">
        <x:v>-</x:v>
      </x:c>
      <x:c r="D173" s="17" t="str">
        <x:v>higher_better</x:v>
      </x:c>
      <x:c r="E173" s="17" t="n">
        <x:v>12</x:v>
      </x:c>
      <x:c r="F173" s="17" t="str">
        <x:v>CR</x:v>
      </x:c>
      <x:c r="G173" s="17" t="n">
        <x:v>1</x:v>
      </x:c>
      <x:c r="H173" s="18" t="n">
        <x:v>30.1</x:v>
      </x:c>
      <x:c r="I173" s="17" t="str">
        <x:v>颜色 L★ (亮度).xlsx | 颜色 L★ (亮度)!B7</x:v>
      </x:c>
    </x:row>
    <x:row r="174">
      <x:c r="A174" s="17" t="str">
        <x:v>l_star</x:v>
      </x:c>
      <x:c r="B174" s="17" t="str">
        <x:v>颜色L*</x:v>
      </x:c>
      <x:c r="C174" s="17" t="str">
        <x:v>-</x:v>
      </x:c>
      <x:c r="D174" s="17" t="str">
        <x:v>higher_better</x:v>
      </x:c>
      <x:c r="E174" s="17" t="n">
        <x:v>12</x:v>
      </x:c>
      <x:c r="F174" s="17" t="str">
        <x:v>CR</x:v>
      </x:c>
      <x:c r="G174" s="17" t="n">
        <x:v>2</x:v>
      </x:c>
      <x:c r="H174" s="18" t="n">
        <x:v>30.2</x:v>
      </x:c>
      <x:c r="I174" s="17" t="str">
        <x:v>颜色 L★ (亮度).xlsx | 颜色 L★ (亮度)!C7</x:v>
      </x:c>
    </x:row>
    <x:row r="175">
      <x:c r="A175" s="17" t="str">
        <x:v>l_star</x:v>
      </x:c>
      <x:c r="B175" s="17" t="str">
        <x:v>颜色L*</x:v>
      </x:c>
      <x:c r="C175" s="17" t="str">
        <x:v>-</x:v>
      </x:c>
      <x:c r="D175" s="17" t="str">
        <x:v>higher_better</x:v>
      </x:c>
      <x:c r="E175" s="17" t="n">
        <x:v>12</x:v>
      </x:c>
      <x:c r="F175" s="17" t="str">
        <x:v>CR</x:v>
      </x:c>
      <x:c r="G175" s="17" t="n">
        <x:v>3</x:v>
      </x:c>
      <x:c r="H175" s="18" t="n">
        <x:v>30</x:v>
      </x:c>
      <x:c r="I175" s="17" t="str">
        <x:v>颜色 L★ (亮度).xlsx | 颜色 L★ (亮度)!D7</x:v>
      </x:c>
    </x:row>
    <x:row r="176">
      <x:c r="A176" s="17" t="str">
        <x:v>l_star</x:v>
      </x:c>
      <x:c r="B176" s="17" t="str">
        <x:v>颜色L*</x:v>
      </x:c>
      <x:c r="C176" s="17" t="str">
        <x:v>-</x:v>
      </x:c>
      <x:c r="D176" s="17" t="str">
        <x:v>higher_better</x:v>
      </x:c>
      <x:c r="E176" s="17" t="n">
        <x:v>12</x:v>
      </x:c>
      <x:c r="F176" s="17" t="str">
        <x:v>MF</x:v>
      </x:c>
      <x:c r="G176" s="17" t="n">
        <x:v>1</x:v>
      </x:c>
      <x:c r="H176" s="18" t="n">
        <x:v>35.2</x:v>
      </x:c>
      <x:c r="I176" s="17" t="str">
        <x:v>颜色 L★ (亮度).xlsx | 颜色 L★ (亮度)!E7</x:v>
      </x:c>
    </x:row>
    <x:row r="177">
      <x:c r="A177" s="17" t="str">
        <x:v>l_star</x:v>
      </x:c>
      <x:c r="B177" s="17" t="str">
        <x:v>颜色L*</x:v>
      </x:c>
      <x:c r="C177" s="17" t="str">
        <x:v>-</x:v>
      </x:c>
      <x:c r="D177" s="17" t="str">
        <x:v>higher_better</x:v>
      </x:c>
      <x:c r="E177" s="17" t="n">
        <x:v>12</x:v>
      </x:c>
      <x:c r="F177" s="17" t="str">
        <x:v>MF</x:v>
      </x:c>
      <x:c r="G177" s="17" t="n">
        <x:v>2</x:v>
      </x:c>
      <x:c r="H177" s="18" t="n">
        <x:v>35.3</x:v>
      </x:c>
      <x:c r="I177" s="17" t="str">
        <x:v>颜色 L★ (亮度).xlsx | 颜色 L★ (亮度)!F7</x:v>
      </x:c>
    </x:row>
    <x:row r="178">
      <x:c r="A178" s="17" t="str">
        <x:v>l_star</x:v>
      </x:c>
      <x:c r="B178" s="17" t="str">
        <x:v>颜色L*</x:v>
      </x:c>
      <x:c r="C178" s="17" t="str">
        <x:v>-</x:v>
      </x:c>
      <x:c r="D178" s="17" t="str">
        <x:v>higher_better</x:v>
      </x:c>
      <x:c r="E178" s="17" t="n">
        <x:v>12</x:v>
      </x:c>
      <x:c r="F178" s="17" t="str">
        <x:v>MF</x:v>
      </x:c>
      <x:c r="G178" s="17" t="n">
        <x:v>3</x:v>
      </x:c>
      <x:c r="H178" s="18" t="n">
        <x:v>35.1</x:v>
      </x:c>
      <x:c r="I178" s="17" t="str">
        <x:v>颜色 L★ (亮度).xlsx | 颜色 L★ (亮度)!G7</x:v>
      </x:c>
    </x:row>
    <x:row r="179">
      <x:c r="A179" s="17" t="str">
        <x:v>l_star</x:v>
      </x:c>
      <x:c r="B179" s="17" t="str">
        <x:v>颜色L*</x:v>
      </x:c>
      <x:c r="C179" s="17" t="str">
        <x:v>-</x:v>
      </x:c>
      <x:c r="D179" s="17" t="str">
        <x:v>higher_better</x:v>
      </x:c>
      <x:c r="E179" s="17" t="n">
        <x:v>15</x:v>
      </x:c>
      <x:c r="F179" s="17" t="str">
        <x:v>CR</x:v>
      </x:c>
      <x:c r="G179" s="17" t="n">
        <x:v>1</x:v>
      </x:c>
      <x:c r="H179" s="18" t="n">
        <x:v>25.8</x:v>
      </x:c>
      <x:c r="I179" s="17" t="str">
        <x:v>颜色 L★ (亮度).xlsx | 颜色 L★ (亮度)!B8</x:v>
      </x:c>
    </x:row>
    <x:row r="180">
      <x:c r="A180" s="17" t="str">
        <x:v>l_star</x:v>
      </x:c>
      <x:c r="B180" s="17" t="str">
        <x:v>颜色L*</x:v>
      </x:c>
      <x:c r="C180" s="17" t="str">
        <x:v>-</x:v>
      </x:c>
      <x:c r="D180" s="17" t="str">
        <x:v>higher_better</x:v>
      </x:c>
      <x:c r="E180" s="17" t="n">
        <x:v>15</x:v>
      </x:c>
      <x:c r="F180" s="17" t="str">
        <x:v>CR</x:v>
      </x:c>
      <x:c r="G180" s="17" t="n">
        <x:v>2</x:v>
      </x:c>
      <x:c r="H180" s="18" t="n">
        <x:v>25.9</x:v>
      </x:c>
      <x:c r="I180" s="17" t="str">
        <x:v>颜色 L★ (亮度).xlsx | 颜色 L★ (亮度)!C8</x:v>
      </x:c>
    </x:row>
    <x:row r="181">
      <x:c r="A181" s="17" t="str">
        <x:v>l_star</x:v>
      </x:c>
      <x:c r="B181" s="17" t="str">
        <x:v>颜色L*</x:v>
      </x:c>
      <x:c r="C181" s="17" t="str">
        <x:v>-</x:v>
      </x:c>
      <x:c r="D181" s="17" t="str">
        <x:v>higher_better</x:v>
      </x:c>
      <x:c r="E181" s="17" t="n">
        <x:v>15</x:v>
      </x:c>
      <x:c r="F181" s="17" t="str">
        <x:v>CR</x:v>
      </x:c>
      <x:c r="G181" s="17" t="n">
        <x:v>3</x:v>
      </x:c>
      <x:c r="H181" s="18" t="n">
        <x:v>25.7</x:v>
      </x:c>
      <x:c r="I181" s="17" t="str">
        <x:v>颜色 L★ (亮度).xlsx | 颜色 L★ (亮度)!D8</x:v>
      </x:c>
    </x:row>
    <x:row r="182">
      <x:c r="A182" s="17" t="str">
        <x:v>l_star</x:v>
      </x:c>
      <x:c r="B182" s="17" t="str">
        <x:v>颜色L*</x:v>
      </x:c>
      <x:c r="C182" s="17" t="str">
        <x:v>-</x:v>
      </x:c>
      <x:c r="D182" s="17" t="str">
        <x:v>higher_better</x:v>
      </x:c>
      <x:c r="E182" s="17" t="n">
        <x:v>15</x:v>
      </x:c>
      <x:c r="F182" s="17" t="str">
        <x:v>MF</x:v>
      </x:c>
      <x:c r="G182" s="17" t="n">
        <x:v>1</x:v>
      </x:c>
      <x:c r="H182" s="18" t="n">
        <x:v>33.5</x:v>
      </x:c>
      <x:c r="I182" s="17" t="str">
        <x:v>颜色 L★ (亮度).xlsx | 颜色 L★ (亮度)!E8</x:v>
      </x:c>
    </x:row>
    <x:row r="183">
      <x:c r="A183" s="17" t="str">
        <x:v>l_star</x:v>
      </x:c>
      <x:c r="B183" s="17" t="str">
        <x:v>颜色L*</x:v>
      </x:c>
      <x:c r="C183" s="17" t="str">
        <x:v>-</x:v>
      </x:c>
      <x:c r="D183" s="17" t="str">
        <x:v>higher_better</x:v>
      </x:c>
      <x:c r="E183" s="17" t="n">
        <x:v>15</x:v>
      </x:c>
      <x:c r="F183" s="17" t="str">
        <x:v>MF</x:v>
      </x:c>
      <x:c r="G183" s="17" t="n">
        <x:v>2</x:v>
      </x:c>
      <x:c r="H183" s="18" t="n">
        <x:v>33.6</x:v>
      </x:c>
      <x:c r="I183" s="17" t="str">
        <x:v>颜色 L★ (亮度).xlsx | 颜色 L★ (亮度)!F8</x:v>
      </x:c>
    </x:row>
    <x:row r="184">
      <x:c r="A184" s="17" t="str">
        <x:v>l_star</x:v>
      </x:c>
      <x:c r="B184" s="17" t="str">
        <x:v>颜色L*</x:v>
      </x:c>
      <x:c r="C184" s="17" t="str">
        <x:v>-</x:v>
      </x:c>
      <x:c r="D184" s="17" t="str">
        <x:v>higher_better</x:v>
      </x:c>
      <x:c r="E184" s="17" t="n">
        <x:v>15</x:v>
      </x:c>
      <x:c r="F184" s="17" t="str">
        <x:v>MF</x:v>
      </x:c>
      <x:c r="G184" s="17" t="n">
        <x:v>3</x:v>
      </x:c>
      <x:c r="H184" s="18" t="n">
        <x:v>33.4</x:v>
      </x:c>
      <x:c r="I184" s="17" t="str">
        <x:v>颜色 L★ (亮度).xlsx | 颜色 L★ (亮度)!G8</x:v>
      </x:c>
    </x:row>
    <x:row r="185">
      <x:c r="A185" s="17" t="str">
        <x:v>a_star</x:v>
      </x:c>
      <x:c r="B185" s="17" t="str">
        <x:v>颜色a*</x:v>
      </x:c>
      <x:c r="C185" s="17" t="str">
        <x:v>-</x:v>
      </x:c>
      <x:c r="D185" s="17" t="str">
        <x:v>context</x:v>
      </x:c>
      <x:c r="E185" s="17" t="n">
        <x:v>0</x:v>
      </x:c>
      <x:c r="F185" s="17" t="str">
        <x:v>CR</x:v>
      </x:c>
      <x:c r="G185" s="17" t="n">
        <x:v>1</x:v>
      </x:c>
      <x:c r="H185" s="18" t="n">
        <x:v>27.7</x:v>
      </x:c>
      <x:c r="I185" s="17" t="str">
        <x:v>颜色 a★ (红绿度).xlsx | 颜色 a★ (红绿度)!B3</x:v>
      </x:c>
    </x:row>
    <x:row r="186">
      <x:c r="A186" s="17" t="str">
        <x:v>a_star</x:v>
      </x:c>
      <x:c r="B186" s="17" t="str">
        <x:v>颜色a*</x:v>
      </x:c>
      <x:c r="C186" s="17" t="str">
        <x:v>-</x:v>
      </x:c>
      <x:c r="D186" s="17" t="str">
        <x:v>context</x:v>
      </x:c>
      <x:c r="E186" s="17" t="n">
        <x:v>0</x:v>
      </x:c>
      <x:c r="F186" s="17" t="str">
        <x:v>CR</x:v>
      </x:c>
      <x:c r="G186" s="17" t="n">
        <x:v>2</x:v>
      </x:c>
      <x:c r="H186" s="18" t="n">
        <x:v>27.8</x:v>
      </x:c>
      <x:c r="I186" s="17" t="str">
        <x:v>颜色 a★ (红绿度).xlsx | 颜色 a★ (红绿度)!C3</x:v>
      </x:c>
    </x:row>
    <x:row r="187">
      <x:c r="A187" s="17" t="str">
        <x:v>a_star</x:v>
      </x:c>
      <x:c r="B187" s="17" t="str">
        <x:v>颜色a*</x:v>
      </x:c>
      <x:c r="C187" s="17" t="str">
        <x:v>-</x:v>
      </x:c>
      <x:c r="D187" s="17" t="str">
        <x:v>context</x:v>
      </x:c>
      <x:c r="E187" s="17" t="n">
        <x:v>0</x:v>
      </x:c>
      <x:c r="F187" s="17" t="str">
        <x:v>CR</x:v>
      </x:c>
      <x:c r="G187" s="17" t="n">
        <x:v>3</x:v>
      </x:c>
      <x:c r="H187" s="18" t="n">
        <x:v>27.6</x:v>
      </x:c>
      <x:c r="I187" s="17" t="str">
        <x:v>颜色 a★ (红绿度).xlsx | 颜色 a★ (红绿度)!D3</x:v>
      </x:c>
    </x:row>
    <x:row r="188">
      <x:c r="A188" s="17" t="str">
        <x:v>a_star</x:v>
      </x:c>
      <x:c r="B188" s="17" t="str">
        <x:v>颜色a*</x:v>
      </x:c>
      <x:c r="C188" s="17" t="str">
        <x:v>-</x:v>
      </x:c>
      <x:c r="D188" s="17" t="str">
        <x:v>context</x:v>
      </x:c>
      <x:c r="E188" s="17" t="n">
        <x:v>0</x:v>
      </x:c>
      <x:c r="F188" s="17" t="str">
        <x:v>MF</x:v>
      </x:c>
      <x:c r="G188" s="17" t="n">
        <x:v>1</x:v>
      </x:c>
      <x:c r="H188" s="18" t="n">
        <x:v>27.7</x:v>
      </x:c>
      <x:c r="I188" s="17" t="str">
        <x:v>颜色 a★ (红绿度).xlsx | 颜色 a★ (红绿度)!E3</x:v>
      </x:c>
    </x:row>
    <x:row r="189">
      <x:c r="A189" s="17" t="str">
        <x:v>a_star</x:v>
      </x:c>
      <x:c r="B189" s="17" t="str">
        <x:v>颜色a*</x:v>
      </x:c>
      <x:c r="C189" s="17" t="str">
        <x:v>-</x:v>
      </x:c>
      <x:c r="D189" s="17" t="str">
        <x:v>context</x:v>
      </x:c>
      <x:c r="E189" s="17" t="n">
        <x:v>0</x:v>
      </x:c>
      <x:c r="F189" s="17" t="str">
        <x:v>MF</x:v>
      </x:c>
      <x:c r="G189" s="17" t="n">
        <x:v>2</x:v>
      </x:c>
      <x:c r="H189" s="18" t="n">
        <x:v>27.6</x:v>
      </x:c>
      <x:c r="I189" s="17" t="str">
        <x:v>颜色 a★ (红绿度).xlsx | 颜色 a★ (红绿度)!F3</x:v>
      </x:c>
    </x:row>
    <x:row r="190">
      <x:c r="A190" s="17" t="str">
        <x:v>a_star</x:v>
      </x:c>
      <x:c r="B190" s="17" t="str">
        <x:v>颜色a*</x:v>
      </x:c>
      <x:c r="C190" s="17" t="str">
        <x:v>-</x:v>
      </x:c>
      <x:c r="D190" s="17" t="str">
        <x:v>context</x:v>
      </x:c>
      <x:c r="E190" s="17" t="n">
        <x:v>0</x:v>
      </x:c>
      <x:c r="F190" s="17" t="str">
        <x:v>MF</x:v>
      </x:c>
      <x:c r="G190" s="17" t="n">
        <x:v>3</x:v>
      </x:c>
      <x:c r="H190" s="18" t="n">
        <x:v>27.8</x:v>
      </x:c>
      <x:c r="I190" s="17" t="str">
        <x:v>颜色 a★ (红绿度).xlsx | 颜色 a★ (红绿度)!G3</x:v>
      </x:c>
    </x:row>
    <x:row r="191">
      <x:c r="A191" s="17" t="str">
        <x:v>a_star</x:v>
      </x:c>
      <x:c r="B191" s="17" t="str">
        <x:v>颜色a*</x:v>
      </x:c>
      <x:c r="C191" s="17" t="str">
        <x:v>-</x:v>
      </x:c>
      <x:c r="D191" s="17" t="str">
        <x:v>context</x:v>
      </x:c>
      <x:c r="E191" s="17" t="n">
        <x:v>3</x:v>
      </x:c>
      <x:c r="F191" s="17" t="str">
        <x:v>CR</x:v>
      </x:c>
      <x:c r="G191" s="17" t="n">
        <x:v>1</x:v>
      </x:c>
      <x:c r="H191" s="18" t="n">
        <x:v>32.9</x:v>
      </x:c>
      <x:c r="I191" s="17" t="str">
        <x:v>颜色 a★ (红绿度).xlsx | 颜色 a★ (红绿度)!B4</x:v>
      </x:c>
    </x:row>
    <x:row r="192">
      <x:c r="A192" s="17" t="str">
        <x:v>a_star</x:v>
      </x:c>
      <x:c r="B192" s="17" t="str">
        <x:v>颜色a*</x:v>
      </x:c>
      <x:c r="C192" s="17" t="str">
        <x:v>-</x:v>
      </x:c>
      <x:c r="D192" s="17" t="str">
        <x:v>context</x:v>
      </x:c>
      <x:c r="E192" s="17" t="n">
        <x:v>3</x:v>
      </x:c>
      <x:c r="F192" s="17" t="str">
        <x:v>CR</x:v>
      </x:c>
      <x:c r="G192" s="17" t="n">
        <x:v>2</x:v>
      </x:c>
      <x:c r="H192" s="18" t="n">
        <x:v>32.8</x:v>
      </x:c>
      <x:c r="I192" s="17" t="str">
        <x:v>颜色 a★ (红绿度).xlsx | 颜色 a★ (红绿度)!C4</x:v>
      </x:c>
    </x:row>
    <x:row r="193">
      <x:c r="A193" s="17" t="str">
        <x:v>a_star</x:v>
      </x:c>
      <x:c r="B193" s="17" t="str">
        <x:v>颜色a*</x:v>
      </x:c>
      <x:c r="C193" s="17" t="str">
        <x:v>-</x:v>
      </x:c>
      <x:c r="D193" s="17" t="str">
        <x:v>context</x:v>
      </x:c>
      <x:c r="E193" s="17" t="n">
        <x:v>3</x:v>
      </x:c>
      <x:c r="F193" s="17" t="str">
        <x:v>CR</x:v>
      </x:c>
      <x:c r="G193" s="17" t="n">
        <x:v>3</x:v>
      </x:c>
      <x:c r="H193" s="18" t="n">
        <x:v>33</x:v>
      </x:c>
      <x:c r="I193" s="17" t="str">
        <x:v>颜色 a★ (红绿度).xlsx | 颜色 a★ (红绿度)!D4</x:v>
      </x:c>
    </x:row>
    <x:row r="194">
      <x:c r="A194" s="17" t="str">
        <x:v>a_star</x:v>
      </x:c>
      <x:c r="B194" s="17" t="str">
        <x:v>颜色a*</x:v>
      </x:c>
      <x:c r="C194" s="17" t="str">
        <x:v>-</x:v>
      </x:c>
      <x:c r="D194" s="17" t="str">
        <x:v>context</x:v>
      </x:c>
      <x:c r="E194" s="17" t="n">
        <x:v>3</x:v>
      </x:c>
      <x:c r="F194" s="17" t="str">
        <x:v>MF</x:v>
      </x:c>
      <x:c r="G194" s="17" t="n">
        <x:v>1</x:v>
      </x:c>
      <x:c r="H194" s="18" t="n">
        <x:v>33.2</x:v>
      </x:c>
      <x:c r="I194" s="17" t="str">
        <x:v>颜色 a★ (红绿度).xlsx | 颜色 a★ (红绿度)!E4</x:v>
      </x:c>
    </x:row>
    <x:row r="195">
      <x:c r="A195" s="17" t="str">
        <x:v>a_star</x:v>
      </x:c>
      <x:c r="B195" s="17" t="str">
        <x:v>颜色a*</x:v>
      </x:c>
      <x:c r="C195" s="17" t="str">
        <x:v>-</x:v>
      </x:c>
      <x:c r="D195" s="17" t="str">
        <x:v>context</x:v>
      </x:c>
      <x:c r="E195" s="17" t="n">
        <x:v>3</x:v>
      </x:c>
      <x:c r="F195" s="17" t="str">
        <x:v>MF</x:v>
      </x:c>
      <x:c r="G195" s="17" t="n">
        <x:v>2</x:v>
      </x:c>
      <x:c r="H195" s="18" t="n">
        <x:v>33.3</x:v>
      </x:c>
      <x:c r="I195" s="17" t="str">
        <x:v>颜色 a★ (红绿度).xlsx | 颜色 a★ (红绿度)!F4</x:v>
      </x:c>
    </x:row>
    <x:row r="196">
      <x:c r="A196" s="17" t="str">
        <x:v>a_star</x:v>
      </x:c>
      <x:c r="B196" s="17" t="str">
        <x:v>颜色a*</x:v>
      </x:c>
      <x:c r="C196" s="17" t="str">
        <x:v>-</x:v>
      </x:c>
      <x:c r="D196" s="17" t="str">
        <x:v>context</x:v>
      </x:c>
      <x:c r="E196" s="17" t="n">
        <x:v>3</x:v>
      </x:c>
      <x:c r="F196" s="17" t="str">
        <x:v>MF</x:v>
      </x:c>
      <x:c r="G196" s="17" t="n">
        <x:v>3</x:v>
      </x:c>
      <x:c r="H196" s="18" t="n">
        <x:v>33.1</x:v>
      </x:c>
      <x:c r="I196" s="17" t="str">
        <x:v>颜色 a★ (红绿度).xlsx | 颜色 a★ (红绿度)!G4</x:v>
      </x:c>
    </x:row>
    <x:row r="197">
      <x:c r="A197" s="17" t="str">
        <x:v>a_star</x:v>
      </x:c>
      <x:c r="B197" s="17" t="str">
        <x:v>颜色a*</x:v>
      </x:c>
      <x:c r="C197" s="17" t="str">
        <x:v>-</x:v>
      </x:c>
      <x:c r="D197" s="17" t="str">
        <x:v>context</x:v>
      </x:c>
      <x:c r="E197" s="17" t="n">
        <x:v>6</x:v>
      </x:c>
      <x:c r="F197" s="17" t="str">
        <x:v>CR</x:v>
      </x:c>
      <x:c r="G197" s="17" t="n">
        <x:v>1</x:v>
      </x:c>
      <x:c r="H197" s="18" t="n">
        <x:v>34.6</x:v>
      </x:c>
      <x:c r="I197" s="17" t="str">
        <x:v>颜色 a★ (红绿度).xlsx | 颜色 a★ (红绿度)!B5</x:v>
      </x:c>
    </x:row>
    <x:row r="198">
      <x:c r="A198" s="17" t="str">
        <x:v>a_star</x:v>
      </x:c>
      <x:c r="B198" s="17" t="str">
        <x:v>颜色a*</x:v>
      </x:c>
      <x:c r="C198" s="17" t="str">
        <x:v>-</x:v>
      </x:c>
      <x:c r="D198" s="17" t="str">
        <x:v>context</x:v>
      </x:c>
      <x:c r="E198" s="17" t="n">
        <x:v>6</x:v>
      </x:c>
      <x:c r="F198" s="17" t="str">
        <x:v>CR</x:v>
      </x:c>
      <x:c r="G198" s="17" t="n">
        <x:v>2</x:v>
      </x:c>
      <x:c r="H198" s="18" t="n">
        <x:v>34.7</x:v>
      </x:c>
      <x:c r="I198" s="17" t="str">
        <x:v>颜色 a★ (红绿度).xlsx | 颜色 a★ (红绿度)!C5</x:v>
      </x:c>
    </x:row>
    <x:row r="199">
      <x:c r="A199" s="17" t="str">
        <x:v>a_star</x:v>
      </x:c>
      <x:c r="B199" s="17" t="str">
        <x:v>颜色a*</x:v>
      </x:c>
      <x:c r="C199" s="17" t="str">
        <x:v>-</x:v>
      </x:c>
      <x:c r="D199" s="17" t="str">
        <x:v>context</x:v>
      </x:c>
      <x:c r="E199" s="17" t="n">
        <x:v>6</x:v>
      </x:c>
      <x:c r="F199" s="17" t="str">
        <x:v>CR</x:v>
      </x:c>
      <x:c r="G199" s="17" t="n">
        <x:v>3</x:v>
      </x:c>
      <x:c r="H199" s="18" t="n">
        <x:v>34.5</x:v>
      </x:c>
      <x:c r="I199" s="17" t="str">
        <x:v>颜色 a★ (红绿度).xlsx | 颜色 a★ (红绿度)!D5</x:v>
      </x:c>
    </x:row>
    <x:row r="200">
      <x:c r="A200" s="17" t="str">
        <x:v>a_star</x:v>
      </x:c>
      <x:c r="B200" s="17" t="str">
        <x:v>颜色a*</x:v>
      </x:c>
      <x:c r="C200" s="17" t="str">
        <x:v>-</x:v>
      </x:c>
      <x:c r="D200" s="17" t="str">
        <x:v>context</x:v>
      </x:c>
      <x:c r="E200" s="17" t="n">
        <x:v>6</x:v>
      </x:c>
      <x:c r="F200" s="17" t="str">
        <x:v>MF</x:v>
      </x:c>
      <x:c r="G200" s="17" t="n">
        <x:v>1</x:v>
      </x:c>
      <x:c r="H200" s="18" t="n">
        <x:v>34.7</x:v>
      </x:c>
      <x:c r="I200" s="17" t="str">
        <x:v>颜色 a★ (红绿度).xlsx | 颜色 a★ (红绿度)!E5</x:v>
      </x:c>
    </x:row>
    <x:row r="201">
      <x:c r="A201" s="17" t="str">
        <x:v>a_star</x:v>
      </x:c>
      <x:c r="B201" s="17" t="str">
        <x:v>颜色a*</x:v>
      </x:c>
      <x:c r="C201" s="17" t="str">
        <x:v>-</x:v>
      </x:c>
      <x:c r="D201" s="17" t="str">
        <x:v>context</x:v>
      </x:c>
      <x:c r="E201" s="17" t="n">
        <x:v>6</x:v>
      </x:c>
      <x:c r="F201" s="17" t="str">
        <x:v>MF</x:v>
      </x:c>
      <x:c r="G201" s="17" t="n">
        <x:v>2</x:v>
      </x:c>
      <x:c r="H201" s="18" t="n">
        <x:v>34.8</x:v>
      </x:c>
      <x:c r="I201" s="17" t="str">
        <x:v>颜色 a★ (红绿度).xlsx | 颜色 a★ (红绿度)!F5</x:v>
      </x:c>
    </x:row>
    <x:row r="202">
      <x:c r="A202" s="17" t="str">
        <x:v>a_star</x:v>
      </x:c>
      <x:c r="B202" s="17" t="str">
        <x:v>颜色a*</x:v>
      </x:c>
      <x:c r="C202" s="17" t="str">
        <x:v>-</x:v>
      </x:c>
      <x:c r="D202" s="17" t="str">
        <x:v>context</x:v>
      </x:c>
      <x:c r="E202" s="17" t="n">
        <x:v>6</x:v>
      </x:c>
      <x:c r="F202" s="17" t="str">
        <x:v>MF</x:v>
      </x:c>
      <x:c r="G202" s="17" t="n">
        <x:v>3</x:v>
      </x:c>
      <x:c r="H202" s="18" t="n">
        <x:v>34.6</x:v>
      </x:c>
      <x:c r="I202" s="17" t="str">
        <x:v>颜色 a★ (红绿度).xlsx | 颜色 a★ (红绿度)!G5</x:v>
      </x:c>
    </x:row>
    <x:row r="203">
      <x:c r="A203" s="17" t="str">
        <x:v>a_star</x:v>
      </x:c>
      <x:c r="B203" s="17" t="str">
        <x:v>颜色a*</x:v>
      </x:c>
      <x:c r="C203" s="17" t="str">
        <x:v>-</x:v>
      </x:c>
      <x:c r="D203" s="17" t="str">
        <x:v>context</x:v>
      </x:c>
      <x:c r="E203" s="17" t="n">
        <x:v>9</x:v>
      </x:c>
      <x:c r="F203" s="17" t="str">
        <x:v>CR</x:v>
      </x:c>
      <x:c r="G203" s="17" t="n">
        <x:v>1</x:v>
      </x:c>
      <x:c r="H203" s="18" t="n">
        <x:v>30.9</x:v>
      </x:c>
      <x:c r="I203" s="17" t="str">
        <x:v>颜色 a★ (红绿度).xlsx | 颜色 a★ (红绿度)!B6</x:v>
      </x:c>
    </x:row>
    <x:row r="204">
      <x:c r="A204" s="17" t="str">
        <x:v>a_star</x:v>
      </x:c>
      <x:c r="B204" s="17" t="str">
        <x:v>颜色a*</x:v>
      </x:c>
      <x:c r="C204" s="17" t="str">
        <x:v>-</x:v>
      </x:c>
      <x:c r="D204" s="17" t="str">
        <x:v>context</x:v>
      </x:c>
      <x:c r="E204" s="17" t="n">
        <x:v>9</x:v>
      </x:c>
      <x:c r="F204" s="17" t="str">
        <x:v>CR</x:v>
      </x:c>
      <x:c r="G204" s="17" t="n">
        <x:v>2</x:v>
      </x:c>
      <x:c r="H204" s="18" t="n">
        <x:v>30.8</x:v>
      </x:c>
      <x:c r="I204" s="17" t="str">
        <x:v>颜色 a★ (红绿度).xlsx | 颜色 a★ (红绿度)!C6</x:v>
      </x:c>
    </x:row>
    <x:row r="205">
      <x:c r="A205" s="17" t="str">
        <x:v>a_star</x:v>
      </x:c>
      <x:c r="B205" s="17" t="str">
        <x:v>颜色a*</x:v>
      </x:c>
      <x:c r="C205" s="17" t="str">
        <x:v>-</x:v>
      </x:c>
      <x:c r="D205" s="17" t="str">
        <x:v>context</x:v>
      </x:c>
      <x:c r="E205" s="17" t="n">
        <x:v>9</x:v>
      </x:c>
      <x:c r="F205" s="17" t="str">
        <x:v>CR</x:v>
      </x:c>
      <x:c r="G205" s="17" t="n">
        <x:v>3</x:v>
      </x:c>
      <x:c r="H205" s="18" t="n">
        <x:v>31</x:v>
      </x:c>
      <x:c r="I205" s="17" t="str">
        <x:v>颜色 a★ (红绿度).xlsx | 颜色 a★ (红绿度)!D6</x:v>
      </x:c>
    </x:row>
    <x:row r="206">
      <x:c r="A206" s="17" t="str">
        <x:v>a_star</x:v>
      </x:c>
      <x:c r="B206" s="17" t="str">
        <x:v>颜色a*</x:v>
      </x:c>
      <x:c r="C206" s="17" t="str">
        <x:v>-</x:v>
      </x:c>
      <x:c r="D206" s="17" t="str">
        <x:v>context</x:v>
      </x:c>
      <x:c r="E206" s="17" t="n">
        <x:v>9</x:v>
      </x:c>
      <x:c r="F206" s="17" t="str">
        <x:v>MF</x:v>
      </x:c>
      <x:c r="G206" s="17" t="n">
        <x:v>1</x:v>
      </x:c>
      <x:c r="H206" s="18" t="n">
        <x:v>32.7</x:v>
      </x:c>
      <x:c r="I206" s="17" t="str">
        <x:v>颜色 a★ (红绿度).xlsx | 颜色 a★ (红绿度)!E6</x:v>
      </x:c>
    </x:row>
    <x:row r="207">
      <x:c r="A207" s="17" t="str">
        <x:v>a_star</x:v>
      </x:c>
      <x:c r="B207" s="17" t="str">
        <x:v>颜色a*</x:v>
      </x:c>
      <x:c r="C207" s="17" t="str">
        <x:v>-</x:v>
      </x:c>
      <x:c r="D207" s="17" t="str">
        <x:v>context</x:v>
      </x:c>
      <x:c r="E207" s="17" t="n">
        <x:v>9</x:v>
      </x:c>
      <x:c r="F207" s="17" t="str">
        <x:v>MF</x:v>
      </x:c>
      <x:c r="G207" s="17" t="n">
        <x:v>2</x:v>
      </x:c>
      <x:c r="H207" s="18" t="n">
        <x:v>32.8</x:v>
      </x:c>
      <x:c r="I207" s="17" t="str">
        <x:v>颜色 a★ (红绿度).xlsx | 颜色 a★ (红绿度)!F6</x:v>
      </x:c>
    </x:row>
    <x:row r="208">
      <x:c r="A208" s="17" t="str">
        <x:v>a_star</x:v>
      </x:c>
      <x:c r="B208" s="17" t="str">
        <x:v>颜色a*</x:v>
      </x:c>
      <x:c r="C208" s="17" t="str">
        <x:v>-</x:v>
      </x:c>
      <x:c r="D208" s="17" t="str">
        <x:v>context</x:v>
      </x:c>
      <x:c r="E208" s="17" t="n">
        <x:v>9</x:v>
      </x:c>
      <x:c r="F208" s="17" t="str">
        <x:v>MF</x:v>
      </x:c>
      <x:c r="G208" s="17" t="n">
        <x:v>3</x:v>
      </x:c>
      <x:c r="H208" s="18" t="n">
        <x:v>32.6</x:v>
      </x:c>
      <x:c r="I208" s="17" t="str">
        <x:v>颜色 a★ (红绿度).xlsx | 颜色 a★ (红绿度)!G6</x:v>
      </x:c>
    </x:row>
    <x:row r="209">
      <x:c r="A209" s="17" t="str">
        <x:v>a_star</x:v>
      </x:c>
      <x:c r="B209" s="17" t="str">
        <x:v>颜色a*</x:v>
      </x:c>
      <x:c r="C209" s="17" t="str">
        <x:v>-</x:v>
      </x:c>
      <x:c r="D209" s="17" t="str">
        <x:v>context</x:v>
      </x:c>
      <x:c r="E209" s="17" t="n">
        <x:v>12</x:v>
      </x:c>
      <x:c r="F209" s="17" t="str">
        <x:v>CR</x:v>
      </x:c>
      <x:c r="G209" s="17" t="n">
        <x:v>1</x:v>
      </x:c>
      <x:c r="H209" s="18" t="n">
        <x:v>29.4</x:v>
      </x:c>
      <x:c r="I209" s="17" t="str">
        <x:v>颜色 a★ (红绿度).xlsx | 颜色 a★ (红绿度)!B7</x:v>
      </x:c>
    </x:row>
    <x:row r="210">
      <x:c r="A210" s="17" t="str">
        <x:v>a_star</x:v>
      </x:c>
      <x:c r="B210" s="17" t="str">
        <x:v>颜色a*</x:v>
      </x:c>
      <x:c r="C210" s="17" t="str">
        <x:v>-</x:v>
      </x:c>
      <x:c r="D210" s="17" t="str">
        <x:v>context</x:v>
      </x:c>
      <x:c r="E210" s="17" t="n">
        <x:v>12</x:v>
      </x:c>
      <x:c r="F210" s="17" t="str">
        <x:v>CR</x:v>
      </x:c>
      <x:c r="G210" s="17" t="n">
        <x:v>2</x:v>
      </x:c>
      <x:c r="H210" s="18" t="n">
        <x:v>29.5</x:v>
      </x:c>
      <x:c r="I210" s="17" t="str">
        <x:v>颜色 a★ (红绿度).xlsx | 颜色 a★ (红绿度)!C7</x:v>
      </x:c>
    </x:row>
    <x:row r="211">
      <x:c r="A211" s="17" t="str">
        <x:v>a_star</x:v>
      </x:c>
      <x:c r="B211" s="17" t="str">
        <x:v>颜色a*</x:v>
      </x:c>
      <x:c r="C211" s="17" t="str">
        <x:v>-</x:v>
      </x:c>
      <x:c r="D211" s="17" t="str">
        <x:v>context</x:v>
      </x:c>
      <x:c r="E211" s="17" t="n">
        <x:v>12</x:v>
      </x:c>
      <x:c r="F211" s="17" t="str">
        <x:v>CR</x:v>
      </x:c>
      <x:c r="G211" s="17" t="n">
        <x:v>3</x:v>
      </x:c>
      <x:c r="H211" s="18" t="n">
        <x:v>29.3</x:v>
      </x:c>
      <x:c r="I211" s="17" t="str">
        <x:v>颜色 a★ (红绿度).xlsx | 颜色 a★ (红绿度)!D7</x:v>
      </x:c>
    </x:row>
    <x:row r="212">
      <x:c r="A212" s="17" t="str">
        <x:v>a_star</x:v>
      </x:c>
      <x:c r="B212" s="17" t="str">
        <x:v>颜色a*</x:v>
      </x:c>
      <x:c r="C212" s="17" t="str">
        <x:v>-</x:v>
      </x:c>
      <x:c r="D212" s="17" t="str">
        <x:v>context</x:v>
      </x:c>
      <x:c r="E212" s="17" t="n">
        <x:v>12</x:v>
      </x:c>
      <x:c r="F212" s="17" t="str">
        <x:v>MF</x:v>
      </x:c>
      <x:c r="G212" s="17" t="n">
        <x:v>1</x:v>
      </x:c>
      <x:c r="H212" s="18" t="n">
        <x:v>32.1</x:v>
      </x:c>
      <x:c r="I212" s="17" t="str">
        <x:v>颜色 a★ (红绿度).xlsx | 颜色 a★ (红绿度)!E7</x:v>
      </x:c>
    </x:row>
    <x:row r="213">
      <x:c r="A213" s="17" t="str">
        <x:v>a_star</x:v>
      </x:c>
      <x:c r="B213" s="17" t="str">
        <x:v>颜色a*</x:v>
      </x:c>
      <x:c r="C213" s="17" t="str">
        <x:v>-</x:v>
      </x:c>
      <x:c r="D213" s="17" t="str">
        <x:v>context</x:v>
      </x:c>
      <x:c r="E213" s="17" t="n">
        <x:v>12</x:v>
      </x:c>
      <x:c r="F213" s="17" t="str">
        <x:v>MF</x:v>
      </x:c>
      <x:c r="G213" s="17" t="n">
        <x:v>2</x:v>
      </x:c>
      <x:c r="H213" s="18" t="n">
        <x:v>32</x:v>
      </x:c>
      <x:c r="I213" s="17" t="str">
        <x:v>颜色 a★ (红绿度).xlsx | 颜色 a★ (红绿度)!F7</x:v>
      </x:c>
    </x:row>
    <x:row r="214">
      <x:c r="A214" s="17" t="str">
        <x:v>a_star</x:v>
      </x:c>
      <x:c r="B214" s="17" t="str">
        <x:v>颜色a*</x:v>
      </x:c>
      <x:c r="C214" s="17" t="str">
        <x:v>-</x:v>
      </x:c>
      <x:c r="D214" s="17" t="str">
        <x:v>context</x:v>
      </x:c>
      <x:c r="E214" s="17" t="n">
        <x:v>12</x:v>
      </x:c>
      <x:c r="F214" s="17" t="str">
        <x:v>MF</x:v>
      </x:c>
      <x:c r="G214" s="17" t="n">
        <x:v>3</x:v>
      </x:c>
      <x:c r="H214" s="18" t="n">
        <x:v>32.2</x:v>
      </x:c>
      <x:c r="I214" s="17" t="str">
        <x:v>颜色 a★ (红绿度).xlsx | 颜色 a★ (红绿度)!G7</x:v>
      </x:c>
    </x:row>
    <x:row r="215">
      <x:c r="A215" s="17" t="str">
        <x:v>a_star</x:v>
      </x:c>
      <x:c r="B215" s="17" t="str">
        <x:v>颜色a*</x:v>
      </x:c>
      <x:c r="C215" s="17" t="str">
        <x:v>-</x:v>
      </x:c>
      <x:c r="D215" s="17" t="str">
        <x:v>context</x:v>
      </x:c>
      <x:c r="E215" s="17" t="n">
        <x:v>15</x:v>
      </x:c>
      <x:c r="F215" s="17" t="str">
        <x:v>CR</x:v>
      </x:c>
      <x:c r="G215" s="17" t="n">
        <x:v>1</x:v>
      </x:c>
      <x:c r="H215" s="18" t="n">
        <x:v>28</x:v>
      </x:c>
      <x:c r="I215" s="17" t="str">
        <x:v>颜色 a★ (红绿度).xlsx | 颜色 a★ (红绿度)!B8</x:v>
      </x:c>
    </x:row>
    <x:row r="216">
      <x:c r="A216" s="17" t="str">
        <x:v>a_star</x:v>
      </x:c>
      <x:c r="B216" s="17" t="str">
        <x:v>颜色a*</x:v>
      </x:c>
      <x:c r="C216" s="17" t="str">
        <x:v>-</x:v>
      </x:c>
      <x:c r="D216" s="17" t="str">
        <x:v>context</x:v>
      </x:c>
      <x:c r="E216" s="17" t="n">
        <x:v>15</x:v>
      </x:c>
      <x:c r="F216" s="17" t="str">
        <x:v>CR</x:v>
      </x:c>
      <x:c r="G216" s="17" t="n">
        <x:v>2</x:v>
      </x:c>
      <x:c r="H216" s="18" t="n">
        <x:v>28.1</x:v>
      </x:c>
      <x:c r="I216" s="17" t="str">
        <x:v>颜色 a★ (红绿度).xlsx | 颜色 a★ (红绿度)!C8</x:v>
      </x:c>
    </x:row>
    <x:row r="217">
      <x:c r="A217" s="17" t="str">
        <x:v>a_star</x:v>
      </x:c>
      <x:c r="B217" s="17" t="str">
        <x:v>颜色a*</x:v>
      </x:c>
      <x:c r="C217" s="17" t="str">
        <x:v>-</x:v>
      </x:c>
      <x:c r="D217" s="17" t="str">
        <x:v>context</x:v>
      </x:c>
      <x:c r="E217" s="17" t="n">
        <x:v>15</x:v>
      </x:c>
      <x:c r="F217" s="17" t="str">
        <x:v>CR</x:v>
      </x:c>
      <x:c r="G217" s="17" t="n">
        <x:v>3</x:v>
      </x:c>
      <x:c r="H217" s="18" t="n">
        <x:v>27.9</x:v>
      </x:c>
      <x:c r="I217" s="17" t="str">
        <x:v>颜色 a★ (红绿度).xlsx | 颜色 a★ (红绿度)!D8</x:v>
      </x:c>
    </x:row>
    <x:row r="218">
      <x:c r="A218" s="17" t="str">
        <x:v>a_star</x:v>
      </x:c>
      <x:c r="B218" s="17" t="str">
        <x:v>颜色a*</x:v>
      </x:c>
      <x:c r="C218" s="17" t="str">
        <x:v>-</x:v>
      </x:c>
      <x:c r="D218" s="17" t="str">
        <x:v>context</x:v>
      </x:c>
      <x:c r="E218" s="17" t="n">
        <x:v>15</x:v>
      </x:c>
      <x:c r="F218" s="17" t="str">
        <x:v>MF</x:v>
      </x:c>
      <x:c r="G218" s="17" t="n">
        <x:v>1</x:v>
      </x:c>
      <x:c r="H218" s="18" t="n">
        <x:v>30.2</x:v>
      </x:c>
      <x:c r="I218" s="17" t="str">
        <x:v>颜色 a★ (红绿度).xlsx | 颜色 a★ (红绿度)!E8</x:v>
      </x:c>
    </x:row>
    <x:row r="219">
      <x:c r="A219" s="17" t="str">
        <x:v>a_star</x:v>
      </x:c>
      <x:c r="B219" s="17" t="str">
        <x:v>颜色a*</x:v>
      </x:c>
      <x:c r="C219" s="17" t="str">
        <x:v>-</x:v>
      </x:c>
      <x:c r="D219" s="17" t="str">
        <x:v>context</x:v>
      </x:c>
      <x:c r="E219" s="17" t="n">
        <x:v>15</x:v>
      </x:c>
      <x:c r="F219" s="17" t="str">
        <x:v>MF</x:v>
      </x:c>
      <x:c r="G219" s="17" t="n">
        <x:v>2</x:v>
      </x:c>
      <x:c r="H219" s="18" t="n">
        <x:v>30.3</x:v>
      </x:c>
      <x:c r="I219" s="17" t="str">
        <x:v>颜色 a★ (红绿度).xlsx | 颜色 a★ (红绿度)!F8</x:v>
      </x:c>
    </x:row>
    <x:row r="220">
      <x:c r="A220" s="17" t="str">
        <x:v>a_star</x:v>
      </x:c>
      <x:c r="B220" s="17" t="str">
        <x:v>颜色a*</x:v>
      </x:c>
      <x:c r="C220" s="17" t="str">
        <x:v>-</x:v>
      </x:c>
      <x:c r="D220" s="17" t="str">
        <x:v>context</x:v>
      </x:c>
      <x:c r="E220" s="17" t="n">
        <x:v>15</x:v>
      </x:c>
      <x:c r="F220" s="17" t="str">
        <x:v>MF</x:v>
      </x:c>
      <x:c r="G220" s="17" t="n">
        <x:v>3</x:v>
      </x:c>
      <x:c r="H220" s="18" t="n">
        <x:v>30.1</x:v>
      </x:c>
      <x:c r="I220" s="17" t="str">
        <x:v>颜色 a★ (红绿度).xlsx | 颜色 a★ (红绿度)!G8</x:v>
      </x:c>
    </x:row>
    <x:row r="221">
      <x:c r="A221" s="17" t="str">
        <x:v>delta_e</x:v>
      </x:c>
      <x:c r="B221" s="17" t="str">
        <x:v>总色差ΔE</x:v>
      </x:c>
      <x:c r="C221" s="17" t="str">
        <x:v>-</x:v>
      </x:c>
      <x:c r="D221" s="17" t="str">
        <x:v>lower_better</x:v>
      </x:c>
      <x:c r="E221" s="17" t="n">
        <x:v>0</x:v>
      </x:c>
      <x:c r="F221" s="17" t="str">
        <x:v>CR</x:v>
      </x:c>
      <x:c r="G221" s="17" t="n">
        <x:v>1</x:v>
      </x:c>
      <x:c r="H221" s="18" t="n">
        <x:v>0</x:v>
      </x:c>
      <x:c r="I221" s="17" t="str">
        <x:v>总色差 ΔE.xlsx | 总色差 ΔE!B3</x:v>
      </x:c>
    </x:row>
    <x:row r="222">
      <x:c r="A222" s="17" t="str">
        <x:v>delta_e</x:v>
      </x:c>
      <x:c r="B222" s="17" t="str">
        <x:v>总色差ΔE</x:v>
      </x:c>
      <x:c r="C222" s="17" t="str">
        <x:v>-</x:v>
      </x:c>
      <x:c r="D222" s="17" t="str">
        <x:v>lower_better</x:v>
      </x:c>
      <x:c r="E222" s="17" t="n">
        <x:v>0</x:v>
      </x:c>
      <x:c r="F222" s="17" t="str">
        <x:v>CR</x:v>
      </x:c>
      <x:c r="G222" s="17" t="n">
        <x:v>2</x:v>
      </x:c>
      <x:c r="H222" s="18" t="n">
        <x:v>0</x:v>
      </x:c>
      <x:c r="I222" s="17" t="str">
        <x:v>总色差 ΔE.xlsx | 总色差 ΔE!C3</x:v>
      </x:c>
    </x:row>
    <x:row r="223">
      <x:c r="A223" s="17" t="str">
        <x:v>delta_e</x:v>
      </x:c>
      <x:c r="B223" s="17" t="str">
        <x:v>总色差ΔE</x:v>
      </x:c>
      <x:c r="C223" s="17" t="str">
        <x:v>-</x:v>
      </x:c>
      <x:c r="D223" s="17" t="str">
        <x:v>lower_better</x:v>
      </x:c>
      <x:c r="E223" s="17" t="n">
        <x:v>0</x:v>
      </x:c>
      <x:c r="F223" s="17" t="str">
        <x:v>CR</x:v>
      </x:c>
      <x:c r="G223" s="17" t="n">
        <x:v>3</x:v>
      </x:c>
      <x:c r="H223" s="18" t="n">
        <x:v>0</x:v>
      </x:c>
      <x:c r="I223" s="17" t="str">
        <x:v>总色差 ΔE.xlsx | 总色差 ΔE!D3</x:v>
      </x:c>
    </x:row>
    <x:row r="224">
      <x:c r="A224" s="17" t="str">
        <x:v>delta_e</x:v>
      </x:c>
      <x:c r="B224" s="17" t="str">
        <x:v>总色差ΔE</x:v>
      </x:c>
      <x:c r="C224" s="17" t="str">
        <x:v>-</x:v>
      </x:c>
      <x:c r="D224" s="17" t="str">
        <x:v>lower_better</x:v>
      </x:c>
      <x:c r="E224" s="17" t="n">
        <x:v>0</x:v>
      </x:c>
      <x:c r="F224" s="17" t="str">
        <x:v>MF</x:v>
      </x:c>
      <x:c r="G224" s="17" t="n">
        <x:v>1</x:v>
      </x:c>
      <x:c r="H224" s="18" t="n">
        <x:v>0</x:v>
      </x:c>
      <x:c r="I224" s="17" t="str">
        <x:v>总色差 ΔE.xlsx | 总色差 ΔE!E3</x:v>
      </x:c>
    </x:row>
    <x:row r="225">
      <x:c r="A225" s="17" t="str">
        <x:v>delta_e</x:v>
      </x:c>
      <x:c r="B225" s="17" t="str">
        <x:v>总色差ΔE</x:v>
      </x:c>
      <x:c r="C225" s="17" t="str">
        <x:v>-</x:v>
      </x:c>
      <x:c r="D225" s="17" t="str">
        <x:v>lower_better</x:v>
      </x:c>
      <x:c r="E225" s="17" t="n">
        <x:v>0</x:v>
      </x:c>
      <x:c r="F225" s="17" t="str">
        <x:v>MF</x:v>
      </x:c>
      <x:c r="G225" s="17" t="n">
        <x:v>2</x:v>
      </x:c>
      <x:c r="H225" s="18" t="n">
        <x:v>0</x:v>
      </x:c>
      <x:c r="I225" s="17" t="str">
        <x:v>总色差 ΔE.xlsx | 总色差 ΔE!F3</x:v>
      </x:c>
    </x:row>
    <x:row r="226">
      <x:c r="A226" s="17" t="str">
        <x:v>delta_e</x:v>
      </x:c>
      <x:c r="B226" s="17" t="str">
        <x:v>总色差ΔE</x:v>
      </x:c>
      <x:c r="C226" s="17" t="str">
        <x:v>-</x:v>
      </x:c>
      <x:c r="D226" s="17" t="str">
        <x:v>lower_better</x:v>
      </x:c>
      <x:c r="E226" s="17" t="n">
        <x:v>0</x:v>
      </x:c>
      <x:c r="F226" s="17" t="str">
        <x:v>MF</x:v>
      </x:c>
      <x:c r="G226" s="17" t="n">
        <x:v>3</x:v>
      </x:c>
      <x:c r="H226" s="18" t="n">
        <x:v>0</x:v>
      </x:c>
      <x:c r="I226" s="17" t="str">
        <x:v>总色差 ΔE.xlsx | 总色差 ΔE!G3</x:v>
      </x:c>
    </x:row>
    <x:row r="227">
      <x:c r="A227" s="17" t="str">
        <x:v>delta_e</x:v>
      </x:c>
      <x:c r="B227" s="17" t="str">
        <x:v>总色差ΔE</x:v>
      </x:c>
      <x:c r="C227" s="17" t="str">
        <x:v>-</x:v>
      </x:c>
      <x:c r="D227" s="17" t="str">
        <x:v>lower_better</x:v>
      </x:c>
      <x:c r="E227" s="17" t="n">
        <x:v>3</x:v>
      </x:c>
      <x:c r="F227" s="17" t="str">
        <x:v>CR</x:v>
      </x:c>
      <x:c r="G227" s="17" t="n">
        <x:v>1</x:v>
      </x:c>
      <x:c r="H227" s="18" t="n">
        <x:v>6.9</x:v>
      </x:c>
      <x:c r="I227" s="17" t="str">
        <x:v>总色差 ΔE.xlsx | 总色差 ΔE!B4</x:v>
      </x:c>
    </x:row>
    <x:row r="228">
      <x:c r="A228" s="17" t="str">
        <x:v>delta_e</x:v>
      </x:c>
      <x:c r="B228" s="17" t="str">
        <x:v>总色差ΔE</x:v>
      </x:c>
      <x:c r="C228" s="17" t="str">
        <x:v>-</x:v>
      </x:c>
      <x:c r="D228" s="17" t="str">
        <x:v>lower_better</x:v>
      </x:c>
      <x:c r="E228" s="17" t="n">
        <x:v>3</x:v>
      </x:c>
      <x:c r="F228" s="17" t="str">
        <x:v>CR</x:v>
      </x:c>
      <x:c r="G228" s="17" t="n">
        <x:v>2</x:v>
      </x:c>
      <x:c r="H228" s="18" t="n">
        <x:v>7</x:v>
      </x:c>
      <x:c r="I228" s="17" t="str">
        <x:v>总色差 ΔE.xlsx | 总色差 ΔE!C4</x:v>
      </x:c>
    </x:row>
    <x:row r="229">
      <x:c r="A229" s="17" t="str">
        <x:v>delta_e</x:v>
      </x:c>
      <x:c r="B229" s="17" t="str">
        <x:v>总色差ΔE</x:v>
      </x:c>
      <x:c r="C229" s="17" t="str">
        <x:v>-</x:v>
      </x:c>
      <x:c r="D229" s="17" t="str">
        <x:v>lower_better</x:v>
      </x:c>
      <x:c r="E229" s="17" t="n">
        <x:v>3</x:v>
      </x:c>
      <x:c r="F229" s="17" t="str">
        <x:v>CR</x:v>
      </x:c>
      <x:c r="G229" s="17" t="n">
        <x:v>3</x:v>
      </x:c>
      <x:c r="H229" s="18" t="n">
        <x:v>6.8</x:v>
      </x:c>
      <x:c r="I229" s="17" t="str">
        <x:v>总色差 ΔE.xlsx | 总色差 ΔE!D4</x:v>
      </x:c>
    </x:row>
    <x:row r="230">
      <x:c r="A230" s="17" t="str">
        <x:v>delta_e</x:v>
      </x:c>
      <x:c r="B230" s="17" t="str">
        <x:v>总色差ΔE</x:v>
      </x:c>
      <x:c r="C230" s="17" t="str">
        <x:v>-</x:v>
      </x:c>
      <x:c r="D230" s="17" t="str">
        <x:v>lower_better</x:v>
      </x:c>
      <x:c r="E230" s="17" t="n">
        <x:v>3</x:v>
      </x:c>
      <x:c r="F230" s="17" t="str">
        <x:v>MF</x:v>
      </x:c>
      <x:c r="G230" s="17" t="n">
        <x:v>1</x:v>
      </x:c>
      <x:c r="H230" s="18" t="n">
        <x:v>6</x:v>
      </x:c>
      <x:c r="I230" s="17" t="str">
        <x:v>总色差 ΔE.xlsx | 总色差 ΔE!E4</x:v>
      </x:c>
    </x:row>
    <x:row r="231">
      <x:c r="A231" s="17" t="str">
        <x:v>delta_e</x:v>
      </x:c>
      <x:c r="B231" s="17" t="str">
        <x:v>总色差ΔE</x:v>
      </x:c>
      <x:c r="C231" s="17" t="str">
        <x:v>-</x:v>
      </x:c>
      <x:c r="D231" s="17" t="str">
        <x:v>lower_better</x:v>
      </x:c>
      <x:c r="E231" s="17" t="n">
        <x:v>3</x:v>
      </x:c>
      <x:c r="F231" s="17" t="str">
        <x:v>MF</x:v>
      </x:c>
      <x:c r="G231" s="17" t="n">
        <x:v>2</x:v>
      </x:c>
      <x:c r="H231" s="18" t="n">
        <x:v>6.1</x:v>
      </x:c>
      <x:c r="I231" s="17" t="str">
        <x:v>总色差 ΔE.xlsx | 总色差 ΔE!F4</x:v>
      </x:c>
    </x:row>
    <x:row r="232">
      <x:c r="A232" s="17" t="str">
        <x:v>delta_e</x:v>
      </x:c>
      <x:c r="B232" s="17" t="str">
        <x:v>总色差ΔE</x:v>
      </x:c>
      <x:c r="C232" s="17" t="str">
        <x:v>-</x:v>
      </x:c>
      <x:c r="D232" s="17" t="str">
        <x:v>lower_better</x:v>
      </x:c>
      <x:c r="E232" s="17" t="n">
        <x:v>3</x:v>
      </x:c>
      <x:c r="F232" s="17" t="str">
        <x:v>MF</x:v>
      </x:c>
      <x:c r="G232" s="17" t="n">
        <x:v>3</x:v>
      </x:c>
      <x:c r="H232" s="18" t="n">
        <x:v>5.9</x:v>
      </x:c>
      <x:c r="I232" s="17" t="str">
        <x:v>总色差 ΔE.xlsx | 总色差 ΔE!G4</x:v>
      </x:c>
    </x:row>
    <x:row r="233">
      <x:c r="A233" s="17" t="str">
        <x:v>delta_e</x:v>
      </x:c>
      <x:c r="B233" s="17" t="str">
        <x:v>总色差ΔE</x:v>
      </x:c>
      <x:c r="C233" s="17" t="str">
        <x:v>-</x:v>
      </x:c>
      <x:c r="D233" s="17" t="str">
        <x:v>lower_better</x:v>
      </x:c>
      <x:c r="E233" s="17" t="n">
        <x:v>6</x:v>
      </x:c>
      <x:c r="F233" s="17" t="str">
        <x:v>CR</x:v>
      </x:c>
      <x:c r="G233" s="17" t="n">
        <x:v>1</x:v>
      </x:c>
      <x:c r="H233" s="18" t="n">
        <x:v>9.1</x:v>
      </x:c>
      <x:c r="I233" s="17" t="str">
        <x:v>总色差 ΔE.xlsx | 总色差 ΔE!B5</x:v>
      </x:c>
    </x:row>
    <x:row r="234">
      <x:c r="A234" s="17" t="str">
        <x:v>delta_e</x:v>
      </x:c>
      <x:c r="B234" s="17" t="str">
        <x:v>总色差ΔE</x:v>
      </x:c>
      <x:c r="C234" s="17" t="str">
        <x:v>-</x:v>
      </x:c>
      <x:c r="D234" s="17" t="str">
        <x:v>lower_better</x:v>
      </x:c>
      <x:c r="E234" s="17" t="n">
        <x:v>6</x:v>
      </x:c>
      <x:c r="F234" s="17" t="str">
        <x:v>CR</x:v>
      </x:c>
      <x:c r="G234" s="17" t="n">
        <x:v>2</x:v>
      </x:c>
      <x:c r="H234" s="18" t="n">
        <x:v>9.2</x:v>
      </x:c>
      <x:c r="I234" s="17" t="str">
        <x:v>总色差 ΔE.xlsx | 总色差 ΔE!C5</x:v>
      </x:c>
    </x:row>
    <x:row r="235">
      <x:c r="A235" s="17" t="str">
        <x:v>delta_e</x:v>
      </x:c>
      <x:c r="B235" s="17" t="str">
        <x:v>总色差ΔE</x:v>
      </x:c>
      <x:c r="C235" s="17" t="str">
        <x:v>-</x:v>
      </x:c>
      <x:c r="D235" s="17" t="str">
        <x:v>lower_better</x:v>
      </x:c>
      <x:c r="E235" s="17" t="n">
        <x:v>6</x:v>
      </x:c>
      <x:c r="F235" s="17" t="str">
        <x:v>CR</x:v>
      </x:c>
      <x:c r="G235" s="17" t="n">
        <x:v>3</x:v>
      </x:c>
      <x:c r="H235" s="18" t="n">
        <x:v>9</x:v>
      </x:c>
      <x:c r="I235" s="17" t="str">
        <x:v>总色差 ΔE.xlsx | 总色差 ΔE!D5</x:v>
      </x:c>
    </x:row>
    <x:row r="236">
      <x:c r="A236" s="17" t="str">
        <x:v>delta_e</x:v>
      </x:c>
      <x:c r="B236" s="17" t="str">
        <x:v>总色差ΔE</x:v>
      </x:c>
      <x:c r="C236" s="17" t="str">
        <x:v>-</x:v>
      </x:c>
      <x:c r="D236" s="17" t="str">
        <x:v>lower_better</x:v>
      </x:c>
      <x:c r="E236" s="17" t="n">
        <x:v>6</x:v>
      </x:c>
      <x:c r="F236" s="17" t="str">
        <x:v>MF</x:v>
      </x:c>
      <x:c r="G236" s="17" t="n">
        <x:v>1</x:v>
      </x:c>
      <x:c r="H236" s="18" t="n">
        <x:v>8</x:v>
      </x:c>
      <x:c r="I236" s="17" t="str">
        <x:v>总色差 ΔE.xlsx | 总色差 ΔE!E5</x:v>
      </x:c>
    </x:row>
    <x:row r="237">
      <x:c r="A237" s="17" t="str">
        <x:v>delta_e</x:v>
      </x:c>
      <x:c r="B237" s="17" t="str">
        <x:v>总色差ΔE</x:v>
      </x:c>
      <x:c r="C237" s="17" t="str">
        <x:v>-</x:v>
      </x:c>
      <x:c r="D237" s="17" t="str">
        <x:v>lower_better</x:v>
      </x:c>
      <x:c r="E237" s="17" t="n">
        <x:v>6</x:v>
      </x:c>
      <x:c r="F237" s="17" t="str">
        <x:v>MF</x:v>
      </x:c>
      <x:c r="G237" s="17" t="n">
        <x:v>2</x:v>
      </x:c>
      <x:c r="H237" s="18" t="n">
        <x:v>8.1</x:v>
      </x:c>
      <x:c r="I237" s="17" t="str">
        <x:v>总色差 ΔE.xlsx | 总色差 ΔE!F5</x:v>
      </x:c>
    </x:row>
    <x:row r="238">
      <x:c r="A238" s="17" t="str">
        <x:v>delta_e</x:v>
      </x:c>
      <x:c r="B238" s="17" t="str">
        <x:v>总色差ΔE</x:v>
      </x:c>
      <x:c r="C238" s="17" t="str">
        <x:v>-</x:v>
      </x:c>
      <x:c r="D238" s="17" t="str">
        <x:v>lower_better</x:v>
      </x:c>
      <x:c r="E238" s="17" t="n">
        <x:v>6</x:v>
      </x:c>
      <x:c r="F238" s="17" t="str">
        <x:v>MF</x:v>
      </x:c>
      <x:c r="G238" s="17" t="n">
        <x:v>3</x:v>
      </x:c>
      <x:c r="H238" s="18" t="n">
        <x:v>7.9</x:v>
      </x:c>
      <x:c r="I238" s="17" t="str">
        <x:v>总色差 ΔE.xlsx | 总色差 ΔE!G5</x:v>
      </x:c>
    </x:row>
    <x:row r="239">
      <x:c r="A239" s="17" t="str">
        <x:v>delta_e</x:v>
      </x:c>
      <x:c r="B239" s="17" t="str">
        <x:v>总色差ΔE</x:v>
      </x:c>
      <x:c r="C239" s="17" t="str">
        <x:v>-</x:v>
      </x:c>
      <x:c r="D239" s="17" t="str">
        <x:v>lower_better</x:v>
      </x:c>
      <x:c r="E239" s="17" t="n">
        <x:v>9</x:v>
      </x:c>
      <x:c r="F239" s="17" t="str">
        <x:v>CR</x:v>
      </x:c>
      <x:c r="G239" s="17" t="n">
        <x:v>1</x:v>
      </x:c>
      <x:c r="H239" s="18" t="n">
        <x:v>9.1</x:v>
      </x:c>
      <x:c r="I239" s="17" t="str">
        <x:v>总色差 ΔE.xlsx | 总色差 ΔE!B6</x:v>
      </x:c>
    </x:row>
    <x:row r="240">
      <x:c r="A240" s="17" t="str">
        <x:v>delta_e</x:v>
      </x:c>
      <x:c r="B240" s="17" t="str">
        <x:v>总色差ΔE</x:v>
      </x:c>
      <x:c r="C240" s="17" t="str">
        <x:v>-</x:v>
      </x:c>
      <x:c r="D240" s="17" t="str">
        <x:v>lower_better</x:v>
      </x:c>
      <x:c r="E240" s="17" t="n">
        <x:v>9</x:v>
      </x:c>
      <x:c r="F240" s="17" t="str">
        <x:v>CR</x:v>
      </x:c>
      <x:c r="G240" s="17" t="n">
        <x:v>2</x:v>
      </x:c>
      <x:c r="H240" s="18" t="n">
        <x:v>9</x:v>
      </x:c>
      <x:c r="I240" s="17" t="str">
        <x:v>总色差 ΔE.xlsx | 总色差 ΔE!C6</x:v>
      </x:c>
    </x:row>
    <x:row r="241">
      <x:c r="A241" s="17" t="str">
        <x:v>delta_e</x:v>
      </x:c>
      <x:c r="B241" s="17" t="str">
        <x:v>总色差ΔE</x:v>
      </x:c>
      <x:c r="C241" s="17" t="str">
        <x:v>-</x:v>
      </x:c>
      <x:c r="D241" s="17" t="str">
        <x:v>lower_better</x:v>
      </x:c>
      <x:c r="E241" s="17" t="n">
        <x:v>9</x:v>
      </x:c>
      <x:c r="F241" s="17" t="str">
        <x:v>CR</x:v>
      </x:c>
      <x:c r="G241" s="17" t="n">
        <x:v>3</x:v>
      </x:c>
      <x:c r="H241" s="18" t="n">
        <x:v>9.2</x:v>
      </x:c>
      <x:c r="I241" s="17" t="str">
        <x:v>总色差 ΔE.xlsx | 总色差 ΔE!D6</x:v>
      </x:c>
    </x:row>
    <x:row r="242">
      <x:c r="A242" s="17" t="str">
        <x:v>delta_e</x:v>
      </x:c>
      <x:c r="B242" s="17" t="str">
        <x:v>总色差ΔE</x:v>
      </x:c>
      <x:c r="C242" s="17" t="str">
        <x:v>-</x:v>
      </x:c>
      <x:c r="D242" s="17" t="str">
        <x:v>lower_better</x:v>
      </x:c>
      <x:c r="E242" s="17" t="n">
        <x:v>9</x:v>
      </x:c>
      <x:c r="F242" s="17" t="str">
        <x:v>MF</x:v>
      </x:c>
      <x:c r="G242" s="17" t="n">
        <x:v>1</x:v>
      </x:c>
      <x:c r="H242" s="18" t="n">
        <x:v>7.5</x:v>
      </x:c>
      <x:c r="I242" s="17" t="str">
        <x:v>总色差 ΔE.xlsx | 总色差 ΔE!E6</x:v>
      </x:c>
    </x:row>
    <x:row r="243">
      <x:c r="A243" s="17" t="str">
        <x:v>delta_e</x:v>
      </x:c>
      <x:c r="B243" s="17" t="str">
        <x:v>总色差ΔE</x:v>
      </x:c>
      <x:c r="C243" s="17" t="str">
        <x:v>-</x:v>
      </x:c>
      <x:c r="D243" s="17" t="str">
        <x:v>lower_better</x:v>
      </x:c>
      <x:c r="E243" s="17" t="n">
        <x:v>9</x:v>
      </x:c>
      <x:c r="F243" s="17" t="str">
        <x:v>MF</x:v>
      </x:c>
      <x:c r="G243" s="17" t="n">
        <x:v>2</x:v>
      </x:c>
      <x:c r="H243" s="18" t="n">
        <x:v>7.4</x:v>
      </x:c>
      <x:c r="I243" s="17" t="str">
        <x:v>总色差 ΔE.xlsx | 总色差 ΔE!F6</x:v>
      </x:c>
    </x:row>
    <x:row r="244">
      <x:c r="A244" s="17" t="str">
        <x:v>delta_e</x:v>
      </x:c>
      <x:c r="B244" s="17" t="str">
        <x:v>总色差ΔE</x:v>
      </x:c>
      <x:c r="C244" s="17" t="str">
        <x:v>-</x:v>
      </x:c>
      <x:c r="D244" s="17" t="str">
        <x:v>lower_better</x:v>
      </x:c>
      <x:c r="E244" s="17" t="n">
        <x:v>9</x:v>
      </x:c>
      <x:c r="F244" s="17" t="str">
        <x:v>MF</x:v>
      </x:c>
      <x:c r="G244" s="17" t="n">
        <x:v>3</x:v>
      </x:c>
      <x:c r="H244" s="18" t="n">
        <x:v>7.6</x:v>
      </x:c>
      <x:c r="I244" s="17" t="str">
        <x:v>总色差 ΔE.xlsx | 总色差 ΔE!G6</x:v>
      </x:c>
    </x:row>
    <x:row r="245">
      <x:c r="A245" s="17" t="str">
        <x:v>delta_e</x:v>
      </x:c>
      <x:c r="B245" s="17" t="str">
        <x:v>总色差ΔE</x:v>
      </x:c>
      <x:c r="C245" s="17" t="str">
        <x:v>-</x:v>
      </x:c>
      <x:c r="D245" s="17" t="str">
        <x:v>lower_better</x:v>
      </x:c>
      <x:c r="E245" s="17" t="n">
        <x:v>12</x:v>
      </x:c>
      <x:c r="F245" s="17" t="str">
        <x:v>CR</x:v>
      </x:c>
      <x:c r="G245" s="17" t="n">
        <x:v>1</x:v>
      </x:c>
      <x:c r="H245" s="18" t="n">
        <x:v>11</x:v>
      </x:c>
      <x:c r="I245" s="17" t="str">
        <x:v>总色差 ΔE.xlsx | 总色差 ΔE!B7</x:v>
      </x:c>
    </x:row>
    <x:row r="246">
      <x:c r="A246" s="17" t="str">
        <x:v>delta_e</x:v>
      </x:c>
      <x:c r="B246" s="17" t="str">
        <x:v>总色差ΔE</x:v>
      </x:c>
      <x:c r="C246" s="17" t="str">
        <x:v>-</x:v>
      </x:c>
      <x:c r="D246" s="17" t="str">
        <x:v>lower_better</x:v>
      </x:c>
      <x:c r="E246" s="17" t="n">
        <x:v>12</x:v>
      </x:c>
      <x:c r="F246" s="17" t="str">
        <x:v>CR</x:v>
      </x:c>
      <x:c r="G246" s="17" t="n">
        <x:v>2</x:v>
      </x:c>
      <x:c r="H246" s="18" t="n">
        <x:v>11.1</x:v>
      </x:c>
      <x:c r="I246" s="17" t="str">
        <x:v>总色差 ΔE.xlsx | 总色差 ΔE!C7</x:v>
      </x:c>
    </x:row>
    <x:row r="247">
      <x:c r="A247" s="17" t="str">
        <x:v>delta_e</x:v>
      </x:c>
      <x:c r="B247" s="17" t="str">
        <x:v>总色差ΔE</x:v>
      </x:c>
      <x:c r="C247" s="17" t="str">
        <x:v>-</x:v>
      </x:c>
      <x:c r="D247" s="17" t="str">
        <x:v>lower_better</x:v>
      </x:c>
      <x:c r="E247" s="17" t="n">
        <x:v>12</x:v>
      </x:c>
      <x:c r="F247" s="17" t="str">
        <x:v>CR</x:v>
      </x:c>
      <x:c r="G247" s="17" t="n">
        <x:v>3</x:v>
      </x:c>
      <x:c r="H247" s="18" t="n">
        <x:v>10.9</x:v>
      </x:c>
      <x:c r="I247" s="17" t="str">
        <x:v>总色差 ΔE.xlsx | 总色差 ΔE!D7</x:v>
      </x:c>
    </x:row>
    <x:row r="248">
      <x:c r="A248" s="17" t="str">
        <x:v>delta_e</x:v>
      </x:c>
      <x:c r="B248" s="17" t="str">
        <x:v>总色差ΔE</x:v>
      </x:c>
      <x:c r="C248" s="17" t="str">
        <x:v>-</x:v>
      </x:c>
      <x:c r="D248" s="17" t="str">
        <x:v>lower_better</x:v>
      </x:c>
      <x:c r="E248" s="17" t="n">
        <x:v>12</x:v>
      </x:c>
      <x:c r="F248" s="17" t="str">
        <x:v>MF</x:v>
      </x:c>
      <x:c r="G248" s="17" t="n">
        <x:v>1</x:v>
      </x:c>
      <x:c r="H248" s="18" t="n">
        <x:v>8</x:v>
      </x:c>
      <x:c r="I248" s="17" t="str">
        <x:v>总色差 ΔE.xlsx | 总色差 ΔE!E7</x:v>
      </x:c>
    </x:row>
    <x:row r="249">
      <x:c r="A249" s="17" t="str">
        <x:v>delta_e</x:v>
      </x:c>
      <x:c r="B249" s="17" t="str">
        <x:v>总色差ΔE</x:v>
      </x:c>
      <x:c r="C249" s="17" t="str">
        <x:v>-</x:v>
      </x:c>
      <x:c r="D249" s="17" t="str">
        <x:v>lower_better</x:v>
      </x:c>
      <x:c r="E249" s="17" t="n">
        <x:v>12</x:v>
      </x:c>
      <x:c r="F249" s="17" t="str">
        <x:v>MF</x:v>
      </x:c>
      <x:c r="G249" s="17" t="n">
        <x:v>2</x:v>
      </x:c>
      <x:c r="H249" s="18" t="n">
        <x:v>7.9</x:v>
      </x:c>
      <x:c r="I249" s="17" t="str">
        <x:v>总色差 ΔE.xlsx | 总色差 ΔE!F7</x:v>
      </x:c>
    </x:row>
    <x:row r="250">
      <x:c r="A250" s="17" t="str">
        <x:v>delta_e</x:v>
      </x:c>
      <x:c r="B250" s="17" t="str">
        <x:v>总色差ΔE</x:v>
      </x:c>
      <x:c r="C250" s="17" t="str">
        <x:v>-</x:v>
      </x:c>
      <x:c r="D250" s="17" t="str">
        <x:v>lower_better</x:v>
      </x:c>
      <x:c r="E250" s="17" t="n">
        <x:v>12</x:v>
      </x:c>
      <x:c r="F250" s="17" t="str">
        <x:v>MF</x:v>
      </x:c>
      <x:c r="G250" s="17" t="n">
        <x:v>3</x:v>
      </x:c>
      <x:c r="H250" s="18" t="n">
        <x:v>8.1</x:v>
      </x:c>
      <x:c r="I250" s="17" t="str">
        <x:v>总色差 ΔE.xlsx | 总色差 ΔE!G7</x:v>
      </x:c>
    </x:row>
    <x:row r="251">
      <x:c r="A251" s="17" t="str">
        <x:v>delta_e</x:v>
      </x:c>
      <x:c r="B251" s="17" t="str">
        <x:v>总色差ΔE</x:v>
      </x:c>
      <x:c r="C251" s="17" t="str">
        <x:v>-</x:v>
      </x:c>
      <x:c r="D251" s="17" t="str">
        <x:v>lower_better</x:v>
      </x:c>
      <x:c r="E251" s="17" t="n">
        <x:v>15</x:v>
      </x:c>
      <x:c r="F251" s="17" t="str">
        <x:v>CR</x:v>
      </x:c>
      <x:c r="G251" s="17" t="n">
        <x:v>1</x:v>
      </x:c>
      <x:c r="H251" s="18" t="n">
        <x:v>16</x:v>
      </x:c>
      <x:c r="I251" s="17" t="str">
        <x:v>总色差 ΔE.xlsx | 总色差 ΔE!B8</x:v>
      </x:c>
    </x:row>
    <x:row r="252">
      <x:c r="A252" s="17" t="str">
        <x:v>delta_e</x:v>
      </x:c>
      <x:c r="B252" s="17" t="str">
        <x:v>总色差ΔE</x:v>
      </x:c>
      <x:c r="C252" s="17" t="str">
        <x:v>-</x:v>
      </x:c>
      <x:c r="D252" s="17" t="str">
        <x:v>lower_better</x:v>
      </x:c>
      <x:c r="E252" s="17" t="n">
        <x:v>15</x:v>
      </x:c>
      <x:c r="F252" s="17" t="str">
        <x:v>CR</x:v>
      </x:c>
      <x:c r="G252" s="17" t="n">
        <x:v>2</x:v>
      </x:c>
      <x:c r="H252" s="18" t="n">
        <x:v>16.1</x:v>
      </x:c>
      <x:c r="I252" s="17" t="str">
        <x:v>总色差 ΔE.xlsx | 总色差 ΔE!C8</x:v>
      </x:c>
    </x:row>
    <x:row r="253">
      <x:c r="A253" s="17" t="str">
        <x:v>delta_e</x:v>
      </x:c>
      <x:c r="B253" s="17" t="str">
        <x:v>总色差ΔE</x:v>
      </x:c>
      <x:c r="C253" s="17" t="str">
        <x:v>-</x:v>
      </x:c>
      <x:c r="D253" s="17" t="str">
        <x:v>lower_better</x:v>
      </x:c>
      <x:c r="E253" s="17" t="n">
        <x:v>15</x:v>
      </x:c>
      <x:c r="F253" s="17" t="str">
        <x:v>CR</x:v>
      </x:c>
      <x:c r="G253" s="17" t="n">
        <x:v>3</x:v>
      </x:c>
      <x:c r="H253" s="18" t="n">
        <x:v>15.9</x:v>
      </x:c>
      <x:c r="I253" s="17" t="str">
        <x:v>总色差 ΔE.xlsx | 总色差 ΔE!D8</x:v>
      </x:c>
    </x:row>
    <x:row r="254">
      <x:c r="A254" s="17" t="str">
        <x:v>delta_e</x:v>
      </x:c>
      <x:c r="B254" s="17" t="str">
        <x:v>总色差ΔE</x:v>
      </x:c>
      <x:c r="C254" s="17" t="str">
        <x:v>-</x:v>
      </x:c>
      <x:c r="D254" s="17" t="str">
        <x:v>lower_better</x:v>
      </x:c>
      <x:c r="E254" s="17" t="n">
        <x:v>15</x:v>
      </x:c>
      <x:c r="F254" s="17" t="str">
        <x:v>MF</x:v>
      </x:c>
      <x:c r="G254" s="17" t="n">
        <x:v>1</x:v>
      </x:c>
      <x:c r="H254" s="18" t="n">
        <x:v>9.4</x:v>
      </x:c>
      <x:c r="I254" s="17" t="str">
        <x:v>总色差 ΔE.xlsx | 总色差 ΔE!E8</x:v>
      </x:c>
    </x:row>
    <x:row r="255">
      <x:c r="A255" s="17" t="str">
        <x:v>delta_e</x:v>
      </x:c>
      <x:c r="B255" s="17" t="str">
        <x:v>总色差ΔE</x:v>
      </x:c>
      <x:c r="C255" s="17" t="str">
        <x:v>-</x:v>
      </x:c>
      <x:c r="D255" s="17" t="str">
        <x:v>lower_better</x:v>
      </x:c>
      <x:c r="E255" s="17" t="n">
        <x:v>15</x:v>
      </x:c>
      <x:c r="F255" s="17" t="str">
        <x:v>MF</x:v>
      </x:c>
      <x:c r="G255" s="17" t="n">
        <x:v>2</x:v>
      </x:c>
      <x:c r="H255" s="18" t="n">
        <x:v>9.5</x:v>
      </x:c>
      <x:c r="I255" s="17" t="str">
        <x:v>总色差 ΔE.xlsx | 总色差 ΔE!F8</x:v>
      </x:c>
    </x:row>
    <x:row r="256">
      <x:c r="A256" s="17" t="str">
        <x:v>delta_e</x:v>
      </x:c>
      <x:c r="B256" s="17" t="str">
        <x:v>总色差ΔE</x:v>
      </x:c>
      <x:c r="C256" s="17" t="str">
        <x:v>-</x:v>
      </x:c>
      <x:c r="D256" s="17" t="str">
        <x:v>lower_better</x:v>
      </x:c>
      <x:c r="E256" s="17" t="n">
        <x:v>15</x:v>
      </x:c>
      <x:c r="F256" s="17" t="str">
        <x:v>MF</x:v>
      </x:c>
      <x:c r="G256" s="17" t="n">
        <x:v>3</x:v>
      </x:c>
      <x:c r="H256" s="18" t="n">
        <x:v>9.3</x:v>
      </x:c>
      <x:c r="I256" s="17" t="str">
        <x:v>总色差 ΔE.xlsx | 总色差 ΔE!G8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3" t="str">
        <x:v>描述统计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均值、样本标准差和范围均由数据导入表公式计算。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指标ID</x:v>
      </x:c>
      <x:c r="B4" s="13" t="str">
        <x:v>指标</x:v>
      </x:c>
      <x:c r="C4" s="13" t="str">
        <x:v>单位</x:v>
      </x:c>
      <x:c r="D4" s="13" t="str">
        <x:v>天数</x:v>
      </x:c>
      <x:c r="E4" s="13" t="str">
        <x:v>处理</x:v>
      </x:c>
      <x:c r="F4" s="13" t="str">
        <x:v>n</x:v>
      </x:c>
      <x:c r="G4" s="13" t="str">
        <x:v>均值</x:v>
      </x:c>
      <x:c r="H4" s="13" t="str">
        <x:v>SD</x:v>
      </x:c>
      <x:c r="I4" s="13" t="str">
        <x:v>最小值</x:v>
      </x:c>
      <x:c r="J4" s="13" t="str">
        <x:v>最大值</x:v>
      </x:c>
    </x:row>
    <x:row r="5">
      <x:c r="A5" s="17" t="str">
        <x:v>hardness</x:v>
      </x:c>
      <x:c r="B5" s="17" t="str">
        <x:v>硬度</x:v>
      </x:c>
      <x:c r="C5" s="17" t="str">
        <x:v>N</x:v>
      </x:c>
      <x:c r="D5" s="17" t="n">
        <x:v>0</x:v>
      </x:c>
      <x:c r="E5" s="17" t="str">
        <x:v>CR</x:v>
      </x:c>
      <x:c r="F5" s="17" t="n">
        <x:f>COUNT('数据导入'!$H$5:$H$7)</x:f>
        <x:v>3</x:v>
      </x:c>
      <x:c r="G5" s="18" t="n">
        <x:f>AVERAGE('数据导入'!$H$5:$H$7)</x:f>
        <x:v>84</x:v>
      </x:c>
      <x:c r="H5" s="18" t="n">
        <x:f>STDEV.S('数据导入'!$H$5:$H$7)</x:f>
        <x:v>0.20000000000000284</x:v>
      </x:c>
      <x:c r="I5" s="18" t="n">
        <x:f>MIN('数据导入'!$H$5:$H$7)</x:f>
        <x:v>83.8</x:v>
      </x:c>
      <x:c r="J5" s="18" t="n">
        <x:f>MAX('数据导入'!$H$5:$H$7)</x:f>
        <x:v>84.2</x:v>
      </x:c>
    </x:row>
    <x:row r="6">
      <x:c r="A6" s="17" t="str">
        <x:v>hardness</x:v>
      </x:c>
      <x:c r="B6" s="17" t="str">
        <x:v>硬度</x:v>
      </x:c>
      <x:c r="C6" s="17" t="str">
        <x:v>N</x:v>
      </x:c>
      <x:c r="D6" s="17" t="n">
        <x:v>0</x:v>
      </x:c>
      <x:c r="E6" s="17" t="str">
        <x:v>MF</x:v>
      </x:c>
      <x:c r="F6" s="17" t="n">
        <x:f>COUNT('数据导入'!$H$8:$H$10)</x:f>
        <x:v>3</x:v>
      </x:c>
      <x:c r="G6" s="18" t="n">
        <x:f>AVERAGE('数据导入'!$H$8:$H$10)</x:f>
        <x:v>84</x:v>
      </x:c>
      <x:c r="H6" s="18" t="n">
        <x:f>STDEV.S('数据导入'!$H$8:$H$10)</x:f>
        <x:v>0.09999999999999432</x:v>
      </x:c>
      <x:c r="I6" s="18" t="n">
        <x:f>MIN('数据导入'!$H$8:$H$10)</x:f>
        <x:v>83.9</x:v>
      </x:c>
      <x:c r="J6" s="18" t="n">
        <x:f>MAX('数据导入'!$H$8:$H$10)</x:f>
        <x:v>84.1</x:v>
      </x:c>
    </x:row>
    <x:row r="7">
      <x:c r="A7" s="17" t="str">
        <x:v>hardness</x:v>
      </x:c>
      <x:c r="B7" s="17" t="str">
        <x:v>硬度</x:v>
      </x:c>
      <x:c r="C7" s="17" t="str">
        <x:v>N</x:v>
      </x:c>
      <x:c r="D7" s="17" t="n">
        <x:v>3</x:v>
      </x:c>
      <x:c r="E7" s="17" t="str">
        <x:v>CR</x:v>
      </x:c>
      <x:c r="F7" s="17" t="n">
        <x:f>COUNT('数据导入'!$H$11:$H$13)</x:f>
        <x:v>3</x:v>
      </x:c>
      <x:c r="G7" s="18" t="n">
        <x:f>AVERAGE('数据导入'!$H$11:$H$13)</x:f>
        <x:v>66.76666666666667</x:v>
      </x:c>
      <x:c r="H7" s="18" t="n">
        <x:f>STDEV.S('数据导入'!$H$11:$H$13)</x:f>
        <x:v>1.7502380790433436</x:v>
      </x:c>
      <x:c r="I7" s="18" t="n">
        <x:f>MIN('数据导入'!$H$11:$H$13)</x:f>
        <x:v>65</x:v>
      </x:c>
      <x:c r="J7" s="18" t="n">
        <x:f>MAX('数据导入'!$H$11:$H$13)</x:f>
        <x:v>68.5</x:v>
      </x:c>
    </x:row>
    <x:row r="8">
      <x:c r="A8" s="17" t="str">
        <x:v>hardness</x:v>
      </x:c>
      <x:c r="B8" s="17" t="str">
        <x:v>硬度</x:v>
      </x:c>
      <x:c r="C8" s="17" t="str">
        <x:v>N</x:v>
      </x:c>
      <x:c r="D8" s="17" t="n">
        <x:v>3</x:v>
      </x:c>
      <x:c r="E8" s="17" t="str">
        <x:v>MF</x:v>
      </x:c>
      <x:c r="F8" s="17" t="n">
        <x:f>COUNT('数据导入'!$H$14:$H$16)</x:f>
        <x:v>3</x:v>
      </x:c>
      <x:c r="G8" s="18" t="n">
        <x:f>AVERAGE('数据导入'!$H$14:$H$16)</x:f>
        <x:v>77.23333333333333</x:v>
      </x:c>
      <x:c r="H8" s="18" t="n">
        <x:f>STDEV.S('数据导入'!$H$14:$H$16)</x:f>
        <x:v>0.7505553499465134</x:v>
      </x:c>
      <x:c r="I8" s="18" t="n">
        <x:f>MIN('数据导入'!$H$14:$H$16)</x:f>
        <x:v>76.5</x:v>
      </x:c>
      <x:c r="J8" s="18" t="n">
        <x:f>MAX('数据导入'!$H$14:$H$16)</x:f>
        <x:v>78</x:v>
      </x:c>
    </x:row>
    <x:row r="9">
      <x:c r="A9" s="17" t="str">
        <x:v>hardness</x:v>
      </x:c>
      <x:c r="B9" s="17" t="str">
        <x:v>硬度</x:v>
      </x:c>
      <x:c r="C9" s="17" t="str">
        <x:v>N</x:v>
      </x:c>
      <x:c r="D9" s="17" t="n">
        <x:v>6</x:v>
      </x:c>
      <x:c r="E9" s="17" t="str">
        <x:v>CR</x:v>
      </x:c>
      <x:c r="F9" s="17" t="n">
        <x:f>COUNT('数据导入'!$H$17:$H$19)</x:f>
        <x:v>3</x:v>
      </x:c>
      <x:c r="G9" s="18" t="n">
        <x:f>AVERAGE('数据导入'!$H$17:$H$19)</x:f>
        <x:v>50.26666666666667</x:v>
      </x:c>
      <x:c r="H9" s="18" t="n">
        <x:f>STDEV.S('数据导入'!$H$17:$H$19)</x:f>
        <x:v>1.7502380790433434</x:v>
      </x:c>
      <x:c r="I9" s="18" t="n">
        <x:f>MIN('数据导入'!$H$17:$H$19)</x:f>
        <x:v>48.5</x:v>
      </x:c>
      <x:c r="J9" s="18" t="n">
        <x:f>MAX('数据导入'!$H$17:$H$19)</x:f>
        <x:v>52</x:v>
      </x:c>
    </x:row>
    <x:row r="10">
      <x:c r="A10" s="17" t="str">
        <x:v>hardness</x:v>
      </x:c>
      <x:c r="B10" s="17" t="str">
        <x:v>硬度</x:v>
      </x:c>
      <x:c r="C10" s="17" t="str">
        <x:v>N</x:v>
      </x:c>
      <x:c r="D10" s="17" t="n">
        <x:v>6</x:v>
      </x:c>
      <x:c r="E10" s="17" t="str">
        <x:v>MF</x:v>
      </x:c>
      <x:c r="F10" s="17" t="n">
        <x:f>COUNT('数据导入'!$H$20:$H$22)</x:f>
        <x:v>3</x:v>
      </x:c>
      <x:c r="G10" s="18" t="n">
        <x:f>AVERAGE('数据导入'!$H$20:$H$22)</x:f>
        <x:v>69.23333333333333</x:v>
      </x:c>
      <x:c r="H10" s="18" t="n">
        <x:f>STDEV.S('数据导入'!$H$20:$H$22)</x:f>
        <x:v>1.2503332889007368</x:v>
      </x:c>
      <x:c r="I10" s="18" t="n">
        <x:f>MIN('数据导入'!$H$20:$H$22)</x:f>
        <x:v>68</x:v>
      </x:c>
      <x:c r="J10" s="18" t="n">
        <x:f>MAX('数据导入'!$H$20:$H$22)</x:f>
        <x:v>70.5</x:v>
      </x:c>
    </x:row>
    <x:row r="11">
      <x:c r="A11" s="17" t="str">
        <x:v>hardness</x:v>
      </x:c>
      <x:c r="B11" s="17" t="str">
        <x:v>硬度</x:v>
      </x:c>
      <x:c r="C11" s="17" t="str">
        <x:v>N</x:v>
      </x:c>
      <x:c r="D11" s="17" t="n">
        <x:v>9</x:v>
      </x:c>
      <x:c r="E11" s="17" t="str">
        <x:v>CR</x:v>
      </x:c>
      <x:c r="F11" s="17" t="n">
        <x:f>COUNT('数据导入'!$H$23:$H$25)</x:f>
        <x:v>3</x:v>
      </x:c>
      <x:c r="G11" s="18" t="n">
        <x:f>AVERAGE('数据导入'!$H$23:$H$25)</x:f>
        <x:v>33.5</x:v>
      </x:c>
      <x:c r="H11" s="18" t="n">
        <x:f>STDEV.S('数据导入'!$H$23:$H$25)</x:f>
        <x:v>1.5</x:v>
      </x:c>
      <x:c r="I11" s="18" t="n">
        <x:f>MIN('数据导入'!$H$23:$H$25)</x:f>
        <x:v>32</x:v>
      </x:c>
      <x:c r="J11" s="18" t="n">
        <x:f>MAX('数据导入'!$H$23:$H$25)</x:f>
        <x:v>35</x:v>
      </x:c>
    </x:row>
    <x:row r="12">
      <x:c r="A12" s="17" t="str">
        <x:v>hardness</x:v>
      </x:c>
      <x:c r="B12" s="17" t="str">
        <x:v>硬度</x:v>
      </x:c>
      <x:c r="C12" s="17" t="str">
        <x:v>N</x:v>
      </x:c>
      <x:c r="D12" s="17" t="n">
        <x:v>9</x:v>
      </x:c>
      <x:c r="E12" s="17" t="str">
        <x:v>MF</x:v>
      </x:c>
      <x:c r="F12" s="17" t="n">
        <x:f>COUNT('数据导入'!$H$26:$H$28)</x:f>
        <x:v>3</x:v>
      </x:c>
      <x:c r="G12" s="18" t="n">
        <x:f>AVERAGE('数据导入'!$H$26:$H$28)</x:f>
        <x:v>58.5</x:v>
      </x:c>
      <x:c r="H12" s="18" t="n">
        <x:f>STDEV.S('数据导入'!$H$26:$H$28)</x:f>
        <x:v>1.5</x:v>
      </x:c>
      <x:c r="I12" s="18" t="n">
        <x:f>MIN('数据导入'!$H$26:$H$28)</x:f>
        <x:v>57</x:v>
      </x:c>
      <x:c r="J12" s="18" t="n">
        <x:f>MAX('数据导入'!$H$26:$H$28)</x:f>
        <x:v>60</x:v>
      </x:c>
    </x:row>
    <x:row r="13">
      <x:c r="A13" s="17" t="str">
        <x:v>hardness</x:v>
      </x:c>
      <x:c r="B13" s="17" t="str">
        <x:v>硬度</x:v>
      </x:c>
      <x:c r="C13" s="17" t="str">
        <x:v>N</x:v>
      </x:c>
      <x:c r="D13" s="17" t="n">
        <x:v>12</x:v>
      </x:c>
      <x:c r="E13" s="17" t="str">
        <x:v>CR</x:v>
      </x:c>
      <x:c r="F13" s="17" t="n">
        <x:f>COUNT('数据导入'!$H$29:$H$31)</x:f>
        <x:v>3</x:v>
      </x:c>
      <x:c r="G13" s="18" t="n">
        <x:f>AVERAGE('数据导入'!$H$29:$H$31)</x:f>
        <x:v>16.766666666666666</x:v>
      </x:c>
      <x:c r="H13" s="18" t="n">
        <x:f>STDEV.S('数据导入'!$H$29:$H$31)</x:f>
        <x:v>1.2503332889007368</x:v>
      </x:c>
      <x:c r="I13" s="18" t="n">
        <x:f>MIN('数据导入'!$H$29:$H$31)</x:f>
        <x:v>15.5</x:v>
      </x:c>
      <x:c r="J13" s="18" t="n">
        <x:f>MAX('数据导入'!$H$29:$H$31)</x:f>
        <x:v>18</x:v>
      </x:c>
    </x:row>
    <x:row r="14">
      <x:c r="A14" s="17" t="str">
        <x:v>hardness</x:v>
      </x:c>
      <x:c r="B14" s="17" t="str">
        <x:v>硬度</x:v>
      </x:c>
      <x:c r="C14" s="17" t="str">
        <x:v>N</x:v>
      </x:c>
      <x:c r="D14" s="17" t="n">
        <x:v>12</x:v>
      </x:c>
      <x:c r="E14" s="17" t="str">
        <x:v>MF</x:v>
      </x:c>
      <x:c r="F14" s="17" t="n">
        <x:f>COUNT('数据导入'!$H$32:$H$34)</x:f>
        <x:v>3</x:v>
      </x:c>
      <x:c r="G14" s="18" t="n">
        <x:f>AVERAGE('数据导入'!$H$32:$H$34)</x:f>
        <x:v>38.766666666666666</x:v>
      </x:c>
      <x:c r="H14" s="18" t="n">
        <x:f>STDEV.S('数据导入'!$H$32:$H$34)</x:f>
        <x:v>1.2503332889007368</x:v>
      </x:c>
      <x:c r="I14" s="18" t="n">
        <x:f>MIN('数据导入'!$H$32:$H$34)</x:f>
        <x:v>37.5</x:v>
      </x:c>
      <x:c r="J14" s="18" t="n">
        <x:f>MAX('数据导入'!$H$32:$H$34)</x:f>
        <x:v>40</x:v>
      </x:c>
    </x:row>
    <x:row r="15">
      <x:c r="A15" s="17" t="str">
        <x:v>hardness</x:v>
      </x:c>
      <x:c r="B15" s="17" t="str">
        <x:v>硬度</x:v>
      </x:c>
      <x:c r="C15" s="17" t="str">
        <x:v>N</x:v>
      </x:c>
      <x:c r="D15" s="17" t="n">
        <x:v>15</x:v>
      </x:c>
      <x:c r="E15" s="17" t="str">
        <x:v>CR</x:v>
      </x:c>
      <x:c r="F15" s="17" t="n">
        <x:f>COUNT('数据导入'!$H$35:$H$37)</x:f>
        <x:v>3</x:v>
      </x:c>
      <x:c r="G15" s="18" t="n">
        <x:f>AVERAGE('数据导入'!$H$35:$H$37)</x:f>
        <x:v>3</x:v>
      </x:c>
      <x:c r="H15" s="18" t="n">
        <x:f>STDEV.S('数据导入'!$H$35:$H$37)</x:f>
        <x:v>0.5</x:v>
      </x:c>
      <x:c r="I15" s="18" t="n">
        <x:f>MIN('数据导入'!$H$35:$H$37)</x:f>
        <x:v>2.5</x:v>
      </x:c>
      <x:c r="J15" s="18" t="n">
        <x:f>MAX('数据导入'!$H$35:$H$37)</x:f>
        <x:v>3.5</x:v>
      </x:c>
    </x:row>
    <x:row r="16">
      <x:c r="A16" s="17" t="str">
        <x:v>hardness</x:v>
      </x:c>
      <x:c r="B16" s="17" t="str">
        <x:v>硬度</x:v>
      </x:c>
      <x:c r="C16" s="17" t="str">
        <x:v>N</x:v>
      </x:c>
      <x:c r="D16" s="17" t="n">
        <x:v>15</x:v>
      </x:c>
      <x:c r="E16" s="17" t="str">
        <x:v>MF</x:v>
      </x:c>
      <x:c r="F16" s="17" t="n">
        <x:f>COUNT('数据导入'!$H$38:$H$40)</x:f>
        <x:v>3</x:v>
      </x:c>
      <x:c r="G16" s="18" t="n">
        <x:f>AVERAGE('数据导入'!$H$38:$H$40)</x:f>
        <x:v>16.233333333333334</x:v>
      </x:c>
      <x:c r="H16" s="18" t="n">
        <x:f>STDEV.S('数据导入'!$H$38:$H$40)</x:f>
        <x:v>0.7505553499465135</x:v>
      </x:c>
      <x:c r="I16" s="18" t="n">
        <x:f>MIN('数据导入'!$H$38:$H$40)</x:f>
        <x:v>15.5</x:v>
      </x:c>
      <x:c r="J16" s="18" t="n">
        <x:f>MAX('数据导入'!$H$38:$H$40)</x:f>
        <x:v>17</x:v>
      </x:c>
    </x:row>
    <x:row r="17">
      <x:c r="A17" s="17" t="str">
        <x:v>weight_loss</x:v>
      </x:c>
      <x:c r="B17" s="17" t="str">
        <x:v>失重率</x:v>
      </x:c>
      <x:c r="C17" s="17" t="str">
        <x:v>%</x:v>
      </x:c>
      <x:c r="D17" s="17" t="n">
        <x:v>0</x:v>
      </x:c>
      <x:c r="E17" s="17" t="str">
        <x:v>CR</x:v>
      </x:c>
      <x:c r="F17" s="17" t="n">
        <x:f>COUNT('数据导入'!$H$41:$H$43)</x:f>
        <x:v>3</x:v>
      </x:c>
      <x:c r="G17" s="18" t="n">
        <x:f>AVERAGE('数据导入'!$H$41:$H$43)</x:f>
        <x:v>0</x:v>
      </x:c>
      <x:c r="H17" s="18" t="n">
        <x:f>STDEV.S('数据导入'!$H$41:$H$43)</x:f>
        <x:v>0</x:v>
      </x:c>
      <x:c r="I17" s="18" t="n">
        <x:f>MIN('数据导入'!$H$41:$H$43)</x:f>
        <x:v>0</x:v>
      </x:c>
      <x:c r="J17" s="18" t="n">
        <x:f>MAX('数据导入'!$H$41:$H$43)</x:f>
        <x:v>0</x:v>
      </x:c>
    </x:row>
    <x:row r="18">
      <x:c r="A18" s="17" t="str">
        <x:v>weight_loss</x:v>
      </x:c>
      <x:c r="B18" s="17" t="str">
        <x:v>失重率</x:v>
      </x:c>
      <x:c r="C18" s="17" t="str">
        <x:v>%</x:v>
      </x:c>
      <x:c r="D18" s="17" t="n">
        <x:v>0</x:v>
      </x:c>
      <x:c r="E18" s="17" t="str">
        <x:v>MF</x:v>
      </x:c>
      <x:c r="F18" s="17" t="n">
        <x:f>COUNT('数据导入'!$H$44:$H$46)</x:f>
        <x:v>3</x:v>
      </x:c>
      <x:c r="G18" s="18" t="n">
        <x:f>AVERAGE('数据导入'!$H$44:$H$46)</x:f>
        <x:v>0</x:v>
      </x:c>
      <x:c r="H18" s="18" t="n">
        <x:f>STDEV.S('数据导入'!$H$44:$H$46)</x:f>
        <x:v>0</x:v>
      </x:c>
      <x:c r="I18" s="18" t="n">
        <x:f>MIN('数据导入'!$H$44:$H$46)</x:f>
        <x:v>0</x:v>
      </x:c>
      <x:c r="J18" s="18" t="n">
        <x:f>MAX('数据导入'!$H$44:$H$46)</x:f>
        <x:v>0</x:v>
      </x:c>
    </x:row>
    <x:row r="19">
      <x:c r="A19" s="17" t="str">
        <x:v>weight_loss</x:v>
      </x:c>
      <x:c r="B19" s="17" t="str">
        <x:v>失重率</x:v>
      </x:c>
      <x:c r="C19" s="17" t="str">
        <x:v>%</x:v>
      </x:c>
      <x:c r="D19" s="17" t="n">
        <x:v>3</x:v>
      </x:c>
      <x:c r="E19" s="17" t="str">
        <x:v>CR</x:v>
      </x:c>
      <x:c r="F19" s="17" t="n">
        <x:f>COUNT('数据导入'!$H$47:$H$49)</x:f>
        <x:v>3</x:v>
      </x:c>
      <x:c r="G19" s="18" t="n">
        <x:f>AVERAGE('数据导入'!$H$47:$H$49)</x:f>
        <x:v>2.3</x:v>
      </x:c>
      <x:c r="H19" s="18" t="n">
        <x:f>STDEV.S('数据导入'!$H$47:$H$49)</x:f>
        <x:v>0.19999999999999996</x:v>
      </x:c>
      <x:c r="I19" s="18" t="n">
        <x:f>MIN('数据导入'!$H$47:$H$49)</x:f>
        <x:v>2.1</x:v>
      </x:c>
      <x:c r="J19" s="18" t="n">
        <x:f>MAX('数据导入'!$H$47:$H$49)</x:f>
        <x:v>2.5</x:v>
      </x:c>
    </x:row>
    <x:row r="20">
      <x:c r="A20" s="17" t="str">
        <x:v>weight_loss</x:v>
      </x:c>
      <x:c r="B20" s="17" t="str">
        <x:v>失重率</x:v>
      </x:c>
      <x:c r="C20" s="17" t="str">
        <x:v>%</x:v>
      </x:c>
      <x:c r="D20" s="17" t="n">
        <x:v>3</x:v>
      </x:c>
      <x:c r="E20" s="17" t="str">
        <x:v>MF</x:v>
      </x:c>
      <x:c r="F20" s="17" t="n">
        <x:f>COUNT('数据导入'!$H$50:$H$52)</x:f>
        <x:v>3</x:v>
      </x:c>
      <x:c r="G20" s="18" t="n">
        <x:f>AVERAGE('数据导入'!$H$50:$H$52)</x:f>
        <x:v>1.1</x:v>
      </x:c>
      <x:c r="H20" s="18" t="n">
        <x:f>STDEV.S('数据导入'!$H$50:$H$52)</x:f>
        <x:v>0.09999999999999998</x:v>
      </x:c>
      <x:c r="I20" s="18" t="n">
        <x:f>MIN('数据导入'!$H$50:$H$52)</x:f>
        <x:v>1</x:v>
      </x:c>
      <x:c r="J20" s="18" t="n">
        <x:f>MAX('数据导入'!$H$50:$H$52)</x:f>
        <x:v>1.2</x:v>
      </x:c>
    </x:row>
    <x:row r="21">
      <x:c r="A21" s="17" t="str">
        <x:v>weight_loss</x:v>
      </x:c>
      <x:c r="B21" s="17" t="str">
        <x:v>失重率</x:v>
      </x:c>
      <x:c r="C21" s="17" t="str">
        <x:v>%</x:v>
      </x:c>
      <x:c r="D21" s="17" t="n">
        <x:v>6</x:v>
      </x:c>
      <x:c r="E21" s="17" t="str">
        <x:v>CR</x:v>
      </x:c>
      <x:c r="F21" s="17" t="n">
        <x:f>COUNT('数据导入'!$H$53:$H$55)</x:f>
        <x:v>3</x:v>
      </x:c>
      <x:c r="G21" s="18" t="n">
        <x:f>AVERAGE('数据导入'!$H$53:$H$55)</x:f>
        <x:v>5.766666666666667</x:v>
      </x:c>
      <x:c r="H21" s="18" t="n">
        <x:f>STDEV.S('数据导入'!$H$53:$H$55)</x:f>
        <x:v>0.2516611478423583</x:v>
      </x:c>
      <x:c r="I21" s="18" t="n">
        <x:f>MIN('数据导入'!$H$53:$H$55)</x:f>
        <x:v>5.5</x:v>
      </x:c>
      <x:c r="J21" s="18" t="n">
        <x:f>MAX('数据导入'!$H$53:$H$55)</x:f>
        <x:v>6</x:v>
      </x:c>
    </x:row>
    <x:row r="22">
      <x:c r="A22" s="17" t="str">
        <x:v>weight_loss</x:v>
      </x:c>
      <x:c r="B22" s="17" t="str">
        <x:v>失重率</x:v>
      </x:c>
      <x:c r="C22" s="17" t="str">
        <x:v>%</x:v>
      </x:c>
      <x:c r="D22" s="17" t="n">
        <x:v>6</x:v>
      </x:c>
      <x:c r="E22" s="17" t="str">
        <x:v>MF</x:v>
      </x:c>
      <x:c r="F22" s="17" t="n">
        <x:f>COUNT('数据导入'!$H$56:$H$58)</x:f>
        <x:v>3</x:v>
      </x:c>
      <x:c r="G22" s="18" t="n">
        <x:f>AVERAGE('数据导入'!$H$56:$H$58)</x:f>
        <x:v>3</x:v>
      </x:c>
      <x:c r="H22" s="18" t="n">
        <x:f>STDEV.S('数据导入'!$H$56:$H$58)</x:f>
        <x:v>0.20000000000000018</x:v>
      </x:c>
      <x:c r="I22" s="18" t="n">
        <x:f>MIN('数据导入'!$H$56:$H$58)</x:f>
        <x:v>2.8</x:v>
      </x:c>
      <x:c r="J22" s="18" t="n">
        <x:f>MAX('数据导入'!$H$56:$H$58)</x:f>
        <x:v>3.2</x:v>
      </x:c>
    </x:row>
    <x:row r="23">
      <x:c r="A23" s="17" t="str">
        <x:v>weight_loss</x:v>
      </x:c>
      <x:c r="B23" s="17" t="str">
        <x:v>失重率</x:v>
      </x:c>
      <x:c r="C23" s="17" t="str">
        <x:v>%</x:v>
      </x:c>
      <x:c r="D23" s="17" t="n">
        <x:v>9</x:v>
      </x:c>
      <x:c r="E23" s="17" t="str">
        <x:v>CR</x:v>
      </x:c>
      <x:c r="F23" s="17" t="n">
        <x:f>COUNT('数据导入'!$H$59:$H$61)</x:f>
        <x:v>3</x:v>
      </x:c>
      <x:c r="G23" s="18" t="n">
        <x:f>AVERAGE('数据导入'!$H$59:$H$61)</x:f>
        <x:v>9.266666666666667</x:v>
      </x:c>
      <x:c r="H23" s="18" t="n">
        <x:f>STDEV.S('数据导入'!$H$59:$H$61)</x:f>
        <x:v>0.2516611478423584</x:v>
      </x:c>
      <x:c r="I23" s="18" t="n">
        <x:f>MIN('数据导入'!$H$59:$H$61)</x:f>
        <x:v>9</x:v>
      </x:c>
      <x:c r="J23" s="18" t="n">
        <x:f>MAX('数据导入'!$H$59:$H$61)</x:f>
        <x:v>9.5</x:v>
      </x:c>
    </x:row>
    <x:row r="24">
      <x:c r="A24" s="17" t="str">
        <x:v>weight_loss</x:v>
      </x:c>
      <x:c r="B24" s="17" t="str">
        <x:v>失重率</x:v>
      </x:c>
      <x:c r="C24" s="17" t="str">
        <x:v>%</x:v>
      </x:c>
      <x:c r="D24" s="17" t="n">
        <x:v>9</x:v>
      </x:c>
      <x:c r="E24" s="17" t="str">
        <x:v>MF</x:v>
      </x:c>
      <x:c r="F24" s="17" t="n">
        <x:f>COUNT('数据导入'!$H$62:$H$64)</x:f>
        <x:v>3</x:v>
      </x:c>
      <x:c r="G24" s="18" t="n">
        <x:f>AVERAGE('数据导入'!$H$62:$H$64)</x:f>
        <x:v>4.766666666666667</x:v>
      </x:c>
      <x:c r="H24" s="18" t="n">
        <x:f>STDEV.S('数据导入'!$H$62:$H$64)</x:f>
        <x:v>0.2516611478423583</x:v>
      </x:c>
      <x:c r="I24" s="18" t="n">
        <x:f>MIN('数据导入'!$H$62:$H$64)</x:f>
        <x:v>4.5</x:v>
      </x:c>
      <x:c r="J24" s="18" t="n">
        <x:f>MAX('数据导入'!$H$62:$H$64)</x:f>
        <x:v>5</x:v>
      </x:c>
    </x:row>
    <x:row r="25">
      <x:c r="A25" s="17" t="str">
        <x:v>weight_loss</x:v>
      </x:c>
      <x:c r="B25" s="17" t="str">
        <x:v>失重率</x:v>
      </x:c>
      <x:c r="C25" s="17" t="str">
        <x:v>%</x:v>
      </x:c>
      <x:c r="D25" s="17" t="n">
        <x:v>12</x:v>
      </x:c>
      <x:c r="E25" s="17" t="str">
        <x:v>CR</x:v>
      </x:c>
      <x:c r="F25" s="17" t="n">
        <x:f>COUNT('数据导入'!$H$65:$H$67)</x:f>
        <x:v>3</x:v>
      </x:c>
      <x:c r="G25" s="18" t="n">
        <x:f>AVERAGE('数据导入'!$H$65:$H$67)</x:f>
        <x:v>13.766666666666666</x:v>
      </x:c>
      <x:c r="H25" s="18" t="n">
        <x:f>STDEV.S('数据导入'!$H$65:$H$67)</x:f>
        <x:v>0.2516611478423584</x:v>
      </x:c>
      <x:c r="I25" s="18" t="n">
        <x:f>MIN('数据导入'!$H$65:$H$67)</x:f>
        <x:v>13.5</x:v>
      </x:c>
      <x:c r="J25" s="18" t="n">
        <x:f>MAX('数据导入'!$H$65:$H$67)</x:f>
        <x:v>14</x:v>
      </x:c>
    </x:row>
    <x:row r="26">
      <x:c r="A26" s="17" t="str">
        <x:v>weight_loss</x:v>
      </x:c>
      <x:c r="B26" s="17" t="str">
        <x:v>失重率</x:v>
      </x:c>
      <x:c r="C26" s="17" t="str">
        <x:v>%</x:v>
      </x:c>
      <x:c r="D26" s="17" t="n">
        <x:v>12</x:v>
      </x:c>
      <x:c r="E26" s="17" t="str">
        <x:v>MF</x:v>
      </x:c>
      <x:c r="F26" s="17" t="n">
        <x:f>COUNT('数据导入'!$H$68:$H$70)</x:f>
        <x:v>3</x:v>
      </x:c>
      <x:c r="G26" s="18" t="n">
        <x:f>AVERAGE('数据导入'!$H$68:$H$70)</x:f>
        <x:v>6.766666666666667</x:v>
      </x:c>
      <x:c r="H26" s="18" t="n">
        <x:f>STDEV.S('数据导入'!$H$68:$H$70)</x:f>
        <x:v>0.2516611478423583</x:v>
      </x:c>
      <x:c r="I26" s="18" t="n">
        <x:f>MIN('数据导入'!$H$68:$H$70)</x:f>
        <x:v>6.5</x:v>
      </x:c>
      <x:c r="J26" s="18" t="n">
        <x:f>MAX('数据导入'!$H$68:$H$70)</x:f>
        <x:v>7</x:v>
      </x:c>
    </x:row>
    <x:row r="27">
      <x:c r="A27" s="17" t="str">
        <x:v>weight_loss</x:v>
      </x:c>
      <x:c r="B27" s="17" t="str">
        <x:v>失重率</x:v>
      </x:c>
      <x:c r="C27" s="17" t="str">
        <x:v>%</x:v>
      </x:c>
      <x:c r="D27" s="17" t="n">
        <x:v>15</x:v>
      </x:c>
      <x:c r="E27" s="17" t="str">
        <x:v>CR</x:v>
      </x:c>
      <x:c r="F27" s="17" t="n">
        <x:f>COUNT('数据导入'!$H$71:$H$73)</x:f>
        <x:v>3</x:v>
      </x:c>
      <x:c r="G27" s="18" t="n">
        <x:f>AVERAGE('数据导入'!$H$71:$H$73)</x:f>
        <x:v>18.233333333333334</x:v>
      </x:c>
      <x:c r="H27" s="18" t="n">
        <x:f>STDEV.S('数据导入'!$H$71:$H$73)</x:f>
        <x:v>0.2516611478423584</x:v>
      </x:c>
      <x:c r="I27" s="18" t="n">
        <x:f>MIN('数据导入'!$H$71:$H$73)</x:f>
        <x:v>18</x:v>
      </x:c>
      <x:c r="J27" s="18" t="n">
        <x:f>MAX('数据导入'!$H$71:$H$73)</x:f>
        <x:v>18.5</x:v>
      </x:c>
    </x:row>
    <x:row r="28">
      <x:c r="A28" s="17" t="str">
        <x:v>weight_loss</x:v>
      </x:c>
      <x:c r="B28" s="17" t="str">
        <x:v>失重率</x:v>
      </x:c>
      <x:c r="C28" s="17" t="str">
        <x:v>%</x:v>
      </x:c>
      <x:c r="D28" s="17" t="n">
        <x:v>15</x:v>
      </x:c>
      <x:c r="E28" s="17" t="str">
        <x:v>MF</x:v>
      </x:c>
      <x:c r="F28" s="17" t="n">
        <x:f>COUNT('数据导入'!$H$74:$H$76)</x:f>
        <x:v>3</x:v>
      </x:c>
      <x:c r="G28" s="18" t="n">
        <x:f>AVERAGE('数据导入'!$H$74:$H$76)</x:f>
        <x:v>7.766666666666667</x:v>
      </x:c>
      <x:c r="H28" s="18" t="n">
        <x:f>STDEV.S('数据导入'!$H$74:$H$76)</x:f>
        <x:v>0.2516611478423583</x:v>
      </x:c>
      <x:c r="I28" s="18" t="n">
        <x:f>MIN('数据导入'!$H$74:$H$76)</x:f>
        <x:v>7.5</x:v>
      </x:c>
      <x:c r="J28" s="18" t="n">
        <x:f>MAX('数据导入'!$H$74:$H$76)</x:f>
        <x:v>8</x:v>
      </x:c>
    </x:row>
    <x:row r="29">
      <x:c r="A29" s="17" t="str">
        <x:v>wsp</x:v>
      </x:c>
      <x:c r="B29" s="17" t="str">
        <x:v>水溶性果胶</x:v>
      </x:c>
      <x:c r="C29" s="17" t="str">
        <x:v>mg/g</x:v>
      </x:c>
      <x:c r="D29" s="17" t="n">
        <x:v>0</x:v>
      </x:c>
      <x:c r="E29" s="17" t="str">
        <x:v>CR</x:v>
      </x:c>
      <x:c r="F29" s="17" t="n">
        <x:f>COUNT('数据导入'!$H$77:$H$79)</x:f>
        <x:v>3</x:v>
      </x:c>
      <x:c r="G29" s="18" t="n">
        <x:f>AVERAGE('数据导入'!$H$77:$H$79)</x:f>
        <x:v>2.5</x:v>
      </x:c>
      <x:c r="H29" s="18" t="n">
        <x:f>STDEV.S('数据导入'!$H$77:$H$79)</x:f>
        <x:v>0.10000000000000009</x:v>
      </x:c>
      <x:c r="I29" s="18" t="n">
        <x:f>MIN('数据导入'!$H$77:$H$79)</x:f>
        <x:v>2.4</x:v>
      </x:c>
      <x:c r="J29" s="18" t="n">
        <x:f>MAX('数据导入'!$H$77:$H$79)</x:f>
        <x:v>2.6</x:v>
      </x:c>
    </x:row>
    <x:row r="30">
      <x:c r="A30" s="17" t="str">
        <x:v>wsp</x:v>
      </x:c>
      <x:c r="B30" s="17" t="str">
        <x:v>水溶性果胶</x:v>
      </x:c>
      <x:c r="C30" s="17" t="str">
        <x:v>mg/g</x:v>
      </x:c>
      <x:c r="D30" s="17" t="n">
        <x:v>0</x:v>
      </x:c>
      <x:c r="E30" s="17" t="str">
        <x:v>MF</x:v>
      </x:c>
      <x:c r="F30" s="17" t="n">
        <x:f>COUNT('数据导入'!$H$80:$H$82)</x:f>
        <x:v>3</x:v>
      </x:c>
      <x:c r="G30" s="18" t="n">
        <x:f>AVERAGE('数据导入'!$H$80:$H$82)</x:f>
        <x:v>2.5</x:v>
      </x:c>
      <x:c r="H30" s="18" t="n">
        <x:f>STDEV.S('数据导入'!$H$80:$H$82)</x:f>
        <x:v>0.10000000000000009</x:v>
      </x:c>
      <x:c r="I30" s="18" t="n">
        <x:f>MIN('数据导入'!$H$80:$H$82)</x:f>
        <x:v>2.4</x:v>
      </x:c>
      <x:c r="J30" s="18" t="n">
        <x:f>MAX('数据导入'!$H$80:$H$82)</x:f>
        <x:v>2.6</x:v>
      </x:c>
    </x:row>
    <x:row r="31">
      <x:c r="A31" s="17" t="str">
        <x:v>wsp</x:v>
      </x:c>
      <x:c r="B31" s="17" t="str">
        <x:v>水溶性果胶</x:v>
      </x:c>
      <x:c r="C31" s="17" t="str">
        <x:v>mg/g</x:v>
      </x:c>
      <x:c r="D31" s="17" t="n">
        <x:v>3</x:v>
      </x:c>
      <x:c r="E31" s="17" t="str">
        <x:v>CR</x:v>
      </x:c>
      <x:c r="F31" s="17" t="n">
        <x:f>COUNT('数据导入'!$H$83:$H$85)</x:f>
        <x:v>3</x:v>
      </x:c>
      <x:c r="G31" s="18" t="n">
        <x:f>AVERAGE('数据导入'!$H$83:$H$85)</x:f>
        <x:v>3.9</x:v>
      </x:c>
      <x:c r="H31" s="18" t="n">
        <x:f>STDEV.S('数据导入'!$H$83:$H$85)</x:f>
        <x:v>0.10000000000000009</x:v>
      </x:c>
      <x:c r="I31" s="18" t="n">
        <x:f>MIN('数据导入'!$H$83:$H$85)</x:f>
        <x:v>3.8</x:v>
      </x:c>
      <x:c r="J31" s="18" t="n">
        <x:f>MAX('数据导入'!$H$83:$H$85)</x:f>
        <x:v>4</x:v>
      </x:c>
    </x:row>
    <x:row r="32">
      <x:c r="A32" s="17" t="str">
        <x:v>wsp</x:v>
      </x:c>
      <x:c r="B32" s="17" t="str">
        <x:v>水溶性果胶</x:v>
      </x:c>
      <x:c r="C32" s="17" t="str">
        <x:v>mg/g</x:v>
      </x:c>
      <x:c r="D32" s="17" t="n">
        <x:v>3</x:v>
      </x:c>
      <x:c r="E32" s="17" t="str">
        <x:v>MF</x:v>
      </x:c>
      <x:c r="F32" s="17" t="n">
        <x:f>COUNT('数据导入'!$H$86:$H$88)</x:f>
        <x:v>3</x:v>
      </x:c>
      <x:c r="G32" s="18" t="n">
        <x:f>AVERAGE('数据导入'!$H$86:$H$88)</x:f>
        <x:v>3.1999999999999997</x:v>
      </x:c>
      <x:c r="H32" s="18" t="n">
        <x:f>STDEV.S('数据导入'!$H$86:$H$88)</x:f>
        <x:v>0.09999999999999987</x:v>
      </x:c>
      <x:c r="I32" s="18" t="n">
        <x:f>MIN('数据导入'!$H$86:$H$88)</x:f>
        <x:v>3.1</x:v>
      </x:c>
      <x:c r="J32" s="18" t="n">
        <x:f>MAX('数据导入'!$H$86:$H$88)</x:f>
        <x:v>3.3</x:v>
      </x:c>
    </x:row>
    <x:row r="33">
      <x:c r="A33" s="17" t="str">
        <x:v>wsp</x:v>
      </x:c>
      <x:c r="B33" s="17" t="str">
        <x:v>水溶性果胶</x:v>
      </x:c>
      <x:c r="C33" s="17" t="str">
        <x:v>mg/g</x:v>
      </x:c>
      <x:c r="D33" s="17" t="n">
        <x:v>6</x:v>
      </x:c>
      <x:c r="E33" s="17" t="str">
        <x:v>CR</x:v>
      </x:c>
      <x:c r="F33" s="17" t="n">
        <x:f>COUNT('数据导入'!$H$89:$H$91)</x:f>
        <x:v>3</x:v>
      </x:c>
      <x:c r="G33" s="18" t="n">
        <x:f>AVERAGE('数据导入'!$H$89:$H$91)</x:f>
        <x:v>5.5</x:v>
      </x:c>
      <x:c r="H33" s="18" t="n">
        <x:f>STDEV.S('数据导入'!$H$89:$H$91)</x:f>
        <x:v>0.09999999999999964</x:v>
      </x:c>
      <x:c r="I33" s="18" t="n">
        <x:f>MIN('数据导入'!$H$89:$H$91)</x:f>
        <x:v>5.4</x:v>
      </x:c>
      <x:c r="J33" s="18" t="n">
        <x:f>MAX('数据导入'!$H$89:$H$91)</x:f>
        <x:v>5.6</x:v>
      </x:c>
    </x:row>
    <x:row r="34">
      <x:c r="A34" s="17" t="str">
        <x:v>wsp</x:v>
      </x:c>
      <x:c r="B34" s="17" t="str">
        <x:v>水溶性果胶</x:v>
      </x:c>
      <x:c r="C34" s="17" t="str">
        <x:v>mg/g</x:v>
      </x:c>
      <x:c r="D34" s="17" t="n">
        <x:v>6</x:v>
      </x:c>
      <x:c r="E34" s="17" t="str">
        <x:v>MF</x:v>
      </x:c>
      <x:c r="F34" s="17" t="n">
        <x:f>COUNT('数据导入'!$H$92:$H$94)</x:f>
        <x:v>3</x:v>
      </x:c>
      <x:c r="G34" s="18" t="n">
        <x:f>AVERAGE('数据导入'!$H$92:$H$94)</x:f>
        <x:v>4.3</x:v>
      </x:c>
      <x:c r="H34" s="18" t="n">
        <x:f>STDEV.S('数据导入'!$H$92:$H$94)</x:f>
        <x:v>0.10000000000000009</x:v>
      </x:c>
      <x:c r="I34" s="18" t="n">
        <x:f>MIN('数据导入'!$H$92:$H$94)</x:f>
        <x:v>4.2</x:v>
      </x:c>
      <x:c r="J34" s="18" t="n">
        <x:f>MAX('数据导入'!$H$92:$H$94)</x:f>
        <x:v>4.4</x:v>
      </x:c>
    </x:row>
    <x:row r="35">
      <x:c r="A35" s="17" t="str">
        <x:v>wsp</x:v>
      </x:c>
      <x:c r="B35" s="17" t="str">
        <x:v>水溶性果胶</x:v>
      </x:c>
      <x:c r="C35" s="17" t="str">
        <x:v>mg/g</x:v>
      </x:c>
      <x:c r="D35" s="17" t="n">
        <x:v>9</x:v>
      </x:c>
      <x:c r="E35" s="17" t="str">
        <x:v>CR</x:v>
      </x:c>
      <x:c r="F35" s="17" t="n">
        <x:f>COUNT('数据导入'!$H$95:$H$97)</x:f>
        <x:v>3</x:v>
      </x:c>
      <x:c r="G35" s="18" t="n">
        <x:f>AVERAGE('数据导入'!$H$95:$H$97)</x:f>
        <x:v>7.2</x:v>
      </x:c>
      <x:c r="H35" s="18" t="n">
        <x:f>STDEV.S('数据导入'!$H$95:$H$97)</x:f>
        <x:v>0.10000000000000009</x:v>
      </x:c>
      <x:c r="I35" s="18" t="n">
        <x:f>MIN('数据导入'!$H$95:$H$97)</x:f>
        <x:v>7.1</x:v>
      </x:c>
      <x:c r="J35" s="18" t="n">
        <x:f>MAX('数据导入'!$H$95:$H$97)</x:f>
        <x:v>7.3</x:v>
      </x:c>
    </x:row>
    <x:row r="36">
      <x:c r="A36" s="17" t="str">
        <x:v>wsp</x:v>
      </x:c>
      <x:c r="B36" s="17" t="str">
        <x:v>水溶性果胶</x:v>
      </x:c>
      <x:c r="C36" s="17" t="str">
        <x:v>mg/g</x:v>
      </x:c>
      <x:c r="D36" s="17" t="n">
        <x:v>9</x:v>
      </x:c>
      <x:c r="E36" s="17" t="str">
        <x:v>MF</x:v>
      </x:c>
      <x:c r="F36" s="17" t="n">
        <x:f>COUNT('数据导入'!$H$98:$H$100)</x:f>
        <x:v>3</x:v>
      </x:c>
      <x:c r="G36" s="18" t="n">
        <x:f>AVERAGE('数据导入'!$H$98:$H$100)</x:f>
        <x:v>5.5</x:v>
      </x:c>
      <x:c r="H36" s="18" t="n">
        <x:f>STDEV.S('数据导入'!$H$98:$H$100)</x:f>
        <x:v>0.09999999999999964</x:v>
      </x:c>
      <x:c r="I36" s="18" t="n">
        <x:f>MIN('数据导入'!$H$98:$H$100)</x:f>
        <x:v>5.4</x:v>
      </x:c>
      <x:c r="J36" s="18" t="n">
        <x:f>MAX('数据导入'!$H$98:$H$100)</x:f>
        <x:v>5.6</x:v>
      </x:c>
    </x:row>
    <x:row r="37">
      <x:c r="A37" s="17" t="str">
        <x:v>wsp</x:v>
      </x:c>
      <x:c r="B37" s="17" t="str">
        <x:v>水溶性果胶</x:v>
      </x:c>
      <x:c r="C37" s="17" t="str">
        <x:v>mg/g</x:v>
      </x:c>
      <x:c r="D37" s="17" t="n">
        <x:v>12</x:v>
      </x:c>
      <x:c r="E37" s="17" t="str">
        <x:v>CR</x:v>
      </x:c>
      <x:c r="F37" s="17" t="n">
        <x:f>COUNT('数据导入'!$H$101:$H$103)</x:f>
        <x:v>3</x:v>
      </x:c>
      <x:c r="G37" s="18" t="n">
        <x:f>AVERAGE('数据导入'!$H$101:$H$103)</x:f>
        <x:v>9</x:v>
      </x:c>
      <x:c r="H37" s="18" t="n">
        <x:f>STDEV.S('数据导入'!$H$101:$H$103)</x:f>
        <x:v>0.09999999999999964</x:v>
      </x:c>
      <x:c r="I37" s="18" t="n">
        <x:f>MIN('数据导入'!$H$101:$H$103)</x:f>
        <x:v>8.9</x:v>
      </x:c>
      <x:c r="J37" s="18" t="n">
        <x:f>MAX('数据导入'!$H$101:$H$103)</x:f>
        <x:v>9.1</x:v>
      </x:c>
    </x:row>
    <x:row r="38">
      <x:c r="A38" s="17" t="str">
        <x:v>wsp</x:v>
      </x:c>
      <x:c r="B38" s="17" t="str">
        <x:v>水溶性果胶</x:v>
      </x:c>
      <x:c r="C38" s="17" t="str">
        <x:v>mg/g</x:v>
      </x:c>
      <x:c r="D38" s="17" t="n">
        <x:v>12</x:v>
      </x:c>
      <x:c r="E38" s="17" t="str">
        <x:v>MF</x:v>
      </x:c>
      <x:c r="F38" s="17" t="n">
        <x:f>COUNT('数据导入'!$H$104:$H$106)</x:f>
        <x:v>3</x:v>
      </x:c>
      <x:c r="G38" s="18" t="n">
        <x:f>AVERAGE('数据导入'!$H$104:$H$106)</x:f>
        <x:v>6.8</x:v>
      </x:c>
      <x:c r="H38" s="18" t="n">
        <x:f>STDEV.S('数据导入'!$H$104:$H$106)</x:f>
        <x:v>0.10000000000000009</x:v>
      </x:c>
      <x:c r="I38" s="18" t="n">
        <x:f>MIN('数据导入'!$H$104:$H$106)</x:f>
        <x:v>6.7</x:v>
      </x:c>
      <x:c r="J38" s="18" t="n">
        <x:f>MAX('数据导入'!$H$104:$H$106)</x:f>
        <x:v>6.9</x:v>
      </x:c>
    </x:row>
    <x:row r="39">
      <x:c r="A39" s="17" t="str">
        <x:v>wsp</x:v>
      </x:c>
      <x:c r="B39" s="17" t="str">
        <x:v>水溶性果胶</x:v>
      </x:c>
      <x:c r="C39" s="17" t="str">
        <x:v>mg/g</x:v>
      </x:c>
      <x:c r="D39" s="17" t="n">
        <x:v>15</x:v>
      </x:c>
      <x:c r="E39" s="17" t="str">
        <x:v>CR</x:v>
      </x:c>
      <x:c r="F39" s="17" t="n">
        <x:f>COUNT('数据导入'!$H$107:$H$109)</x:f>
        <x:v>3</x:v>
      </x:c>
      <x:c r="G39" s="18" t="n">
        <x:f>AVERAGE('数据导入'!$H$107:$H$109)</x:f>
        <x:v>10.5</x:v>
      </x:c>
      <x:c r="H39" s="18" t="n">
        <x:f>STDEV.S('数据导入'!$H$107:$H$109)</x:f>
        <x:v>0.09999999999999964</x:v>
      </x:c>
      <x:c r="I39" s="18" t="n">
        <x:f>MIN('数据导入'!$H$107:$H$109)</x:f>
        <x:v>10.4</x:v>
      </x:c>
      <x:c r="J39" s="18" t="n">
        <x:f>MAX('数据导入'!$H$107:$H$109)</x:f>
        <x:v>10.6</x:v>
      </x:c>
    </x:row>
    <x:row r="40">
      <x:c r="A40" s="17" t="str">
        <x:v>wsp</x:v>
      </x:c>
      <x:c r="B40" s="17" t="str">
        <x:v>水溶性果胶</x:v>
      </x:c>
      <x:c r="C40" s="17" t="str">
        <x:v>mg/g</x:v>
      </x:c>
      <x:c r="D40" s="17" t="n">
        <x:v>15</x:v>
      </x:c>
      <x:c r="E40" s="17" t="str">
        <x:v>MF</x:v>
      </x:c>
      <x:c r="F40" s="17" t="n">
        <x:f>COUNT('数据导入'!$H$110:$H$112)</x:f>
        <x:v>3</x:v>
      </x:c>
      <x:c r="G40" s="18" t="n">
        <x:f>AVERAGE('数据导入'!$H$110:$H$112)</x:f>
        <x:v>8</x:v>
      </x:c>
      <x:c r="H40" s="18" t="n">
        <x:f>STDEV.S('数据导入'!$H$110:$H$112)</x:f>
        <x:v>0.09999999999999964</x:v>
      </x:c>
      <x:c r="I40" s="18" t="n">
        <x:f>MIN('数据导入'!$H$110:$H$112)</x:f>
        <x:v>7.9</x:v>
      </x:c>
      <x:c r="J40" s="18" t="n">
        <x:f>MAX('数据导入'!$H$110:$H$112)</x:f>
        <x:v>8.1</x:v>
      </x:c>
    </x:row>
    <x:row r="41">
      <x:c r="A41" s="17" t="str">
        <x:v>pg</x:v>
      </x:c>
      <x:c r="B41" s="17" t="str">
        <x:v>多聚半乳糖醛酸酶活性</x:v>
      </x:c>
      <x:c r="C41" s="17" t="str">
        <x:v>U/kg</x:v>
      </x:c>
      <x:c r="D41" s="17" t="n">
        <x:v>0</x:v>
      </x:c>
      <x:c r="E41" s="17" t="str">
        <x:v>CR</x:v>
      </x:c>
      <x:c r="F41" s="17" t="n">
        <x:f>COUNT('数据导入'!$H$113:$H$115)</x:f>
        <x:v>3</x:v>
      </x:c>
      <x:c r="G41" s="18" t="n">
        <x:f>AVERAGE('数据导入'!$H$113:$H$115)</x:f>
        <x:v>5</x:v>
      </x:c>
      <x:c r="H41" s="18" t="n">
        <x:f>STDEV.S('数据导入'!$H$113:$H$115)</x:f>
        <x:v>0.09999999999999964</x:v>
      </x:c>
      <x:c r="I41" s="18" t="n">
        <x:f>MIN('数据导入'!$H$113:$H$115)</x:f>
        <x:v>4.9</x:v>
      </x:c>
      <x:c r="J41" s="18" t="n">
        <x:f>MAX('数据导入'!$H$113:$H$115)</x:f>
        <x:v>5.1</x:v>
      </x:c>
    </x:row>
    <x:row r="42">
      <x:c r="A42" s="17" t="str">
        <x:v>pg</x:v>
      </x:c>
      <x:c r="B42" s="17" t="str">
        <x:v>多聚半乳糖醛酸酶活性</x:v>
      </x:c>
      <x:c r="C42" s="17" t="str">
        <x:v>U/kg</x:v>
      </x:c>
      <x:c r="D42" s="17" t="n">
        <x:v>0</x:v>
      </x:c>
      <x:c r="E42" s="17" t="str">
        <x:v>MF</x:v>
      </x:c>
      <x:c r="F42" s="17" t="n">
        <x:f>COUNT('数据导入'!$H$116:$H$118)</x:f>
        <x:v>3</x:v>
      </x:c>
      <x:c r="G42" s="18" t="n">
        <x:f>AVERAGE('数据导入'!$H$116:$H$118)</x:f>
        <x:v>5</x:v>
      </x:c>
      <x:c r="H42" s="18" t="n">
        <x:f>STDEV.S('数据导入'!$H$116:$H$118)</x:f>
        <x:v>0.09999999999999964</x:v>
      </x:c>
      <x:c r="I42" s="18" t="n">
        <x:f>MIN('数据导入'!$H$116:$H$118)</x:f>
        <x:v>4.9</x:v>
      </x:c>
      <x:c r="J42" s="18" t="n">
        <x:f>MAX('数据导入'!$H$116:$H$118)</x:f>
        <x:v>5.1</x:v>
      </x:c>
    </x:row>
    <x:row r="43">
      <x:c r="A43" s="17" t="str">
        <x:v>pg</x:v>
      </x:c>
      <x:c r="B43" s="17" t="str">
        <x:v>多聚半乳糖醛酸酶活性</x:v>
      </x:c>
      <x:c r="C43" s="17" t="str">
        <x:v>U/kg</x:v>
      </x:c>
      <x:c r="D43" s="17" t="n">
        <x:v>3</x:v>
      </x:c>
      <x:c r="E43" s="17" t="str">
        <x:v>CR</x:v>
      </x:c>
      <x:c r="F43" s="17" t="n">
        <x:f>COUNT('数据导入'!$H$119:$H$121)</x:f>
        <x:v>3</x:v>
      </x:c>
      <x:c r="G43" s="18" t="n">
        <x:f>AVERAGE('数据导入'!$H$119:$H$121)</x:f>
        <x:v>8.5</x:v>
      </x:c>
      <x:c r="H43" s="18" t="n">
        <x:f>STDEV.S('数据导入'!$H$119:$H$121)</x:f>
        <x:v>0.09999999999999964</x:v>
      </x:c>
      <x:c r="I43" s="18" t="n">
        <x:f>MIN('数据导入'!$H$119:$H$121)</x:f>
        <x:v>8.4</x:v>
      </x:c>
      <x:c r="J43" s="18" t="n">
        <x:f>MAX('数据导入'!$H$119:$H$121)</x:f>
        <x:v>8.6</x:v>
      </x:c>
    </x:row>
    <x:row r="44">
      <x:c r="A44" s="17" t="str">
        <x:v>pg</x:v>
      </x:c>
      <x:c r="B44" s="17" t="str">
        <x:v>多聚半乳糖醛酸酶活性</x:v>
      </x:c>
      <x:c r="C44" s="17" t="str">
        <x:v>U/kg</x:v>
      </x:c>
      <x:c r="D44" s="17" t="n">
        <x:v>3</x:v>
      </x:c>
      <x:c r="E44" s="17" t="str">
        <x:v>MF</x:v>
      </x:c>
      <x:c r="F44" s="17" t="n">
        <x:f>COUNT('数据导入'!$H$122:$H$124)</x:f>
        <x:v>3</x:v>
      </x:c>
      <x:c r="G44" s="18" t="n">
        <x:f>AVERAGE('数据导入'!$H$122:$H$124)</x:f>
        <x:v>6.5</x:v>
      </x:c>
      <x:c r="H44" s="18" t="n">
        <x:f>STDEV.S('数据导入'!$H$122:$H$124)</x:f>
        <x:v>0.09999999999999964</x:v>
      </x:c>
      <x:c r="I44" s="18" t="n">
        <x:f>MIN('数据导入'!$H$122:$H$124)</x:f>
        <x:v>6.4</x:v>
      </x:c>
      <x:c r="J44" s="18" t="n">
        <x:f>MAX('数据导入'!$H$122:$H$124)</x:f>
        <x:v>6.6</x:v>
      </x:c>
    </x:row>
    <x:row r="45">
      <x:c r="A45" s="17" t="str">
        <x:v>pg</x:v>
      </x:c>
      <x:c r="B45" s="17" t="str">
        <x:v>多聚半乳糖醛酸酶活性</x:v>
      </x:c>
      <x:c r="C45" s="17" t="str">
        <x:v>U/kg</x:v>
      </x:c>
      <x:c r="D45" s="17" t="n">
        <x:v>6</x:v>
      </x:c>
      <x:c r="E45" s="17" t="str">
        <x:v>CR</x:v>
      </x:c>
      <x:c r="F45" s="17" t="n">
        <x:f>COUNT('数据导入'!$H$125:$H$127)</x:f>
        <x:v>3</x:v>
      </x:c>
      <x:c r="G45" s="18" t="n">
        <x:f>AVERAGE('数据导入'!$H$125:$H$127)</x:f>
        <x:v>12</x:v>
      </x:c>
      <x:c r="H45" s="18" t="n">
        <x:f>STDEV.S('数据导入'!$H$125:$H$127)</x:f>
        <x:v>0.09999999999999964</x:v>
      </x:c>
      <x:c r="I45" s="18" t="n">
        <x:f>MIN('数据导入'!$H$125:$H$127)</x:f>
        <x:v>11.9</x:v>
      </x:c>
      <x:c r="J45" s="18" t="n">
        <x:f>MAX('数据导入'!$H$125:$H$127)</x:f>
        <x:v>12.1</x:v>
      </x:c>
    </x:row>
    <x:row r="46">
      <x:c r="A46" s="17" t="str">
        <x:v>pg</x:v>
      </x:c>
      <x:c r="B46" s="17" t="str">
        <x:v>多聚半乳糖醛酸酶活性</x:v>
      </x:c>
      <x:c r="C46" s="17" t="str">
        <x:v>U/kg</x:v>
      </x:c>
      <x:c r="D46" s="17" t="n">
        <x:v>6</x:v>
      </x:c>
      <x:c r="E46" s="17" t="str">
        <x:v>MF</x:v>
      </x:c>
      <x:c r="F46" s="17" t="n">
        <x:f>COUNT('数据导入'!$H$128:$H$130)</x:f>
        <x:v>3</x:v>
      </x:c>
      <x:c r="G46" s="18" t="n">
        <x:f>AVERAGE('数据导入'!$H$128:$H$130)</x:f>
        <x:v>8.8</x:v>
      </x:c>
      <x:c r="H46" s="18" t="n">
        <x:f>STDEV.S('数据导入'!$H$128:$H$130)</x:f>
        <x:v>0.10000000000000053</x:v>
      </x:c>
      <x:c r="I46" s="18" t="n">
        <x:f>MIN('数据导入'!$H$128:$H$130)</x:f>
        <x:v>8.7</x:v>
      </x:c>
      <x:c r="J46" s="18" t="n">
        <x:f>MAX('数据导入'!$H$128:$H$130)</x:f>
        <x:v>8.9</x:v>
      </x:c>
    </x:row>
    <x:row r="47">
      <x:c r="A47" s="17" t="str">
        <x:v>pg</x:v>
      </x:c>
      <x:c r="B47" s="17" t="str">
        <x:v>多聚半乳糖醛酸酶活性</x:v>
      </x:c>
      <x:c r="C47" s="17" t="str">
        <x:v>U/kg</x:v>
      </x:c>
      <x:c r="D47" s="17" t="n">
        <x:v>9</x:v>
      </x:c>
      <x:c r="E47" s="17" t="str">
        <x:v>CR</x:v>
      </x:c>
      <x:c r="F47" s="17" t="n">
        <x:f>COUNT('数据导入'!$H$131:$H$133)</x:f>
        <x:v>3</x:v>
      </x:c>
      <x:c r="G47" s="18" t="n">
        <x:f>AVERAGE('数据导入'!$H$131:$H$133)</x:f>
        <x:v>16.5</x:v>
      </x:c>
      <x:c r="H47" s="18" t="n">
        <x:f>STDEV.S('数据导入'!$H$131:$H$133)</x:f>
        <x:v>0.10000000000000142</x:v>
      </x:c>
      <x:c r="I47" s="18" t="n">
        <x:f>MIN('数据导入'!$H$131:$H$133)</x:f>
        <x:v>16.4</x:v>
      </x:c>
      <x:c r="J47" s="18" t="n">
        <x:f>MAX('数据导入'!$H$131:$H$133)</x:f>
        <x:v>16.6</x:v>
      </x:c>
    </x:row>
    <x:row r="48">
      <x:c r="A48" s="17" t="str">
        <x:v>pg</x:v>
      </x:c>
      <x:c r="B48" s="17" t="str">
        <x:v>多聚半乳糖醛酸酶活性</x:v>
      </x:c>
      <x:c r="C48" s="17" t="str">
        <x:v>U/kg</x:v>
      </x:c>
      <x:c r="D48" s="17" t="n">
        <x:v>9</x:v>
      </x:c>
      <x:c r="E48" s="17" t="str">
        <x:v>MF</x:v>
      </x:c>
      <x:c r="F48" s="17" t="n">
        <x:f>COUNT('数据导入'!$H$134:$H$136)</x:f>
        <x:v>3</x:v>
      </x:c>
      <x:c r="G48" s="18" t="n">
        <x:f>AVERAGE('数据导入'!$H$134:$H$136)</x:f>
        <x:v>11</x:v>
      </x:c>
      <x:c r="H48" s="18" t="n">
        <x:f>STDEV.S('数据导入'!$H$134:$H$136)</x:f>
        <x:v>0.09999999999999964</x:v>
      </x:c>
      <x:c r="I48" s="18" t="n">
        <x:f>MIN('数据导入'!$H$134:$H$136)</x:f>
        <x:v>10.9</x:v>
      </x:c>
      <x:c r="J48" s="18" t="n">
        <x:f>MAX('数据导入'!$H$134:$H$136)</x:f>
        <x:v>11.1</x:v>
      </x:c>
    </x:row>
    <x:row r="49">
      <x:c r="A49" s="17" t="str">
        <x:v>pg</x:v>
      </x:c>
      <x:c r="B49" s="17" t="str">
        <x:v>多聚半乳糖醛酸酶活性</x:v>
      </x:c>
      <x:c r="C49" s="17" t="str">
        <x:v>U/kg</x:v>
      </x:c>
      <x:c r="D49" s="17" t="n">
        <x:v>12</x:v>
      </x:c>
      <x:c r="E49" s="17" t="str">
        <x:v>CR</x:v>
      </x:c>
      <x:c r="F49" s="17" t="n">
        <x:f>COUNT('数据导入'!$H$137:$H$139)</x:f>
        <x:v>3</x:v>
      </x:c>
      <x:c r="G49" s="18" t="n">
        <x:f>AVERAGE('数据导入'!$H$137:$H$139)</x:f>
        <x:v>21</x:v>
      </x:c>
      <x:c r="H49" s="18" t="n">
        <x:f>STDEV.S('数据导入'!$H$137:$H$139)</x:f>
        <x:v>0.10000000000000142</x:v>
      </x:c>
      <x:c r="I49" s="18" t="n">
        <x:f>MIN('数据导入'!$H$137:$H$139)</x:f>
        <x:v>20.9</x:v>
      </x:c>
      <x:c r="J49" s="18" t="n">
        <x:f>MAX('数据导入'!$H$137:$H$139)</x:f>
        <x:v>21.1</x:v>
      </x:c>
    </x:row>
    <x:row r="50">
      <x:c r="A50" s="17" t="str">
        <x:v>pg</x:v>
      </x:c>
      <x:c r="B50" s="17" t="str">
        <x:v>多聚半乳糖醛酸酶活性</x:v>
      </x:c>
      <x:c r="C50" s="17" t="str">
        <x:v>U/kg</x:v>
      </x:c>
      <x:c r="D50" s="17" t="n">
        <x:v>12</x:v>
      </x:c>
      <x:c r="E50" s="17" t="str">
        <x:v>MF</x:v>
      </x:c>
      <x:c r="F50" s="17" t="n">
        <x:f>COUNT('数据导入'!$H$140:$H$142)</x:f>
        <x:v>3</x:v>
      </x:c>
      <x:c r="G50" s="18" t="n">
        <x:f>AVERAGE('数据导入'!$H$140:$H$142)</x:f>
        <x:v>14.5</x:v>
      </x:c>
      <x:c r="H50" s="18" t="n">
        <x:f>STDEV.S('数据导入'!$H$140:$H$142)</x:f>
        <x:v>0.09999999999999964</x:v>
      </x:c>
      <x:c r="I50" s="18" t="n">
        <x:f>MIN('数据导入'!$H$140:$H$142)</x:f>
        <x:v>14.4</x:v>
      </x:c>
      <x:c r="J50" s="18" t="n">
        <x:f>MAX('数据导入'!$H$140:$H$142)</x:f>
        <x:v>14.6</x:v>
      </x:c>
    </x:row>
    <x:row r="51">
      <x:c r="A51" s="17" t="str">
        <x:v>pg</x:v>
      </x:c>
      <x:c r="B51" s="17" t="str">
        <x:v>多聚半乳糖醛酸酶活性</x:v>
      </x:c>
      <x:c r="C51" s="17" t="str">
        <x:v>U/kg</x:v>
      </x:c>
      <x:c r="D51" s="17" t="n">
        <x:v>15</x:v>
      </x:c>
      <x:c r="E51" s="17" t="str">
        <x:v>CR</x:v>
      </x:c>
      <x:c r="F51" s="17" t="n">
        <x:f>COUNT('数据导入'!$H$143:$H$145)</x:f>
        <x:v>3</x:v>
      </x:c>
      <x:c r="G51" s="18" t="n">
        <x:f>AVERAGE('数据导入'!$H$143:$H$145)</x:f>
        <x:v>26</x:v>
      </x:c>
      <x:c r="H51" s="18" t="n">
        <x:f>STDEV.S('数据导入'!$H$143:$H$145)</x:f>
        <x:v>0.10000000000000142</x:v>
      </x:c>
      <x:c r="I51" s="18" t="n">
        <x:f>MIN('数据导入'!$H$143:$H$145)</x:f>
        <x:v>25.9</x:v>
      </x:c>
      <x:c r="J51" s="18" t="n">
        <x:f>MAX('数据导入'!$H$143:$H$145)</x:f>
        <x:v>26.1</x:v>
      </x:c>
    </x:row>
    <x:row r="52">
      <x:c r="A52" s="17" t="str">
        <x:v>pg</x:v>
      </x:c>
      <x:c r="B52" s="17" t="str">
        <x:v>多聚半乳糖醛酸酶活性</x:v>
      </x:c>
      <x:c r="C52" s="17" t="str">
        <x:v>U/kg</x:v>
      </x:c>
      <x:c r="D52" s="17" t="n">
        <x:v>15</x:v>
      </x:c>
      <x:c r="E52" s="17" t="str">
        <x:v>MF</x:v>
      </x:c>
      <x:c r="F52" s="17" t="n">
        <x:f>COUNT('数据导入'!$H$146:$H$148)</x:f>
        <x:v>3</x:v>
      </x:c>
      <x:c r="G52" s="18" t="n">
        <x:f>AVERAGE('数据导入'!$H$146:$H$148)</x:f>
        <x:v>16.8</x:v>
      </x:c>
      <x:c r="H52" s="18" t="n">
        <x:f>STDEV.S('数据导入'!$H$146:$H$148)</x:f>
        <x:v>0.09999999999999964</x:v>
      </x:c>
      <x:c r="I52" s="18" t="n">
        <x:f>MIN('数据导入'!$H$146:$H$148)</x:f>
        <x:v>16.7</x:v>
      </x:c>
      <x:c r="J52" s="18" t="n">
        <x:f>MAX('数据导入'!$H$146:$H$148)</x:f>
        <x:v>16.9</x:v>
      </x:c>
    </x:row>
    <x:row r="53">
      <x:c r="A53" s="17" t="str">
        <x:v>l_star</x:v>
      </x:c>
      <x:c r="B53" s="17" t="str">
        <x:v>颜色L*</x:v>
      </x:c>
      <x:c r="C53" s="17" t="str">
        <x:v>-</x:v>
      </x:c>
      <x:c r="D53" s="17" t="n">
        <x:v>0</x:v>
      </x:c>
      <x:c r="E53" s="17" t="str">
        <x:v>CR</x:v>
      </x:c>
      <x:c r="F53" s="17" t="n">
        <x:f>COUNT('数据导入'!$H$149:$H$151)</x:f>
        <x:v>3</x:v>
      </x:c>
      <x:c r="G53" s="18" t="n">
        <x:f>AVERAGE('数据导入'!$H$149:$H$151)</x:f>
        <x:v>40.666666666666664</x:v>
      </x:c>
      <x:c r="H53" s="18" t="n">
        <x:f>STDEV.S('数据导入'!$H$149:$H$151)</x:f>
        <x:v>0.15275252316519375</x:v>
      </x:c>
      <x:c r="I53" s="18" t="n">
        <x:f>MIN('数据导入'!$H$149:$H$151)</x:f>
        <x:v>40.5</x:v>
      </x:c>
      <x:c r="J53" s="18" t="n">
        <x:f>MAX('数据导入'!$H$149:$H$151)</x:f>
        <x:v>40.8</x:v>
      </x:c>
    </x:row>
    <x:row r="54">
      <x:c r="A54" s="17" t="str">
        <x:v>l_star</x:v>
      </x:c>
      <x:c r="B54" s="17" t="str">
        <x:v>颜色L*</x:v>
      </x:c>
      <x:c r="C54" s="17" t="str">
        <x:v>-</x:v>
      </x:c>
      <x:c r="D54" s="17" t="n">
        <x:v>0</x:v>
      </x:c>
      <x:c r="E54" s="17" t="str">
        <x:v>MF</x:v>
      </x:c>
      <x:c r="F54" s="17" t="n">
        <x:f>COUNT('数据导入'!$H$152:$H$154)</x:f>
        <x:v>3</x:v>
      </x:c>
      <x:c r="G54" s="18" t="n">
        <x:f>AVERAGE('数据导入'!$H$152:$H$154)</x:f>
        <x:v>40.6</x:v>
      </x:c>
      <x:c r="H54" s="18" t="n">
        <x:f>STDEV.S('数据导入'!$H$152:$H$154)</x:f>
        <x:v>0.10000000000000142</x:v>
      </x:c>
      <x:c r="I54" s="18" t="n">
        <x:f>MIN('数据导入'!$H$152:$H$154)</x:f>
        <x:v>40.5</x:v>
      </x:c>
      <x:c r="J54" s="18" t="n">
        <x:f>MAX('数据导入'!$H$152:$H$154)</x:f>
        <x:v>40.7</x:v>
      </x:c>
    </x:row>
    <x:row r="55">
      <x:c r="A55" s="17" t="str">
        <x:v>l_star</x:v>
      </x:c>
      <x:c r="B55" s="17" t="str">
        <x:v>颜色L*</x:v>
      </x:c>
      <x:c r="C55" s="17" t="str">
        <x:v>-</x:v>
      </x:c>
      <x:c r="D55" s="17" t="n">
        <x:v>3</x:v>
      </x:c>
      <x:c r="E55" s="17" t="str">
        <x:v>CR</x:v>
      </x:c>
      <x:c r="F55" s="17" t="n">
        <x:f>COUNT('数据导入'!$H$155:$H$157)</x:f>
        <x:v>3</x:v>
      </x:c>
      <x:c r="G55" s="18" t="n">
        <x:f>AVERAGE('数据导入'!$H$155:$H$157)</x:f>
        <x:v>36.8</x:v>
      </x:c>
      <x:c r="H55" s="18" t="n">
        <x:f>STDEV.S('数据导入'!$H$155:$H$157)</x:f>
        <x:v>0.09999999999999788</x:v>
      </x:c>
      <x:c r="I55" s="18" t="n">
        <x:f>MIN('数据导入'!$H$155:$H$157)</x:f>
        <x:v>36.7</x:v>
      </x:c>
      <x:c r="J55" s="18" t="n">
        <x:f>MAX('数据导入'!$H$155:$H$157)</x:f>
        <x:v>36.9</x:v>
      </x:c>
    </x:row>
    <x:row r="56">
      <x:c r="A56" s="17" t="str">
        <x:v>l_star</x:v>
      </x:c>
      <x:c r="B56" s="17" t="str">
        <x:v>颜色L*</x:v>
      </x:c>
      <x:c r="C56" s="17" t="str">
        <x:v>-</x:v>
      </x:c>
      <x:c r="D56" s="17" t="n">
        <x:v>3</x:v>
      </x:c>
      <x:c r="E56" s="17" t="str">
        <x:v>MF</x:v>
      </x:c>
      <x:c r="F56" s="17" t="n">
        <x:f>COUNT('数据导入'!$H$158:$H$160)</x:f>
        <x:v>3</x:v>
      </x:c>
      <x:c r="G56" s="18" t="n">
        <x:f>AVERAGE('数据导入'!$H$158:$H$160)</x:f>
        <x:v>40.199999999999996</x:v>
      </x:c>
      <x:c r="H56" s="18" t="n">
        <x:f>STDEV.S('数据导入'!$H$158:$H$160)</x:f>
        <x:v>0.09999999999999788</x:v>
      </x:c>
      <x:c r="I56" s="18" t="n">
        <x:f>MIN('数据导入'!$H$158:$H$160)</x:f>
        <x:v>40.1</x:v>
      </x:c>
      <x:c r="J56" s="18" t="n">
        <x:f>MAX('数据导入'!$H$158:$H$160)</x:f>
        <x:v>40.3</x:v>
      </x:c>
    </x:row>
    <x:row r="57">
      <x:c r="A57" s="17" t="str">
        <x:v>l_star</x:v>
      </x:c>
      <x:c r="B57" s="17" t="str">
        <x:v>颜色L*</x:v>
      </x:c>
      <x:c r="C57" s="17" t="str">
        <x:v>-</x:v>
      </x:c>
      <x:c r="D57" s="17" t="n">
        <x:v>6</x:v>
      </x:c>
      <x:c r="E57" s="17" t="str">
        <x:v>CR</x:v>
      </x:c>
      <x:c r="F57" s="17" t="n">
        <x:f>COUNT('数据导入'!$H$161:$H$163)</x:f>
        <x:v>3</x:v>
      </x:c>
      <x:c r="G57" s="18" t="n">
        <x:f>AVERAGE('数据导入'!$H$161:$H$163)</x:f>
        <x:v>35</x:v>
      </x:c>
      <x:c r="H57" s="18" t="n">
        <x:f>STDEV.S('数据导入'!$H$161:$H$163)</x:f>
        <x:v>0.10000000000000142</x:v>
      </x:c>
      <x:c r="I57" s="18" t="n">
        <x:f>MIN('数据导入'!$H$161:$H$163)</x:f>
        <x:v>34.9</x:v>
      </x:c>
      <x:c r="J57" s="18" t="n">
        <x:f>MAX('数据导入'!$H$161:$H$163)</x:f>
        <x:v>35.1</x:v>
      </x:c>
    </x:row>
    <x:row r="58">
      <x:c r="A58" s="17" t="str">
        <x:v>l_star</x:v>
      </x:c>
      <x:c r="B58" s="17" t="str">
        <x:v>颜色L*</x:v>
      </x:c>
      <x:c r="C58" s="17" t="str">
        <x:v>-</x:v>
      </x:c>
      <x:c r="D58" s="17" t="n">
        <x:v>6</x:v>
      </x:c>
      <x:c r="E58" s="17" t="str">
        <x:v>MF</x:v>
      </x:c>
      <x:c r="F58" s="17" t="n">
        <x:f>COUNT('数据导入'!$H$164:$H$166)</x:f>
        <x:v>3</x:v>
      </x:c>
      <x:c r="G58" s="18" t="n">
        <x:f>AVERAGE('数据导入'!$H$164:$H$166)</x:f>
        <x:v>38</x:v>
      </x:c>
      <x:c r="H58" s="18" t="n">
        <x:f>STDEV.S('数据导入'!$H$164:$H$166)</x:f>
        <x:v>0.20000000000000284</x:v>
      </x:c>
      <x:c r="I58" s="18" t="n">
        <x:f>MIN('数据导入'!$H$164:$H$166)</x:f>
        <x:v>37.8</x:v>
      </x:c>
      <x:c r="J58" s="18" t="n">
        <x:f>MAX('数据导入'!$H$164:$H$166)</x:f>
        <x:v>38.2</x:v>
      </x:c>
    </x:row>
    <x:row r="59">
      <x:c r="A59" s="17" t="str">
        <x:v>l_star</x:v>
      </x:c>
      <x:c r="B59" s="17" t="str">
        <x:v>颜色L*</x:v>
      </x:c>
      <x:c r="C59" s="17" t="str">
        <x:v>-</x:v>
      </x:c>
      <x:c r="D59" s="17" t="n">
        <x:v>9</x:v>
      </x:c>
      <x:c r="E59" s="17" t="str">
        <x:v>CR</x:v>
      </x:c>
      <x:c r="F59" s="17" t="n">
        <x:f>COUNT('数据导入'!$H$167:$H$169)</x:f>
        <x:v>3</x:v>
      </x:c>
      <x:c r="G59" s="18" t="n">
        <x:f>AVERAGE('数据导入'!$H$167:$H$169)</x:f>
        <x:v>33.1</x:v>
      </x:c>
      <x:c r="H59" s="18" t="n">
        <x:f>STDEV.S('数据导入'!$H$167:$H$169)</x:f>
        <x:v>0.10000000000000142</x:v>
      </x:c>
      <x:c r="I59" s="18" t="n">
        <x:f>MIN('数据导入'!$H$167:$H$169)</x:f>
        <x:v>33</x:v>
      </x:c>
      <x:c r="J59" s="18" t="n">
        <x:f>MAX('数据导入'!$H$167:$H$169)</x:f>
        <x:v>33.2</x:v>
      </x:c>
    </x:row>
    <x:row r="60">
      <x:c r="A60" s="17" t="str">
        <x:v>l_star</x:v>
      </x:c>
      <x:c r="B60" s="17" t="str">
        <x:v>颜色L*</x:v>
      </x:c>
      <x:c r="C60" s="17" t="str">
        <x:v>-</x:v>
      </x:c>
      <x:c r="D60" s="17" t="n">
        <x:v>9</x:v>
      </x:c>
      <x:c r="E60" s="17" t="str">
        <x:v>MF</x:v>
      </x:c>
      <x:c r="F60" s="17" t="n">
        <x:f>COUNT('数据导入'!$H$170:$H$172)</x:f>
        <x:v>3</x:v>
      </x:c>
      <x:c r="G60" s="18" t="n">
        <x:f>AVERAGE('数据导入'!$H$170:$H$172)</x:f>
        <x:v>37.06666666666667</x:v>
      </x:c>
      <x:c r="H60" s="18" t="n">
        <x:f>STDEV.S('数据导入'!$H$170:$H$172)</x:f>
        <x:v>0.15275252316519683</x:v>
      </x:c>
      <x:c r="I60" s="18" t="n">
        <x:f>MIN('数据导入'!$H$170:$H$172)</x:f>
        <x:v>36.9</x:v>
      </x:c>
      <x:c r="J60" s="18" t="n">
        <x:f>MAX('数据导入'!$H$170:$H$172)</x:f>
        <x:v>37.2</x:v>
      </x:c>
    </x:row>
    <x:row r="61">
      <x:c r="A61" s="17" t="str">
        <x:v>l_star</x:v>
      </x:c>
      <x:c r="B61" s="17" t="str">
        <x:v>颜色L*</x:v>
      </x:c>
      <x:c r="C61" s="17" t="str">
        <x:v>-</x:v>
      </x:c>
      <x:c r="D61" s="17" t="n">
        <x:v>12</x:v>
      </x:c>
      <x:c r="E61" s="17" t="str">
        <x:v>CR</x:v>
      </x:c>
      <x:c r="F61" s="17" t="n">
        <x:f>COUNT('数据导入'!$H$173:$H$175)</x:f>
        <x:v>3</x:v>
      </x:c>
      <x:c r="G61" s="18" t="n">
        <x:f>AVERAGE('数据导入'!$H$173:$H$175)</x:f>
        <x:v>30.099999999999998</x:v>
      </x:c>
      <x:c r="H61" s="18" t="n">
        <x:f>STDEV.S('数据导入'!$H$173:$H$175)</x:f>
        <x:v>0.09999999999999964</x:v>
      </x:c>
      <x:c r="I61" s="18" t="n">
        <x:f>MIN('数据导入'!$H$173:$H$175)</x:f>
        <x:v>30</x:v>
      </x:c>
      <x:c r="J61" s="18" t="n">
        <x:f>MAX('数据导入'!$H$173:$H$175)</x:f>
        <x:v>30.2</x:v>
      </x:c>
    </x:row>
    <x:row r="62">
      <x:c r="A62" s="17" t="str">
        <x:v>l_star</x:v>
      </x:c>
      <x:c r="B62" s="17" t="str">
        <x:v>颜色L*</x:v>
      </x:c>
      <x:c r="C62" s="17" t="str">
        <x:v>-</x:v>
      </x:c>
      <x:c r="D62" s="17" t="n">
        <x:v>12</x:v>
      </x:c>
      <x:c r="E62" s="17" t="str">
        <x:v>MF</x:v>
      </x:c>
      <x:c r="F62" s="17" t="n">
        <x:f>COUNT('数据导入'!$H$176:$H$178)</x:f>
        <x:v>3</x:v>
      </x:c>
      <x:c r="G62" s="18" t="n">
        <x:f>AVERAGE('数据导入'!$H$176:$H$178)</x:f>
        <x:v>35.199999999999996</x:v>
      </x:c>
      <x:c r="H62" s="18" t="n">
        <x:f>STDEV.S('数据导入'!$H$176:$H$178)</x:f>
        <x:v>0.09999999999999788</x:v>
      </x:c>
      <x:c r="I62" s="18" t="n">
        <x:f>MIN('数据导入'!$H$176:$H$178)</x:f>
        <x:v>35.1</x:v>
      </x:c>
      <x:c r="J62" s="18" t="n">
        <x:f>MAX('数据导入'!$H$176:$H$178)</x:f>
        <x:v>35.3</x:v>
      </x:c>
    </x:row>
    <x:row r="63">
      <x:c r="A63" s="17" t="str">
        <x:v>l_star</x:v>
      </x:c>
      <x:c r="B63" s="17" t="str">
        <x:v>颜色L*</x:v>
      </x:c>
      <x:c r="C63" s="17" t="str">
        <x:v>-</x:v>
      </x:c>
      <x:c r="D63" s="17" t="n">
        <x:v>15</x:v>
      </x:c>
      <x:c r="E63" s="17" t="str">
        <x:v>CR</x:v>
      </x:c>
      <x:c r="F63" s="17" t="n">
        <x:f>COUNT('数据导入'!$H$179:$H$181)</x:f>
        <x:v>3</x:v>
      </x:c>
      <x:c r="G63" s="18" t="n">
        <x:f>AVERAGE('数据导入'!$H$179:$H$181)</x:f>
        <x:v>25.8</x:v>
      </x:c>
      <x:c r="H63" s="18" t="n">
        <x:f>STDEV.S('数据导入'!$H$179:$H$181)</x:f>
        <x:v>0.09999999999999964</x:v>
      </x:c>
      <x:c r="I63" s="18" t="n">
        <x:f>MIN('数据导入'!$H$179:$H$181)</x:f>
        <x:v>25.7</x:v>
      </x:c>
      <x:c r="J63" s="18" t="n">
        <x:f>MAX('数据导入'!$H$179:$H$181)</x:f>
        <x:v>25.9</x:v>
      </x:c>
    </x:row>
    <x:row r="64">
      <x:c r="A64" s="17" t="str">
        <x:v>l_star</x:v>
      </x:c>
      <x:c r="B64" s="17" t="str">
        <x:v>颜色L*</x:v>
      </x:c>
      <x:c r="C64" s="17" t="str">
        <x:v>-</x:v>
      </x:c>
      <x:c r="D64" s="17" t="n">
        <x:v>15</x:v>
      </x:c>
      <x:c r="E64" s="17" t="str">
        <x:v>MF</x:v>
      </x:c>
      <x:c r="F64" s="17" t="n">
        <x:f>COUNT('数据导入'!$H$182:$H$184)</x:f>
        <x:v>3</x:v>
      </x:c>
      <x:c r="G64" s="18" t="n">
        <x:f>AVERAGE('数据导入'!$H$182:$H$184)</x:f>
        <x:v>33.5</x:v>
      </x:c>
      <x:c r="H64" s="18" t="n">
        <x:f>STDEV.S('数据导入'!$H$182:$H$184)</x:f>
        <x:v>0.10000000000000142</x:v>
      </x:c>
      <x:c r="I64" s="18" t="n">
        <x:f>MIN('数据导入'!$H$182:$H$184)</x:f>
        <x:v>33.4</x:v>
      </x:c>
      <x:c r="J64" s="18" t="n">
        <x:f>MAX('数据导入'!$H$182:$H$184)</x:f>
        <x:v>33.6</x:v>
      </x:c>
    </x:row>
    <x:row r="65">
      <x:c r="A65" s="17" t="str">
        <x:v>a_star</x:v>
      </x:c>
      <x:c r="B65" s="17" t="str">
        <x:v>颜色a*</x:v>
      </x:c>
      <x:c r="C65" s="17" t="str">
        <x:v>-</x:v>
      </x:c>
      <x:c r="D65" s="17" t="n">
        <x:v>0</x:v>
      </x:c>
      <x:c r="E65" s="17" t="str">
        <x:v>CR</x:v>
      </x:c>
      <x:c r="F65" s="17" t="n">
        <x:f>COUNT('数据导入'!$H$185:$H$187)</x:f>
        <x:v>3</x:v>
      </x:c>
      <x:c r="G65" s="18" t="n">
        <x:f>AVERAGE('数据导入'!$H$185:$H$187)</x:f>
        <x:v>27.7</x:v>
      </x:c>
      <x:c r="H65" s="18" t="n">
        <x:f>STDEV.S('数据导入'!$H$185:$H$187)</x:f>
        <x:v>0.09999999999999964</x:v>
      </x:c>
      <x:c r="I65" s="18" t="n">
        <x:f>MIN('数据导入'!$H$185:$H$187)</x:f>
        <x:v>27.6</x:v>
      </x:c>
      <x:c r="J65" s="18" t="n">
        <x:f>MAX('数据导入'!$H$185:$H$187)</x:f>
        <x:v>27.8</x:v>
      </x:c>
    </x:row>
    <x:row r="66">
      <x:c r="A66" s="17" t="str">
        <x:v>a_star</x:v>
      </x:c>
      <x:c r="B66" s="17" t="str">
        <x:v>颜色a*</x:v>
      </x:c>
      <x:c r="C66" s="17" t="str">
        <x:v>-</x:v>
      </x:c>
      <x:c r="D66" s="17" t="n">
        <x:v>0</x:v>
      </x:c>
      <x:c r="E66" s="17" t="str">
        <x:v>MF</x:v>
      </x:c>
      <x:c r="F66" s="17" t="n">
        <x:f>COUNT('数据导入'!$H$188:$H$190)</x:f>
        <x:v>3</x:v>
      </x:c>
      <x:c r="G66" s="18" t="n">
        <x:f>AVERAGE('数据导入'!$H$188:$H$190)</x:f>
        <x:v>27.7</x:v>
      </x:c>
      <x:c r="H66" s="18" t="n">
        <x:f>STDEV.S('数据导入'!$H$188:$H$190)</x:f>
        <x:v>0.09999999999999964</x:v>
      </x:c>
      <x:c r="I66" s="18" t="n">
        <x:f>MIN('数据导入'!$H$188:$H$190)</x:f>
        <x:v>27.6</x:v>
      </x:c>
      <x:c r="J66" s="18" t="n">
        <x:f>MAX('数据导入'!$H$188:$H$190)</x:f>
        <x:v>27.8</x:v>
      </x:c>
    </x:row>
    <x:row r="67">
      <x:c r="A67" s="17" t="str">
        <x:v>a_star</x:v>
      </x:c>
      <x:c r="B67" s="17" t="str">
        <x:v>颜色a*</x:v>
      </x:c>
      <x:c r="C67" s="17" t="str">
        <x:v>-</x:v>
      </x:c>
      <x:c r="D67" s="17" t="n">
        <x:v>3</x:v>
      </x:c>
      <x:c r="E67" s="17" t="str">
        <x:v>CR</x:v>
      </x:c>
      <x:c r="F67" s="17" t="n">
        <x:f>COUNT('数据导入'!$H$191:$H$193)</x:f>
        <x:v>3</x:v>
      </x:c>
      <x:c r="G67" s="18" t="n">
        <x:f>AVERAGE('数据导入'!$H$191:$H$193)</x:f>
        <x:v>32.9</x:v>
      </x:c>
      <x:c r="H67" s="18" t="n">
        <x:f>STDEV.S('数据导入'!$H$191:$H$193)</x:f>
        <x:v>0.10000000000000142</x:v>
      </x:c>
      <x:c r="I67" s="18" t="n">
        <x:f>MIN('数据导入'!$H$191:$H$193)</x:f>
        <x:v>32.8</x:v>
      </x:c>
      <x:c r="J67" s="18" t="n">
        <x:f>MAX('数据导入'!$H$191:$H$193)</x:f>
        <x:v>33</x:v>
      </x:c>
    </x:row>
    <x:row r="68">
      <x:c r="A68" s="17" t="str">
        <x:v>a_star</x:v>
      </x:c>
      <x:c r="B68" s="17" t="str">
        <x:v>颜色a*</x:v>
      </x:c>
      <x:c r="C68" s="17" t="str">
        <x:v>-</x:v>
      </x:c>
      <x:c r="D68" s="17" t="n">
        <x:v>3</x:v>
      </x:c>
      <x:c r="E68" s="17" t="str">
        <x:v>MF</x:v>
      </x:c>
      <x:c r="F68" s="17" t="n">
        <x:f>COUNT('数据导入'!$H$194:$H$196)</x:f>
        <x:v>3</x:v>
      </x:c>
      <x:c r="G68" s="18" t="n">
        <x:f>AVERAGE('数据导入'!$H$194:$H$196)</x:f>
        <x:v>33.199999999999996</x:v>
      </x:c>
      <x:c r="H68" s="18" t="n">
        <x:f>STDEV.S('数据导入'!$H$194:$H$196)</x:f>
        <x:v>0.09999999999999788</x:v>
      </x:c>
      <x:c r="I68" s="18" t="n">
        <x:f>MIN('数据导入'!$H$194:$H$196)</x:f>
        <x:v>33.1</x:v>
      </x:c>
      <x:c r="J68" s="18" t="n">
        <x:f>MAX('数据导入'!$H$194:$H$196)</x:f>
        <x:v>33.3</x:v>
      </x:c>
    </x:row>
    <x:row r="69">
      <x:c r="A69" s="17" t="str">
        <x:v>a_star</x:v>
      </x:c>
      <x:c r="B69" s="17" t="str">
        <x:v>颜色a*</x:v>
      </x:c>
      <x:c r="C69" s="17" t="str">
        <x:v>-</x:v>
      </x:c>
      <x:c r="D69" s="17" t="n">
        <x:v>6</x:v>
      </x:c>
      <x:c r="E69" s="17" t="str">
        <x:v>CR</x:v>
      </x:c>
      <x:c r="F69" s="17" t="n">
        <x:f>COUNT('数据导入'!$H$197:$H$199)</x:f>
        <x:v>3</x:v>
      </x:c>
      <x:c r="G69" s="18" t="n">
        <x:f>AVERAGE('数据导入'!$H$197:$H$199)</x:f>
        <x:v>34.6</x:v>
      </x:c>
      <x:c r="H69" s="18" t="n">
        <x:f>STDEV.S('数据导入'!$H$197:$H$199)</x:f>
        <x:v>0.10000000000000142</x:v>
      </x:c>
      <x:c r="I69" s="18" t="n">
        <x:f>MIN('数据导入'!$H$197:$H$199)</x:f>
        <x:v>34.5</x:v>
      </x:c>
      <x:c r="J69" s="18" t="n">
        <x:f>MAX('数据导入'!$H$197:$H$199)</x:f>
        <x:v>34.7</x:v>
      </x:c>
    </x:row>
    <x:row r="70">
      <x:c r="A70" s="17" t="str">
        <x:v>a_star</x:v>
      </x:c>
      <x:c r="B70" s="17" t="str">
        <x:v>颜色a*</x:v>
      </x:c>
      <x:c r="C70" s="17" t="str">
        <x:v>-</x:v>
      </x:c>
      <x:c r="D70" s="17" t="n">
        <x:v>6</x:v>
      </x:c>
      <x:c r="E70" s="17" t="str">
        <x:v>MF</x:v>
      </x:c>
      <x:c r="F70" s="17" t="n">
        <x:f>COUNT('数据导入'!$H$200:$H$202)</x:f>
        <x:v>3</x:v>
      </x:c>
      <x:c r="G70" s="18" t="n">
        <x:f>AVERAGE('数据导入'!$H$200:$H$202)</x:f>
        <x:v>34.699999999999996</x:v>
      </x:c>
      <x:c r="H70" s="18" t="n">
        <x:f>STDEV.S('数据导入'!$H$200:$H$202)</x:f>
        <x:v>0.09999999999999788</x:v>
      </x:c>
      <x:c r="I70" s="18" t="n">
        <x:f>MIN('数据导入'!$H$200:$H$202)</x:f>
        <x:v>34.6</x:v>
      </x:c>
      <x:c r="J70" s="18" t="n">
        <x:f>MAX('数据导入'!$H$200:$H$202)</x:f>
        <x:v>34.8</x:v>
      </x:c>
    </x:row>
    <x:row r="71">
      <x:c r="A71" s="17" t="str">
        <x:v>a_star</x:v>
      </x:c>
      <x:c r="B71" s="17" t="str">
        <x:v>颜色a*</x:v>
      </x:c>
      <x:c r="C71" s="17" t="str">
        <x:v>-</x:v>
      </x:c>
      <x:c r="D71" s="17" t="n">
        <x:v>9</x:v>
      </x:c>
      <x:c r="E71" s="17" t="str">
        <x:v>CR</x:v>
      </x:c>
      <x:c r="F71" s="17" t="n">
        <x:f>COUNT('数据导入'!$H$203:$H$205)</x:f>
        <x:v>3</x:v>
      </x:c>
      <x:c r="G71" s="18" t="n">
        <x:f>AVERAGE('数据导入'!$H$203:$H$205)</x:f>
        <x:v>30.900000000000002</x:v>
      </x:c>
      <x:c r="H71" s="18" t="n">
        <x:f>STDEV.S('数据导入'!$H$203:$H$205)</x:f>
        <x:v>0.09999999999999964</x:v>
      </x:c>
      <x:c r="I71" s="18" t="n">
        <x:f>MIN('数据导入'!$H$203:$H$205)</x:f>
        <x:v>30.8</x:v>
      </x:c>
      <x:c r="J71" s="18" t="n">
        <x:f>MAX('数据导入'!$H$203:$H$205)</x:f>
        <x:v>31</x:v>
      </x:c>
    </x:row>
    <x:row r="72">
      <x:c r="A72" s="17" t="str">
        <x:v>a_star</x:v>
      </x:c>
      <x:c r="B72" s="17" t="str">
        <x:v>颜色a*</x:v>
      </x:c>
      <x:c r="C72" s="17" t="str">
        <x:v>-</x:v>
      </x:c>
      <x:c r="D72" s="17" t="n">
        <x:v>9</x:v>
      </x:c>
      <x:c r="E72" s="17" t="str">
        <x:v>MF</x:v>
      </x:c>
      <x:c r="F72" s="17" t="n">
        <x:f>COUNT('数据导入'!$H$206:$H$208)</x:f>
        <x:v>3</x:v>
      </x:c>
      <x:c r="G72" s="18" t="n">
        <x:f>AVERAGE('数据导入'!$H$206:$H$208)</x:f>
        <x:v>32.699999999999996</x:v>
      </x:c>
      <x:c r="H72" s="18" t="n">
        <x:f>STDEV.S('数据导入'!$H$206:$H$208)</x:f>
        <x:v>0.09999999999999788</x:v>
      </x:c>
      <x:c r="I72" s="18" t="n">
        <x:f>MIN('数据导入'!$H$206:$H$208)</x:f>
        <x:v>32.6</x:v>
      </x:c>
      <x:c r="J72" s="18" t="n">
        <x:f>MAX('数据导入'!$H$206:$H$208)</x:f>
        <x:v>32.8</x:v>
      </x:c>
    </x:row>
    <x:row r="73">
      <x:c r="A73" s="17" t="str">
        <x:v>a_star</x:v>
      </x:c>
      <x:c r="B73" s="17" t="str">
        <x:v>颜色a*</x:v>
      </x:c>
      <x:c r="C73" s="17" t="str">
        <x:v>-</x:v>
      </x:c>
      <x:c r="D73" s="17" t="n">
        <x:v>12</x:v>
      </x:c>
      <x:c r="E73" s="17" t="str">
        <x:v>CR</x:v>
      </x:c>
      <x:c r="F73" s="17" t="n">
        <x:f>COUNT('数据导入'!$H$209:$H$211)</x:f>
        <x:v>3</x:v>
      </x:c>
      <x:c r="G73" s="18" t="n">
        <x:f>AVERAGE('数据导入'!$H$209:$H$211)</x:f>
        <x:v>29.400000000000002</x:v>
      </x:c>
      <x:c r="H73" s="18" t="n">
        <x:f>STDEV.S('数据导入'!$H$209:$H$211)</x:f>
        <x:v>0.09999999999999964</x:v>
      </x:c>
      <x:c r="I73" s="18" t="n">
        <x:f>MIN('数据导入'!$H$209:$H$211)</x:f>
        <x:v>29.3</x:v>
      </x:c>
      <x:c r="J73" s="18" t="n">
        <x:f>MAX('数据导入'!$H$209:$H$211)</x:f>
        <x:v>29.5</x:v>
      </x:c>
    </x:row>
    <x:row r="74">
      <x:c r="A74" s="17" t="str">
        <x:v>a_star</x:v>
      </x:c>
      <x:c r="B74" s="17" t="str">
        <x:v>颜色a*</x:v>
      </x:c>
      <x:c r="C74" s="17" t="str">
        <x:v>-</x:v>
      </x:c>
      <x:c r="D74" s="17" t="n">
        <x:v>12</x:v>
      </x:c>
      <x:c r="E74" s="17" t="str">
        <x:v>MF</x:v>
      </x:c>
      <x:c r="F74" s="17" t="n">
        <x:f>COUNT('数据导入'!$H$212:$H$214)</x:f>
        <x:v>3</x:v>
      </x:c>
      <x:c r="G74" s="18" t="n">
        <x:f>AVERAGE('数据导入'!$H$212:$H$214)</x:f>
        <x:v>32.1</x:v>
      </x:c>
      <x:c r="H74" s="18" t="n">
        <x:f>STDEV.S('数据导入'!$H$212:$H$214)</x:f>
        <x:v>0.10000000000000142</x:v>
      </x:c>
      <x:c r="I74" s="18" t="n">
        <x:f>MIN('数据导入'!$H$212:$H$214)</x:f>
        <x:v>32</x:v>
      </x:c>
      <x:c r="J74" s="18" t="n">
        <x:f>MAX('数据导入'!$H$212:$H$214)</x:f>
        <x:v>32.2</x:v>
      </x:c>
    </x:row>
    <x:row r="75">
      <x:c r="A75" s="17" t="str">
        <x:v>a_star</x:v>
      </x:c>
      <x:c r="B75" s="17" t="str">
        <x:v>颜色a*</x:v>
      </x:c>
      <x:c r="C75" s="17" t="str">
        <x:v>-</x:v>
      </x:c>
      <x:c r="D75" s="17" t="n">
        <x:v>15</x:v>
      </x:c>
      <x:c r="E75" s="17" t="str">
        <x:v>CR</x:v>
      </x:c>
      <x:c r="F75" s="17" t="n">
        <x:f>COUNT('数据导入'!$H$215:$H$217)</x:f>
        <x:v>3</x:v>
      </x:c>
      <x:c r="G75" s="18" t="n">
        <x:f>AVERAGE('数据导入'!$H$215:$H$217)</x:f>
        <x:v>28</x:v>
      </x:c>
      <x:c r="H75" s="18" t="n">
        <x:f>STDEV.S('数据导入'!$H$215:$H$217)</x:f>
        <x:v>0.10000000000000142</x:v>
      </x:c>
      <x:c r="I75" s="18" t="n">
        <x:f>MIN('数据导入'!$H$215:$H$217)</x:f>
        <x:v>27.9</x:v>
      </x:c>
      <x:c r="J75" s="18" t="n">
        <x:f>MAX('数据导入'!$H$215:$H$217)</x:f>
        <x:v>28.1</x:v>
      </x:c>
    </x:row>
    <x:row r="76">
      <x:c r="A76" s="17" t="str">
        <x:v>a_star</x:v>
      </x:c>
      <x:c r="B76" s="17" t="str">
        <x:v>颜色a*</x:v>
      </x:c>
      <x:c r="C76" s="17" t="str">
        <x:v>-</x:v>
      </x:c>
      <x:c r="D76" s="17" t="n">
        <x:v>15</x:v>
      </x:c>
      <x:c r="E76" s="17" t="str">
        <x:v>MF</x:v>
      </x:c>
      <x:c r="F76" s="17" t="n">
        <x:f>COUNT('数据导入'!$H$218:$H$220)</x:f>
        <x:v>3</x:v>
      </x:c>
      <x:c r="G76" s="18" t="n">
        <x:f>AVERAGE('数据导入'!$H$218:$H$220)</x:f>
        <x:v>30.2</x:v>
      </x:c>
      <x:c r="H76" s="18" t="n">
        <x:f>STDEV.S('数据导入'!$H$218:$H$220)</x:f>
        <x:v>0.09999999999999964</x:v>
      </x:c>
      <x:c r="I76" s="18" t="n">
        <x:f>MIN('数据导入'!$H$218:$H$220)</x:f>
        <x:v>30.1</x:v>
      </x:c>
      <x:c r="J76" s="18" t="n">
        <x:f>MAX('数据导入'!$H$218:$H$220)</x:f>
        <x:v>30.3</x:v>
      </x:c>
    </x:row>
    <x:row r="77">
      <x:c r="A77" s="17" t="str">
        <x:v>delta_e</x:v>
      </x:c>
      <x:c r="B77" s="17" t="str">
        <x:v>总色差ΔE</x:v>
      </x:c>
      <x:c r="C77" s="17" t="str">
        <x:v>-</x:v>
      </x:c>
      <x:c r="D77" s="17" t="n">
        <x:v>0</x:v>
      </x:c>
      <x:c r="E77" s="17" t="str">
        <x:v>CR</x:v>
      </x:c>
      <x:c r="F77" s="17" t="n">
        <x:f>COUNT('数据导入'!$H$221:$H$223)</x:f>
        <x:v>3</x:v>
      </x:c>
      <x:c r="G77" s="18" t="n">
        <x:f>AVERAGE('数据导入'!$H$221:$H$223)</x:f>
        <x:v>0</x:v>
      </x:c>
      <x:c r="H77" s="18" t="n">
        <x:f>STDEV.S('数据导入'!$H$221:$H$223)</x:f>
        <x:v>0</x:v>
      </x:c>
      <x:c r="I77" s="18" t="n">
        <x:f>MIN('数据导入'!$H$221:$H$223)</x:f>
        <x:v>0</x:v>
      </x:c>
      <x:c r="J77" s="18" t="n">
        <x:f>MAX('数据导入'!$H$221:$H$223)</x:f>
        <x:v>0</x:v>
      </x:c>
    </x:row>
    <x:row r="78">
      <x:c r="A78" s="17" t="str">
        <x:v>delta_e</x:v>
      </x:c>
      <x:c r="B78" s="17" t="str">
        <x:v>总色差ΔE</x:v>
      </x:c>
      <x:c r="C78" s="17" t="str">
        <x:v>-</x:v>
      </x:c>
      <x:c r="D78" s="17" t="n">
        <x:v>0</x:v>
      </x:c>
      <x:c r="E78" s="17" t="str">
        <x:v>MF</x:v>
      </x:c>
      <x:c r="F78" s="17" t="n">
        <x:f>COUNT('数据导入'!$H$224:$H$226)</x:f>
        <x:v>3</x:v>
      </x:c>
      <x:c r="G78" s="18" t="n">
        <x:f>AVERAGE('数据导入'!$H$224:$H$226)</x:f>
        <x:v>0</x:v>
      </x:c>
      <x:c r="H78" s="18" t="n">
        <x:f>STDEV.S('数据导入'!$H$224:$H$226)</x:f>
        <x:v>0</x:v>
      </x:c>
      <x:c r="I78" s="18" t="n">
        <x:f>MIN('数据导入'!$H$224:$H$226)</x:f>
        <x:v>0</x:v>
      </x:c>
      <x:c r="J78" s="18" t="n">
        <x:f>MAX('数据导入'!$H$224:$H$226)</x:f>
        <x:v>0</x:v>
      </x:c>
    </x:row>
    <x:row r="79">
      <x:c r="A79" s="17" t="str">
        <x:v>delta_e</x:v>
      </x:c>
      <x:c r="B79" s="17" t="str">
        <x:v>总色差ΔE</x:v>
      </x:c>
      <x:c r="C79" s="17" t="str">
        <x:v>-</x:v>
      </x:c>
      <x:c r="D79" s="17" t="n">
        <x:v>3</x:v>
      </x:c>
      <x:c r="E79" s="17" t="str">
        <x:v>CR</x:v>
      </x:c>
      <x:c r="F79" s="17" t="n">
        <x:f>COUNT('数据导入'!$H$227:$H$229)</x:f>
        <x:v>3</x:v>
      </x:c>
      <x:c r="G79" s="18" t="n">
        <x:f>AVERAGE('数据导入'!$H$227:$H$229)</x:f>
        <x:v>6.8999999999999995</x:v>
      </x:c>
      <x:c r="H79" s="18" t="n">
        <x:f>STDEV.S('数据导入'!$H$227:$H$229)</x:f>
        <x:v>0.10000000000000009</x:v>
      </x:c>
      <x:c r="I79" s="18" t="n">
        <x:f>MIN('数据导入'!$H$227:$H$229)</x:f>
        <x:v>6.8</x:v>
      </x:c>
      <x:c r="J79" s="18" t="n">
        <x:f>MAX('数据导入'!$H$227:$H$229)</x:f>
        <x:v>7</x:v>
      </x:c>
    </x:row>
    <x:row r="80">
      <x:c r="A80" s="17" t="str">
        <x:v>delta_e</x:v>
      </x:c>
      <x:c r="B80" s="17" t="str">
        <x:v>总色差ΔE</x:v>
      </x:c>
      <x:c r="C80" s="17" t="str">
        <x:v>-</x:v>
      </x:c>
      <x:c r="D80" s="17" t="n">
        <x:v>3</x:v>
      </x:c>
      <x:c r="E80" s="17" t="str">
        <x:v>MF</x:v>
      </x:c>
      <x:c r="F80" s="17" t="n">
        <x:f>COUNT('数据导入'!$H$230:$H$232)</x:f>
        <x:v>3</x:v>
      </x:c>
      <x:c r="G80" s="18" t="n">
        <x:f>AVERAGE('数据导入'!$H$230:$H$232)</x:f>
        <x:v>6</x:v>
      </x:c>
      <x:c r="H80" s="18" t="n">
        <x:f>STDEV.S('数据导入'!$H$230:$H$232)</x:f>
        <x:v>0.09999999999999964</x:v>
      </x:c>
      <x:c r="I80" s="18" t="n">
        <x:f>MIN('数据导入'!$H$230:$H$232)</x:f>
        <x:v>5.9</x:v>
      </x:c>
      <x:c r="J80" s="18" t="n">
        <x:f>MAX('数据导入'!$H$230:$H$232)</x:f>
        <x:v>6.1</x:v>
      </x:c>
    </x:row>
    <x:row r="81">
      <x:c r="A81" s="17" t="str">
        <x:v>delta_e</x:v>
      </x:c>
      <x:c r="B81" s="17" t="str">
        <x:v>总色差ΔE</x:v>
      </x:c>
      <x:c r="C81" s="17" t="str">
        <x:v>-</x:v>
      </x:c>
      <x:c r="D81" s="17" t="n">
        <x:v>6</x:v>
      </x:c>
      <x:c r="E81" s="17" t="str">
        <x:v>CR</x:v>
      </x:c>
      <x:c r="F81" s="17" t="n">
        <x:f>COUNT('数据导入'!$H$233:$H$235)</x:f>
        <x:v>3</x:v>
      </x:c>
      <x:c r="G81" s="18" t="n">
        <x:f>AVERAGE('数据导入'!$H$233:$H$235)</x:f>
        <x:v>9.1</x:v>
      </x:c>
      <x:c r="H81" s="18" t="n">
        <x:f>STDEV.S('数据导入'!$H$233:$H$235)</x:f>
        <x:v>0.09999999999999964</x:v>
      </x:c>
      <x:c r="I81" s="18" t="n">
        <x:f>MIN('数据导入'!$H$233:$H$235)</x:f>
        <x:v>9</x:v>
      </x:c>
      <x:c r="J81" s="18" t="n">
        <x:f>MAX('数据导入'!$H$233:$H$235)</x:f>
        <x:v>9.2</x:v>
      </x:c>
    </x:row>
    <x:row r="82">
      <x:c r="A82" s="17" t="str">
        <x:v>delta_e</x:v>
      </x:c>
      <x:c r="B82" s="17" t="str">
        <x:v>总色差ΔE</x:v>
      </x:c>
      <x:c r="C82" s="17" t="str">
        <x:v>-</x:v>
      </x:c>
      <x:c r="D82" s="17" t="n">
        <x:v>6</x:v>
      </x:c>
      <x:c r="E82" s="17" t="str">
        <x:v>MF</x:v>
      </x:c>
      <x:c r="F82" s="17" t="n">
        <x:f>COUNT('数据导入'!$H$236:$H$238)</x:f>
        <x:v>3</x:v>
      </x:c>
      <x:c r="G82" s="18" t="n">
        <x:f>AVERAGE('数据导入'!$H$236:$H$238)</x:f>
        <x:v>8</x:v>
      </x:c>
      <x:c r="H82" s="18" t="n">
        <x:f>STDEV.S('数据导入'!$H$236:$H$238)</x:f>
        <x:v>0.09999999999999964</x:v>
      </x:c>
      <x:c r="I82" s="18" t="n">
        <x:f>MIN('数据导入'!$H$236:$H$238)</x:f>
        <x:v>7.9</x:v>
      </x:c>
      <x:c r="J82" s="18" t="n">
        <x:f>MAX('数据导入'!$H$236:$H$238)</x:f>
        <x:v>8.1</x:v>
      </x:c>
    </x:row>
    <x:row r="83">
      <x:c r="A83" s="17" t="str">
        <x:v>delta_e</x:v>
      </x:c>
      <x:c r="B83" s="17" t="str">
        <x:v>总色差ΔE</x:v>
      </x:c>
      <x:c r="C83" s="17" t="str">
        <x:v>-</x:v>
      </x:c>
      <x:c r="D83" s="17" t="n">
        <x:v>9</x:v>
      </x:c>
      <x:c r="E83" s="17" t="str">
        <x:v>CR</x:v>
      </x:c>
      <x:c r="F83" s="17" t="n">
        <x:f>COUNT('数据导入'!$H$239:$H$241)</x:f>
        <x:v>3</x:v>
      </x:c>
      <x:c r="G83" s="18" t="n">
        <x:f>AVERAGE('数据导入'!$H$239:$H$241)</x:f>
        <x:v>9.1</x:v>
      </x:c>
      <x:c r="H83" s="18" t="n">
        <x:f>STDEV.S('数据导入'!$H$239:$H$241)</x:f>
        <x:v>0.09999999999999964</x:v>
      </x:c>
      <x:c r="I83" s="18" t="n">
        <x:f>MIN('数据导入'!$H$239:$H$241)</x:f>
        <x:v>9</x:v>
      </x:c>
      <x:c r="J83" s="18" t="n">
        <x:f>MAX('数据导入'!$H$239:$H$241)</x:f>
        <x:v>9.2</x:v>
      </x:c>
    </x:row>
    <x:row r="84">
      <x:c r="A84" s="17" t="str">
        <x:v>delta_e</x:v>
      </x:c>
      <x:c r="B84" s="17" t="str">
        <x:v>总色差ΔE</x:v>
      </x:c>
      <x:c r="C84" s="17" t="str">
        <x:v>-</x:v>
      </x:c>
      <x:c r="D84" s="17" t="n">
        <x:v>9</x:v>
      </x:c>
      <x:c r="E84" s="17" t="str">
        <x:v>MF</x:v>
      </x:c>
      <x:c r="F84" s="17" t="n">
        <x:f>COUNT('数据导入'!$H$242:$H$244)</x:f>
        <x:v>3</x:v>
      </x:c>
      <x:c r="G84" s="18" t="n">
        <x:f>AVERAGE('数据导入'!$H$242:$H$244)</x:f>
        <x:v>7.5</x:v>
      </x:c>
      <x:c r="H84" s="18" t="n">
        <x:f>STDEV.S('数据导入'!$H$242:$H$244)</x:f>
        <x:v>0.09999999999999964</x:v>
      </x:c>
      <x:c r="I84" s="18" t="n">
        <x:f>MIN('数据导入'!$H$242:$H$244)</x:f>
        <x:v>7.4</x:v>
      </x:c>
      <x:c r="J84" s="18" t="n">
        <x:f>MAX('数据导入'!$H$242:$H$244)</x:f>
        <x:v>7.6</x:v>
      </x:c>
    </x:row>
    <x:row r="85">
      <x:c r="A85" s="17" t="str">
        <x:v>delta_e</x:v>
      </x:c>
      <x:c r="B85" s="17" t="str">
        <x:v>总色差ΔE</x:v>
      </x:c>
      <x:c r="C85" s="17" t="str">
        <x:v>-</x:v>
      </x:c>
      <x:c r="D85" s="17" t="n">
        <x:v>12</x:v>
      </x:c>
      <x:c r="E85" s="17" t="str">
        <x:v>CR</x:v>
      </x:c>
      <x:c r="F85" s="17" t="n">
        <x:f>COUNT('数据导入'!$H$245:$H$247)</x:f>
        <x:v>3</x:v>
      </x:c>
      <x:c r="G85" s="18" t="n">
        <x:f>AVERAGE('数据导入'!$H$245:$H$247)</x:f>
        <x:v>11</x:v>
      </x:c>
      <x:c r="H85" s="18" t="n">
        <x:f>STDEV.S('数据导入'!$H$245:$H$247)</x:f>
        <x:v>0.09999999999999964</x:v>
      </x:c>
      <x:c r="I85" s="18" t="n">
        <x:f>MIN('数据导入'!$H$245:$H$247)</x:f>
        <x:v>10.9</x:v>
      </x:c>
      <x:c r="J85" s="18" t="n">
        <x:f>MAX('数据导入'!$H$245:$H$247)</x:f>
        <x:v>11.1</x:v>
      </x:c>
    </x:row>
    <x:row r="86">
      <x:c r="A86" s="17" t="str">
        <x:v>delta_e</x:v>
      </x:c>
      <x:c r="B86" s="17" t="str">
        <x:v>总色差ΔE</x:v>
      </x:c>
      <x:c r="C86" s="17" t="str">
        <x:v>-</x:v>
      </x:c>
      <x:c r="D86" s="17" t="n">
        <x:v>12</x:v>
      </x:c>
      <x:c r="E86" s="17" t="str">
        <x:v>MF</x:v>
      </x:c>
      <x:c r="F86" s="17" t="n">
        <x:f>COUNT('数据导入'!$H$248:$H$250)</x:f>
        <x:v>3</x:v>
      </x:c>
      <x:c r="G86" s="18" t="n">
        <x:f>AVERAGE('数据导入'!$H$248:$H$250)</x:f>
        <x:v>8</x:v>
      </x:c>
      <x:c r="H86" s="18" t="n">
        <x:f>STDEV.S('数据导入'!$H$248:$H$250)</x:f>
        <x:v>0.09999999999999964</x:v>
      </x:c>
      <x:c r="I86" s="18" t="n">
        <x:f>MIN('数据导入'!$H$248:$H$250)</x:f>
        <x:v>7.9</x:v>
      </x:c>
      <x:c r="J86" s="18" t="n">
        <x:f>MAX('数据导入'!$H$248:$H$250)</x:f>
        <x:v>8.1</x:v>
      </x:c>
    </x:row>
    <x:row r="87">
      <x:c r="A87" s="17" t="str">
        <x:v>delta_e</x:v>
      </x:c>
      <x:c r="B87" s="17" t="str">
        <x:v>总色差ΔE</x:v>
      </x:c>
      <x:c r="C87" s="17" t="str">
        <x:v>-</x:v>
      </x:c>
      <x:c r="D87" s="17" t="n">
        <x:v>15</x:v>
      </x:c>
      <x:c r="E87" s="17" t="str">
        <x:v>CR</x:v>
      </x:c>
      <x:c r="F87" s="17" t="n">
        <x:f>COUNT('数据导入'!$H$251:$H$253)</x:f>
        <x:v>3</x:v>
      </x:c>
      <x:c r="G87" s="18" t="n">
        <x:f>AVERAGE('数据导入'!$H$251:$H$253)</x:f>
        <x:v>16</x:v>
      </x:c>
      <x:c r="H87" s="18" t="n">
        <x:f>STDEV.S('数据导入'!$H$251:$H$253)</x:f>
        <x:v>0.10000000000000053</x:v>
      </x:c>
      <x:c r="I87" s="18" t="n">
        <x:f>MIN('数据导入'!$H$251:$H$253)</x:f>
        <x:v>15.9</x:v>
      </x:c>
      <x:c r="J87" s="18" t="n">
        <x:f>MAX('数据导入'!$H$251:$H$253)</x:f>
        <x:v>16.1</x:v>
      </x:c>
    </x:row>
    <x:row r="88">
      <x:c r="A88" s="17" t="str">
        <x:v>delta_e</x:v>
      </x:c>
      <x:c r="B88" s="17" t="str">
        <x:v>总色差ΔE</x:v>
      </x:c>
      <x:c r="C88" s="17" t="str">
        <x:v>-</x:v>
      </x:c>
      <x:c r="D88" s="17" t="n">
        <x:v>15</x:v>
      </x:c>
      <x:c r="E88" s="17" t="str">
        <x:v>MF</x:v>
      </x:c>
      <x:c r="F88" s="17" t="n">
        <x:f>COUNT('数据导入'!$H$254:$H$256)</x:f>
        <x:v>3</x:v>
      </x:c>
      <x:c r="G88" s="18" t="n">
        <x:f>AVERAGE('数据导入'!$H$254:$H$256)</x:f>
        <x:v>9.4</x:v>
      </x:c>
      <x:c r="H88" s="18" t="n">
        <x:f>STDEV.S('数据导入'!$H$254:$H$256)</x:f>
        <x:v>0.09999999999999964</x:v>
      </x:c>
      <x:c r="I88" s="18" t="n">
        <x:f>MIN('数据导入'!$H$254:$H$256)</x:f>
        <x:v>9.3</x:v>
      </x:c>
      <x:c r="J88" s="18" t="n">
        <x:f>MAX('数据导入'!$H$254:$H$256)</x:f>
        <x:v>9.5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6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28" hidden="0" customWidth="1"/>
  </x:cols>
  <x:sheetData>
    <x:row r="1" ht="30" customHeight="1">
      <x:c r="A1" s="3" t="str">
        <x:v>处理间时点对比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差值、相对差、Welch t与自由度均由描述统计公式派生；因设计信息不完整，仅作探索性复核。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指标ID</x:v>
      </x:c>
      <x:c r="B4" s="13" t="str">
        <x:v>指标</x:v>
      </x:c>
      <x:c r="C4" s="13" t="str">
        <x:v>单位</x:v>
      </x:c>
      <x:c r="D4" s="13" t="str">
        <x:v>方向</x:v>
      </x:c>
      <x:c r="E4" s="13" t="str">
        <x:v>天数</x:v>
      </x:c>
      <x:c r="F4" s="13" t="str">
        <x:v>CR均值</x:v>
      </x:c>
      <x:c r="G4" s="13" t="str">
        <x:v>MF均值</x:v>
      </x:c>
      <x:c r="H4" s="13" t="str">
        <x:v>MF-CR</x:v>
      </x:c>
      <x:c r="I4" s="13" t="str">
        <x:v>相对CR</x:v>
      </x:c>
      <x:c r="J4" s="13" t="str">
        <x:v>Welch t</x:v>
      </x:c>
      <x:c r="K4" s="13" t="str">
        <x:v>Welch df</x:v>
      </x:c>
      <x:c r="L4" s="13" t="str">
        <x:v>方向判定</x:v>
      </x:c>
      <x:c r="M4" s="13" t="str">
        <x:v>证据边界</x:v>
      </x:c>
    </x:row>
    <x:row r="5">
      <x:c r="A5" s="17" t="str">
        <x:v>hardness</x:v>
      </x:c>
      <x:c r="B5" s="17" t="str">
        <x:v>硬度</x:v>
      </x:c>
      <x:c r="C5" s="17" t="str">
        <x:v>N</x:v>
      </x:c>
      <x:c r="D5" s="17" t="str">
        <x:v>higher_better</x:v>
      </x:c>
      <x:c r="E5" s="17" t="n">
        <x:v>0</x:v>
      </x:c>
      <x:c r="F5" s="18" t="n">
        <x:f>'描述统计'!G5</x:f>
        <x:v>84</x:v>
      </x:c>
      <x:c r="G5" s="18" t="n">
        <x:f>'描述统计'!G6</x:f>
        <x:v>84</x:v>
      </x:c>
      <x:c r="H5" s="18" t="n">
        <x:f>G5-F5</x:f>
        <x:v>0</x:v>
      </x:c>
      <x:c r="I5" s="19" t="n">
        <x:f>IF(F5=0,"",H5/F5)</x:f>
        <x:v>0</x:v>
      </x:c>
      <x:c r="J5" s="18" t="n">
        <x:f>IF((POWER('描述统计'!H5,2)/'描述统计'!F5)+(POWER('描述统计'!H6,2)/'描述统计'!F6)=0,"",H5/SQRT((POWER('描述统计'!H5,2)/'描述统计'!F5)+(POWER('描述统计'!H6,2)/'描述统计'!F6)))</x:f>
        <x:v>0</x:v>
      </x:c>
      <x:c r="K5" s="18" t="n">
        <x:f>IF((POWER(POWER('描述统计'!H5,2)/'描述统计'!F5,2)/('描述统计'!F5-1))+(POWER(POWER('描述统计'!H6,2)/'描述统计'!F6,2)/('描述统计'!F6-1))=0,"",POWER((POWER('描述统计'!H5,2)/'描述统计'!F5)+(POWER('描述统计'!H6,2)/'描述统计'!F6),2)/(POWER(POWER('描述统计'!H5,2)/'描述统计'!F5,2)/('描述统计'!F5-1))+(POWER(POWER('描述统计'!H6,2)/'描述统计'!F6,2)/('描述统计'!F6-1)))</x:f>
        <x:v>3.1250055555553775</x:v>
      </x:c>
      <x:c r="L5" s="17" t="str">
        <x:f>IF(H5&gt;0,"MF较优",IF(H5&lt;0,"CR较优","持平"))</x:f>
        <x:v>持平</x:v>
      </x:c>
      <x:c r="M5" s="17" t="str">
        <x:v>探索性；不替代独立复现</x:v>
      </x:c>
    </x:row>
    <x:row r="6">
      <x:c r="A6" s="17" t="str">
        <x:v>hardness</x:v>
      </x:c>
      <x:c r="B6" s="17" t="str">
        <x:v>硬度</x:v>
      </x:c>
      <x:c r="C6" s="17" t="str">
        <x:v>N</x:v>
      </x:c>
      <x:c r="D6" s="17" t="str">
        <x:v>higher_better</x:v>
      </x:c>
      <x:c r="E6" s="17" t="n">
        <x:v>3</x:v>
      </x:c>
      <x:c r="F6" s="18" t="n">
        <x:f>'描述统计'!G7</x:f>
        <x:v>66.76666666666667</x:v>
      </x:c>
      <x:c r="G6" s="18" t="n">
        <x:f>'描述统计'!G8</x:f>
        <x:v>77.23333333333333</x:v>
      </x:c>
      <x:c r="H6" s="18" t="n">
        <x:f>G6-F6</x:f>
        <x:v>10.466666666666669</x:v>
      </x:c>
      <x:c r="I6" s="19" t="n">
        <x:f>IF(F6=0,"",H6/F6)</x:f>
        <x:v>0.15676485272091864</x:v>
      </x:c>
      <x:c r="J6" s="18" t="n">
        <x:f>IF((POWER('描述统计'!H7,2)/'描述统计'!F7)+(POWER('描述统计'!H8,2)/'描述统计'!F8)=0,"",H6/SQRT((POWER('描述统计'!H7,2)/'描述统计'!F7)+(POWER('描述统计'!H8,2)/'描述统计'!F8)))</x:f>
        <x:v>9.51952328267607</x:v>
      </x:c>
      <x:c r="K6" s="18" t="n">
        <x:f>IF((POWER(POWER('描述统计'!H7,2)/'描述统计'!F7,2)/('描述统计'!F7-1))+(POWER(POWER('描述统计'!H8,2)/'描述统计'!F8,2)/('描述统计'!F8-1))=0,"",POWER((POWER('描述统计'!H7,2)/'描述统计'!F7)+(POWER('描述统计'!H8,2)/'描述统计'!F8),2)/(POWER(POWER('描述统计'!H7,2)/'描述统计'!F7,2)/('描述统计'!F7-1))+(POWER(POWER('描述统计'!H8,2)/'描述统计'!F8,2)/('描述统计'!F8-1)))</x:f>
        <x:v>2.820847539684618</x:v>
      </x:c>
      <x:c r="L6" s="17" t="str">
        <x:f>IF(H6&gt;0,"MF较优",IF(H6&lt;0,"CR较优","持平"))</x:f>
        <x:v>MF较优</x:v>
      </x:c>
      <x:c r="M6" s="17" t="str">
        <x:v>探索性；不替代独立复现</x:v>
      </x:c>
    </x:row>
    <x:row r="7">
      <x:c r="A7" s="17" t="str">
        <x:v>hardness</x:v>
      </x:c>
      <x:c r="B7" s="17" t="str">
        <x:v>硬度</x:v>
      </x:c>
      <x:c r="C7" s="17" t="str">
        <x:v>N</x:v>
      </x:c>
      <x:c r="D7" s="17" t="str">
        <x:v>higher_better</x:v>
      </x:c>
      <x:c r="E7" s="17" t="n">
        <x:v>6</x:v>
      </x:c>
      <x:c r="F7" s="18" t="n">
        <x:f>'描述统计'!G9</x:f>
        <x:v>50.26666666666667</x:v>
      </x:c>
      <x:c r="G7" s="18" t="n">
        <x:f>'描述统计'!G10</x:f>
        <x:v>69.23333333333333</x:v>
      </x:c>
      <x:c r="H7" s="18" t="n">
        <x:f>G7-F7</x:f>
        <x:v>18.96666666666666</x:v>
      </x:c>
      <x:c r="I7" s="19" t="n">
        <x:f>IF(F7=0,"",H7/F7)</x:f>
        <x:v>0.37732095490716167</x:v>
      </x:c>
      <x:c r="J7" s="18" t="n">
        <x:f>IF((POWER('描述统计'!H9,2)/'描述统计'!F9)+(POWER('描述统计'!H10,2)/'描述统计'!F10)=0,"",H7/SQRT((POWER('描述统计'!H9,2)/'描述统计'!F9)+(POWER('描述统计'!H10,2)/'描述统计'!F10)))</x:f>
        <x:v>15.272760215853285</x:v>
      </x:c>
      <x:c r="K7" s="18" t="n">
        <x:f>IF((POWER(POWER('描述统计'!H9,2)/'描述统计'!F9,2)/('描述统计'!F9-1))+(POWER(POWER('描述统计'!H10,2)/'描述统计'!F10,2)/('描述统计'!F10-1))=0,"",POWER((POWER('描述统计'!H9,2)/'描述统计'!F9)+(POWER('描述统计'!H10,2)/'描述统计'!F10),2)/(POWER(POWER('描述统计'!H9,2)/'描述统计'!F9,2)/('描述统计'!F9-1))+(POWER(POWER('描述统计'!H10,2)/'描述统计'!F10,2)/('描述统计'!F10-1)))</x:f>
        <x:v>4.698016054626877</x:v>
      </x:c>
      <x:c r="L7" s="17" t="str">
        <x:f>IF(H7&gt;0,"MF较优",IF(H7&lt;0,"CR较优","持平"))</x:f>
        <x:v>MF较优</x:v>
      </x:c>
      <x:c r="M7" s="17" t="str">
        <x:v>探索性；不替代独立复现</x:v>
      </x:c>
    </x:row>
    <x:row r="8">
      <x:c r="A8" s="17" t="str">
        <x:v>hardness</x:v>
      </x:c>
      <x:c r="B8" s="17" t="str">
        <x:v>硬度</x:v>
      </x:c>
      <x:c r="C8" s="17" t="str">
        <x:v>N</x:v>
      </x:c>
      <x:c r="D8" s="17" t="str">
        <x:v>higher_better</x:v>
      </x:c>
      <x:c r="E8" s="17" t="n">
        <x:v>9</x:v>
      </x:c>
      <x:c r="F8" s="18" t="n">
        <x:f>'描述统计'!G11</x:f>
        <x:v>33.5</x:v>
      </x:c>
      <x:c r="G8" s="18" t="n">
        <x:f>'描述统计'!G12</x:f>
        <x:v>58.5</x:v>
      </x:c>
      <x:c r="H8" s="18" t="n">
        <x:f>G8-F8</x:f>
        <x:v>25</x:v>
      </x:c>
      <x:c r="I8" s="19" t="n">
        <x:f>IF(F8=0,"",H8/F8)</x:f>
        <x:v>0.746268656716418</x:v>
      </x:c>
      <x:c r="J8" s="18" t="n">
        <x:f>IF((POWER('描述统计'!H11,2)/'描述统计'!F11)+(POWER('描述统计'!H12,2)/'描述统计'!F12)=0,"",H8/SQRT((POWER('描述统计'!H11,2)/'描述统计'!F11)+(POWER('描述统计'!H12,2)/'描述统计'!F12)))</x:f>
        <x:v>20.412414523193153</x:v>
      </x:c>
      <x:c r="K8" s="18" t="n">
        <x:f>IF((POWER(POWER('描述统计'!H11,2)/'描述统计'!F11,2)/('描述统计'!F11-1))+(POWER(POWER('描述统计'!H12,2)/'描述统计'!F12,2)/('描述统计'!F12-1))=0,"",POWER((POWER('描述统计'!H11,2)/'描述统计'!F11)+(POWER('描述统计'!H12,2)/'描述统计'!F12),2)/(POWER(POWER('描述统计'!H11,2)/'描述统计'!F11,2)/('描述统计'!F11-1))+(POWER(POWER('描述统计'!H12,2)/'描述统计'!F12,2)/('描述统计'!F12-1)))</x:f>
        <x:v>8.28125</x:v>
      </x:c>
      <x:c r="L8" s="17" t="str">
        <x:f>IF(H8&gt;0,"MF较优",IF(H8&lt;0,"CR较优","持平"))</x:f>
        <x:v>MF较优</x:v>
      </x:c>
      <x:c r="M8" s="17" t="str">
        <x:v>探索性；不替代独立复现</x:v>
      </x:c>
    </x:row>
    <x:row r="9">
      <x:c r="A9" s="17" t="str">
        <x:v>hardness</x:v>
      </x:c>
      <x:c r="B9" s="17" t="str">
        <x:v>硬度</x:v>
      </x:c>
      <x:c r="C9" s="17" t="str">
        <x:v>N</x:v>
      </x:c>
      <x:c r="D9" s="17" t="str">
        <x:v>higher_better</x:v>
      </x:c>
      <x:c r="E9" s="17" t="n">
        <x:v>12</x:v>
      </x:c>
      <x:c r="F9" s="18" t="n">
        <x:f>'描述统计'!G13</x:f>
        <x:v>16.766666666666666</x:v>
      </x:c>
      <x:c r="G9" s="18" t="n">
        <x:f>'描述统计'!G14</x:f>
        <x:v>38.766666666666666</x:v>
      </x:c>
      <x:c r="H9" s="18" t="n">
        <x:f>G9-F9</x:f>
        <x:v>22</x:v>
      </x:c>
      <x:c r="I9" s="19" t="n">
        <x:f>IF(F9=0,"",H9/F9)</x:f>
        <x:v>1.312127236580517</x:v>
      </x:c>
      <x:c r="J9" s="18" t="n">
        <x:f>IF((POWER('描述统计'!H13,2)/'描述统计'!F13)+(POWER('描述统计'!H14,2)/'描述统计'!F14)=0,"",H9/SQRT((POWER('描述统计'!H13,2)/'描述统计'!F13)+(POWER('描述统计'!H14,2)/'描述统计'!F14)))</x:f>
        <x:v>21.54976389879519</x:v>
      </x:c>
      <x:c r="K9" s="18" t="n">
        <x:f>IF((POWER(POWER('描述统计'!H13,2)/'描述统计'!F13,2)/('描述统计'!F13-1))+(POWER(POWER('描述统计'!H14,2)/'描述统计'!F14,2)/('描述统计'!F14-1))=0,"",POWER((POWER('描述统计'!H13,2)/'描述统计'!F13)+(POWER('描述统计'!H14,2)/'描述统计'!F14),2)/(POWER(POWER('描述统计'!H13,2)/'描述统计'!F13,2)/('描述统计'!F13-1))+(POWER(POWER('描述统计'!H14,2)/'描述统计'!F14,2)/('描述统计'!F14-1)))</x:f>
        <x:v>8.13577839506173</x:v>
      </x:c>
      <x:c r="L9" s="17" t="str">
        <x:f>IF(H9&gt;0,"MF较优",IF(H9&lt;0,"CR较优","持平"))</x:f>
        <x:v>MF较优</x:v>
      </x:c>
      <x:c r="M9" s="17" t="str">
        <x:v>探索性；不替代独立复现</x:v>
      </x:c>
    </x:row>
    <x:row r="10">
      <x:c r="A10" s="17" t="str">
        <x:v>hardness</x:v>
      </x:c>
      <x:c r="B10" s="17" t="str">
        <x:v>硬度</x:v>
      </x:c>
      <x:c r="C10" s="17" t="str">
        <x:v>N</x:v>
      </x:c>
      <x:c r="D10" s="17" t="str">
        <x:v>higher_better</x:v>
      </x:c>
      <x:c r="E10" s="17" t="n">
        <x:v>15</x:v>
      </x:c>
      <x:c r="F10" s="18" t="n">
        <x:f>'描述统计'!G15</x:f>
        <x:v>3</x:v>
      </x:c>
      <x:c r="G10" s="18" t="n">
        <x:f>'描述统计'!G16</x:f>
        <x:v>16.233333333333334</x:v>
      </x:c>
      <x:c r="H10" s="18" t="n">
        <x:f>G10-F10</x:f>
        <x:v>13.233333333333334</x:v>
      </x:c>
      <x:c r="I10" s="19" t="n">
        <x:f>IF(F10=0,"",H10/F10)</x:f>
        <x:v>4.411111111111111</x:v>
      </x:c>
      <x:c r="J10" s="18" t="n">
        <x:f>IF((POWER('描述统计'!H15,2)/'描述统计'!F15)+(POWER('描述统计'!H16,2)/'描述统计'!F16)=0,"",H10/SQRT((POWER('描述统计'!H15,2)/'描述统计'!F15)+(POWER('描述统计'!H16,2)/'描述统计'!F16)))</x:f>
        <x:v>25.41532066667985</x:v>
      </x:c>
      <x:c r="K10" s="18" t="n">
        <x:f>IF((POWER(POWER('描述统计'!H15,2)/'描述统计'!F15,2)/('描述统计'!F15-1))+(POWER(POWER('描述统计'!H16,2)/'描述统计'!F16,2)/('描述统计'!F16-1))=0,"",POWER((POWER('描述统计'!H15,2)/'描述统计'!F15)+(POWER('描述统计'!H16,2)/'描述统计'!F16),2)/(POWER(POWER('描述统计'!H15,2)/'描述统计'!F15,2)/('描述统计'!F15-1))+(POWER(POWER('描述统计'!H16,2)/'描述统计'!F16,2)/('描述统计'!F16-1)))</x:f>
        <x:v>21.18598580246914</x:v>
      </x:c>
      <x:c r="L10" s="17" t="str">
        <x:f>IF(H10&gt;0,"MF较优",IF(H10&lt;0,"CR较优","持平"))</x:f>
        <x:v>MF较优</x:v>
      </x:c>
      <x:c r="M10" s="17" t="str">
        <x:v>探索性；不替代独立复现</x:v>
      </x:c>
    </x:row>
    <x:row r="11">
      <x:c r="A11" s="17" t="str">
        <x:v>weight_loss</x:v>
      </x:c>
      <x:c r="B11" s="17" t="str">
        <x:v>失重率</x:v>
      </x:c>
      <x:c r="C11" s="17" t="str">
        <x:v>%</x:v>
      </x:c>
      <x:c r="D11" s="17" t="str">
        <x:v>lower_better</x:v>
      </x:c>
      <x:c r="E11" s="17" t="n">
        <x:v>0</x:v>
      </x:c>
      <x:c r="F11" s="18" t="n">
        <x:f>'描述统计'!G17</x:f>
        <x:v>0</x:v>
      </x:c>
      <x:c r="G11" s="18" t="n">
        <x:f>'描述统计'!G18</x:f>
        <x:v>0</x:v>
      </x:c>
      <x:c r="H11" s="18" t="n">
        <x:f>G11-F11</x:f>
        <x:v>0</x:v>
      </x:c>
      <x:c r="I11" s="19" t="str">
        <x:f>IF(F11=0,"",H11/F11)</x:f>
      </x:c>
      <x:c r="J11" s="18" t="str">
        <x:f>IF((POWER('描述统计'!H17,2)/'描述统计'!F17)+(POWER('描述统计'!H18,2)/'描述统计'!F18)=0,"",H11/SQRT((POWER('描述统计'!H17,2)/'描述统计'!F17)+(POWER('描述统计'!H18,2)/'描述统计'!F18)))</x:f>
      </x:c>
      <x:c r="K11" s="18" t="str">
        <x:f>IF((POWER(POWER('描述统计'!H17,2)/'描述统计'!F17,2)/('描述统计'!F17-1))+(POWER(POWER('描述统计'!H18,2)/'描述统计'!F18,2)/('描述统计'!F18-1))=0,"",POWER((POWER('描述统计'!H17,2)/'描述统计'!F17)+(POWER('描述统计'!H18,2)/'描述统计'!F18),2)/(POWER(POWER('描述统计'!H17,2)/'描述统计'!F17,2)/('描述统计'!F17-1))+(POWER(POWER('描述统计'!H18,2)/'描述统计'!F18,2)/('描述统计'!F18-1)))</x:f>
      </x:c>
      <x:c r="L11" s="17" t="str">
        <x:f>IF(H11&lt;0,"MF较优",IF(H11&gt;0,"CR较优","持平"))</x:f>
        <x:v>持平</x:v>
      </x:c>
      <x:c r="M11" s="17" t="str">
        <x:v>探索性；不替代独立复现</x:v>
      </x:c>
    </x:row>
    <x:row r="12">
      <x:c r="A12" s="17" t="str">
        <x:v>weight_loss</x:v>
      </x:c>
      <x:c r="B12" s="17" t="str">
        <x:v>失重率</x:v>
      </x:c>
      <x:c r="C12" s="17" t="str">
        <x:v>%</x:v>
      </x:c>
      <x:c r="D12" s="17" t="str">
        <x:v>lower_better</x:v>
      </x:c>
      <x:c r="E12" s="17" t="n">
        <x:v>3</x:v>
      </x:c>
      <x:c r="F12" s="18" t="n">
        <x:f>'描述统计'!G19</x:f>
        <x:v>2.3</x:v>
      </x:c>
      <x:c r="G12" s="18" t="n">
        <x:f>'描述统计'!G20</x:f>
        <x:v>1.1</x:v>
      </x:c>
      <x:c r="H12" s="18" t="n">
        <x:f>G12-F12</x:f>
        <x:v>-1.1999999999999997</x:v>
      </x:c>
      <x:c r="I12" s="19" t="n">
        <x:f>IF(F12=0,"",H12/F12)</x:f>
        <x:v>-0.5217391304347825</x:v>
      </x:c>
      <x:c r="J12" s="18" t="n">
        <x:f>IF((POWER('描述统计'!H19,2)/'描述统计'!F19)+(POWER('描述统计'!H20,2)/'描述统计'!F20)=0,"",H12/SQRT((POWER('描述统计'!H19,2)/'描述统计'!F19)+(POWER('描述统计'!H20,2)/'描述统计'!F20)))</x:f>
        <x:v>-9.295160030897799</x:v>
      </x:c>
      <x:c r="K12" s="18" t="n">
        <x:f>IF((POWER(POWER('描述统计'!H19,2)/'描述统计'!F19,2)/('描述统计'!F19-1))+(POWER(POWER('描述统计'!H20,2)/'描述统计'!F20,2)/('描述统计'!F20-1))=0,"",POWER((POWER('描述统计'!H19,2)/'描述统计'!F19)+(POWER('描述统计'!H20,2)/'描述统计'!F20),2)/(POWER(POWER('描述统计'!H19,2)/'描述统计'!F19,2)/('描述统计'!F19-1))+(POWER(POWER('描述统计'!H20,2)/'描述统计'!F20,2)/('描述统计'!F20-1)))</x:f>
        <x:v>3.125005555555556</x:v>
      </x:c>
      <x:c r="L12" s="17" t="str">
        <x:f>IF(H12&lt;0,"MF较优",IF(H12&gt;0,"CR较优","持平"))</x:f>
        <x:v>MF较优</x:v>
      </x:c>
      <x:c r="M12" s="17" t="str">
        <x:v>探索性；不替代独立复现</x:v>
      </x:c>
    </x:row>
    <x:row r="13">
      <x:c r="A13" s="17" t="str">
        <x:v>weight_loss</x:v>
      </x:c>
      <x:c r="B13" s="17" t="str">
        <x:v>失重率</x:v>
      </x:c>
      <x:c r="C13" s="17" t="str">
        <x:v>%</x:v>
      </x:c>
      <x:c r="D13" s="17" t="str">
        <x:v>lower_better</x:v>
      </x:c>
      <x:c r="E13" s="17" t="n">
        <x:v>6</x:v>
      </x:c>
      <x:c r="F13" s="18" t="n">
        <x:f>'描述统计'!G21</x:f>
        <x:v>5.766666666666667</x:v>
      </x:c>
      <x:c r="G13" s="18" t="n">
        <x:f>'描述统计'!G22</x:f>
        <x:v>3</x:v>
      </x:c>
      <x:c r="H13" s="18" t="n">
        <x:f>G13-F13</x:f>
        <x:v>-2.7666666666666666</x:v>
      </x:c>
      <x:c r="I13" s="19" t="n">
        <x:f>IF(F13=0,"",H13/F13)</x:f>
        <x:v>-0.4797687861271676</x:v>
      </x:c>
      <x:c r="J13" s="18" t="n">
        <x:f>IF((POWER('描述统计'!H21,2)/'描述统计'!F21)+(POWER('描述统计'!H22,2)/'描述统计'!F22)=0,"",H13/SQRT((POWER('描述统计'!H21,2)/'描述统计'!F21)+(POWER('描述统计'!H22,2)/'描述统计'!F22)))</x:f>
        <x:v>-14.907240068222311</x:v>
      </x:c>
      <x:c r="K13" s="18" t="n">
        <x:f>IF((POWER(POWER('描述统计'!H21,2)/'描述统计'!F21,2)/('描述统计'!F21-1))+(POWER(POWER('描述统计'!H22,2)/'描述统计'!F22,2)/('描述统计'!F22-1))=0,"",POWER((POWER('描述统计'!H21,2)/'描述统计'!F21)+(POWER('描述统计'!H22,2)/'描述统计'!F22),2)/(POWER(POWER('描述统计'!H21,2)/'描述统计'!F21,2)/('描述统计'!F21-1))+(POWER(POWER('描述统计'!H22,2)/'描述统计'!F22,2)/('描述统计'!F22-1)))</x:f>
        <x:v>5.324188611880587</x:v>
      </x:c>
      <x:c r="L13" s="17" t="str">
        <x:f>IF(H13&lt;0,"MF较优",IF(H13&gt;0,"CR较优","持平"))</x:f>
        <x:v>MF较优</x:v>
      </x:c>
      <x:c r="M13" s="17" t="str">
        <x:v>探索性；不替代独立复现</x:v>
      </x:c>
    </x:row>
    <x:row r="14">
      <x:c r="A14" s="17" t="str">
        <x:v>weight_loss</x:v>
      </x:c>
      <x:c r="B14" s="17" t="str">
        <x:v>失重率</x:v>
      </x:c>
      <x:c r="C14" s="17" t="str">
        <x:v>%</x:v>
      </x:c>
      <x:c r="D14" s="17" t="str">
        <x:v>lower_better</x:v>
      </x:c>
      <x:c r="E14" s="17" t="n">
        <x:v>9</x:v>
      </x:c>
      <x:c r="F14" s="18" t="n">
        <x:f>'描述统计'!G23</x:f>
        <x:v>9.266666666666667</x:v>
      </x:c>
      <x:c r="G14" s="18" t="n">
        <x:f>'描述统计'!G24</x:f>
        <x:v>4.766666666666667</x:v>
      </x:c>
      <x:c r="H14" s="18" t="n">
        <x:f>G14-F14</x:f>
        <x:v>-4.500000000000001</x:v>
      </x:c>
      <x:c r="I14" s="19" t="n">
        <x:f>IF(F14=0,"",H14/F14)</x:f>
        <x:v>-0.48561151079136694</x:v>
      </x:c>
      <x:c r="J14" s="18" t="n">
        <x:f>IF((POWER('描述统计'!H23,2)/'描述统计'!F23)+(POWER('描述统计'!H24,2)/'描述统计'!F24)=0,"",H14/SQRT((POWER('描述统计'!H23,2)/'描述统计'!F23)+(POWER('描述统计'!H24,2)/'描述统计'!F24)))</x:f>
        <x:v>-21.899891852652946</x:v>
      </x:c>
      <x:c r="K14" s="18" t="n">
        <x:f>IF((POWER(POWER('描述统计'!H23,2)/'描述统计'!F23,2)/('描述统计'!F23-1))+(POWER(POWER('描述统计'!H24,2)/'描述统计'!F24,2)/('描述统计'!F24-1))=0,"",POWER((POWER('描述统计'!H23,2)/'描述统计'!F23)+(POWER('描述统计'!H24,2)/'描述统计'!F24),2)/(POWER(POWER('描述统计'!H23,2)/'描述统计'!F23,2)/('描述统计'!F23-1))+(POWER(POWER('描述统计'!H24,2)/'描述统计'!F24,2)/('描述统计'!F24-1)))</x:f>
        <x:v>8.000222839506169</x:v>
      </x:c>
      <x:c r="L14" s="17" t="str">
        <x:f>IF(H14&lt;0,"MF较优",IF(H14&gt;0,"CR较优","持平"))</x:f>
        <x:v>MF较优</x:v>
      </x:c>
      <x:c r="M14" s="17" t="str">
        <x:v>探索性；不替代独立复现</x:v>
      </x:c>
    </x:row>
    <x:row r="15">
      <x:c r="A15" s="17" t="str">
        <x:v>weight_loss</x:v>
      </x:c>
      <x:c r="B15" s="17" t="str">
        <x:v>失重率</x:v>
      </x:c>
      <x:c r="C15" s="17" t="str">
        <x:v>%</x:v>
      </x:c>
      <x:c r="D15" s="17" t="str">
        <x:v>lower_better</x:v>
      </x:c>
      <x:c r="E15" s="17" t="n">
        <x:v>12</x:v>
      </x:c>
      <x:c r="F15" s="18" t="n">
        <x:f>'描述统计'!G25</x:f>
        <x:v>13.766666666666666</x:v>
      </x:c>
      <x:c r="G15" s="18" t="n">
        <x:f>'描述统计'!G26</x:f>
        <x:v>6.766666666666667</x:v>
      </x:c>
      <x:c r="H15" s="18" t="n">
        <x:f>G15-F15</x:f>
        <x:v>-6.999999999999999</x:v>
      </x:c>
      <x:c r="I15" s="19" t="n">
        <x:f>IF(F15=0,"",H15/F15)</x:f>
        <x:v>-0.5084745762711864</x:v>
      </x:c>
      <x:c r="J15" s="18" t="n">
        <x:f>IF((POWER('描述统计'!H25,2)/'描述统计'!F25)+(POWER('描述统计'!H26,2)/'描述统计'!F26)=0,"",H15/SQRT((POWER('描述统计'!H25,2)/'描述统计'!F25)+(POWER('描述统计'!H26,2)/'描述统计'!F26)))</x:f>
        <x:v>-34.066498437460126</x:v>
      </x:c>
      <x:c r="K15" s="18" t="n">
        <x:f>IF((POWER(POWER('描述统计'!H25,2)/'描述统计'!F25,2)/('描述统计'!F25-1))+(POWER(POWER('描述统计'!H26,2)/'描述统计'!F26,2)/('描述统计'!F26-1))=0,"",POWER((POWER('描述统计'!H25,2)/'描述统计'!F25)+(POWER('描述统计'!H26,2)/'描述统计'!F26),2)/(POWER(POWER('描述统计'!H25,2)/'描述统计'!F25,2)/('描述统计'!F25-1))+(POWER(POWER('描述统计'!H26,2)/'描述统计'!F26,2)/('描述统计'!F26-1)))</x:f>
        <x:v>8.000222839506169</x:v>
      </x:c>
      <x:c r="L15" s="17" t="str">
        <x:f>IF(H15&lt;0,"MF较优",IF(H15&gt;0,"CR较优","持平"))</x:f>
        <x:v>MF较优</x:v>
      </x:c>
      <x:c r="M15" s="17" t="str">
        <x:v>探索性；不替代独立复现</x:v>
      </x:c>
    </x:row>
    <x:row r="16">
      <x:c r="A16" s="17" t="str">
        <x:v>weight_loss</x:v>
      </x:c>
      <x:c r="B16" s="17" t="str">
        <x:v>失重率</x:v>
      </x:c>
      <x:c r="C16" s="17" t="str">
        <x:v>%</x:v>
      </x:c>
      <x:c r="D16" s="17" t="str">
        <x:v>lower_better</x:v>
      </x:c>
      <x:c r="E16" s="17" t="n">
        <x:v>15</x:v>
      </x:c>
      <x:c r="F16" s="18" t="n">
        <x:f>'描述统计'!G27</x:f>
        <x:v>18.233333333333334</x:v>
      </x:c>
      <x:c r="G16" s="18" t="n">
        <x:f>'描述统计'!G28</x:f>
        <x:v>7.766666666666667</x:v>
      </x:c>
      <x:c r="H16" s="18" t="n">
        <x:f>G16-F16</x:f>
        <x:v>-10.466666666666669</x:v>
      </x:c>
      <x:c r="I16" s="19" t="n">
        <x:f>IF(F16=0,"",H16/F16)</x:f>
        <x:v>-0.5740402193784279</x:v>
      </x:c>
      <x:c r="J16" s="18" t="n">
        <x:f>IF((POWER('描述统计'!H27,2)/'描述统计'!F27)+(POWER('描述统计'!H28,2)/'描述统计'!F28)=0,"",H16/SQRT((POWER('描述统计'!H27,2)/'描述统计'!F27)+(POWER('描述统计'!H28,2)/'描述统计'!F28)))</x:f>
        <x:v>-50.937526235059444</x:v>
      </x:c>
      <x:c r="K16" s="18" t="n">
        <x:f>IF((POWER(POWER('描述统计'!H27,2)/'描述统计'!F27,2)/('描述统计'!F27-1))+(POWER(POWER('描述统计'!H28,2)/'描述统计'!F28,2)/('描述统计'!F28-1))=0,"",POWER((POWER('描述统计'!H27,2)/'描述统计'!F27)+(POWER('描述统计'!H28,2)/'描述统计'!F28),2)/(POWER(POWER('描述统计'!H27,2)/'描述统计'!F27,2)/('描述统计'!F27-1))+(POWER(POWER('描述统计'!H28,2)/'描述统计'!F28,2)/('描述统计'!F28-1)))</x:f>
        <x:v>8.000222839506169</x:v>
      </x:c>
      <x:c r="L16" s="17" t="str">
        <x:f>IF(H16&lt;0,"MF较优",IF(H16&gt;0,"CR较优","持平"))</x:f>
        <x:v>MF较优</x:v>
      </x:c>
      <x:c r="M16" s="17" t="str">
        <x:v>探索性；不替代独立复现</x:v>
      </x:c>
    </x:row>
    <x:row r="17">
      <x:c r="A17" s="17" t="str">
        <x:v>wsp</x:v>
      </x:c>
      <x:c r="B17" s="17" t="str">
        <x:v>水溶性果胶</x:v>
      </x:c>
      <x:c r="C17" s="17" t="str">
        <x:v>mg/g</x:v>
      </x:c>
      <x:c r="D17" s="17" t="str">
        <x:v>lower_better</x:v>
      </x:c>
      <x:c r="E17" s="17" t="n">
        <x:v>0</x:v>
      </x:c>
      <x:c r="F17" s="18" t="n">
        <x:f>'描述统计'!G29</x:f>
        <x:v>2.5</x:v>
      </x:c>
      <x:c r="G17" s="18" t="n">
        <x:f>'描述统计'!G30</x:f>
        <x:v>2.5</x:v>
      </x:c>
      <x:c r="H17" s="18" t="n">
        <x:f>G17-F17</x:f>
        <x:v>0</x:v>
      </x:c>
      <x:c r="I17" s="19" t="n">
        <x:f>IF(F17=0,"",H17/F17)</x:f>
        <x:v>0</x:v>
      </x:c>
      <x:c r="J17" s="18" t="n">
        <x:f>IF((POWER('描述统计'!H29,2)/'描述统计'!F29)+(POWER('描述统计'!H30,2)/'描述统计'!F30)=0,"",H17/SQRT((POWER('描述统计'!H29,2)/'描述统计'!F29)+(POWER('描述统计'!H30,2)/'描述统计'!F30)))</x:f>
        <x:v>0</x:v>
      </x:c>
      <x:c r="K17" s="18" t="n">
        <x:f>IF((POWER(POWER('描述统计'!H29,2)/'描述统计'!F29,2)/('描述统计'!F29-1))+(POWER(POWER('描述统计'!H30,2)/'描述统计'!F30,2)/('描述统计'!F30-1))=0,"",POWER((POWER('描述统计'!H29,2)/'描述统计'!F29)+(POWER('描述统计'!H30,2)/'描述统计'!F30),2)/(POWER(POWER('描述统计'!H29,2)/'描述统计'!F29,2)/('描述统计'!F29-1))+(POWER(POWER('描述统计'!H30,2)/'描述统计'!F30,2)/('描述统计'!F30-1)))</x:f>
        <x:v>8.000005555555555</x:v>
      </x:c>
      <x:c r="L17" s="17" t="str">
        <x:f>IF(H17&lt;0,"MF较优",IF(H17&gt;0,"CR较优","持平"))</x:f>
        <x:v>持平</x:v>
      </x:c>
      <x:c r="M17" s="17" t="str">
        <x:v>探索性；不替代独立复现</x:v>
      </x:c>
    </x:row>
    <x:row r="18">
      <x:c r="A18" s="17" t="str">
        <x:v>wsp</x:v>
      </x:c>
      <x:c r="B18" s="17" t="str">
        <x:v>水溶性果胶</x:v>
      </x:c>
      <x:c r="C18" s="17" t="str">
        <x:v>mg/g</x:v>
      </x:c>
      <x:c r="D18" s="17" t="str">
        <x:v>lower_better</x:v>
      </x:c>
      <x:c r="E18" s="17" t="n">
        <x:v>3</x:v>
      </x:c>
      <x:c r="F18" s="18" t="n">
        <x:f>'描述统计'!G31</x:f>
        <x:v>3.9</x:v>
      </x:c>
      <x:c r="G18" s="18" t="n">
        <x:f>'描述统计'!G32</x:f>
        <x:v>3.1999999999999997</x:v>
      </x:c>
      <x:c r="H18" s="18" t="n">
        <x:f>G18-F18</x:f>
        <x:v>-0.7000000000000002</x:v>
      </x:c>
      <x:c r="I18" s="19" t="n">
        <x:f>IF(F18=0,"",H18/F18)</x:f>
        <x:v>-0.17948717948717954</x:v>
      </x:c>
      <x:c r="J18" s="18" t="n">
        <x:f>IF((POWER('描述统计'!H31,2)/'描述统计'!F31)+(POWER('描述统计'!H32,2)/'描述统计'!F32)=0,"",H18/SQRT((POWER('描述统计'!H31,2)/'描述统计'!F31)+(POWER('描述统计'!H32,2)/'描述统计'!F32)))</x:f>
        <x:v>-8.573214099741126</x:v>
      </x:c>
      <x:c r="K18" s="18" t="n">
        <x:f>IF((POWER(POWER('描述统计'!H31,2)/'描述统计'!F31,2)/('描述统计'!F31-1))+(POWER(POWER('描述统计'!H32,2)/'描述统计'!F32,2)/('描述统计'!F32-1))=0,"",POWER((POWER('描述统计'!H31,2)/'描述统计'!F31)+(POWER('描述统计'!H32,2)/'描述统计'!F32),2)/(POWER(POWER('描述统计'!H31,2)/'描述统计'!F31,2)/('描述统计'!F31-1))+(POWER(POWER('描述统计'!H32,2)/'描述统计'!F32,2)/('描述统计'!F32-1)))</x:f>
        <x:v>8.000005555555521</x:v>
      </x:c>
      <x:c r="L18" s="17" t="str">
        <x:f>IF(H18&lt;0,"MF较优",IF(H18&gt;0,"CR较优","持平"))</x:f>
        <x:v>MF较优</x:v>
      </x:c>
      <x:c r="M18" s="17" t="str">
        <x:v>探索性；不替代独立复现</x:v>
      </x:c>
    </x:row>
    <x:row r="19">
      <x:c r="A19" s="17" t="str">
        <x:v>wsp</x:v>
      </x:c>
      <x:c r="B19" s="17" t="str">
        <x:v>水溶性果胶</x:v>
      </x:c>
      <x:c r="C19" s="17" t="str">
        <x:v>mg/g</x:v>
      </x:c>
      <x:c r="D19" s="17" t="str">
        <x:v>lower_better</x:v>
      </x:c>
      <x:c r="E19" s="17" t="n">
        <x:v>6</x:v>
      </x:c>
      <x:c r="F19" s="18" t="n">
        <x:f>'描述统计'!G33</x:f>
        <x:v>5.5</x:v>
      </x:c>
      <x:c r="G19" s="18" t="n">
        <x:f>'描述统计'!G34</x:f>
        <x:v>4.3</x:v>
      </x:c>
      <x:c r="H19" s="18" t="n">
        <x:f>G19-F19</x:f>
        <x:v>-1.2000000000000002</x:v>
      </x:c>
      <x:c r="I19" s="19" t="n">
        <x:f>IF(F19=0,"",H19/F19)</x:f>
        <x:v>-0.21818181818181823</x:v>
      </x:c>
      <x:c r="J19" s="18" t="n">
        <x:f>IF((POWER('描述统计'!H33,2)/'描述统计'!F33)+(POWER('描述统计'!H34,2)/'描述统计'!F34)=0,"",H19/SQRT((POWER('描述统计'!H33,2)/'描述统计'!F33)+(POWER('描述统计'!H34,2)/'描述统计'!F34)))</x:f>
        <x:v>-14.69693845669909</x:v>
      </x:c>
      <x:c r="K19" s="18" t="n">
        <x:f>IF((POWER(POWER('描述统计'!H33,2)/'描述统计'!F33,2)/('描述统计'!F33-1))+(POWER(POWER('描述统计'!H34,2)/'描述统计'!F34,2)/('描述统计'!F34-1))=0,"",POWER((POWER('描述统计'!H33,2)/'描述统计'!F33)+(POWER('描述统计'!H34,2)/'描述统计'!F34),2)/(POWER(POWER('描述统计'!H33,2)/'描述统计'!F33,2)/('描述统计'!F33-1))+(POWER(POWER('描述统计'!H34,2)/'描述统计'!F34,2)/('描述统计'!F34-1)))</x:f>
        <x:v>8.000005555555626</x:v>
      </x:c>
      <x:c r="L19" s="17" t="str">
        <x:f>IF(H19&lt;0,"MF较优",IF(H19&gt;0,"CR较优","持平"))</x:f>
        <x:v>MF较优</x:v>
      </x:c>
      <x:c r="M19" s="17" t="str">
        <x:v>探索性；不替代独立复现</x:v>
      </x:c>
    </x:row>
    <x:row r="20">
      <x:c r="A20" s="17" t="str">
        <x:v>wsp</x:v>
      </x:c>
      <x:c r="B20" s="17" t="str">
        <x:v>水溶性果胶</x:v>
      </x:c>
      <x:c r="C20" s="17" t="str">
        <x:v>mg/g</x:v>
      </x:c>
      <x:c r="D20" s="17" t="str">
        <x:v>lower_better</x:v>
      </x:c>
      <x:c r="E20" s="17" t="n">
        <x:v>9</x:v>
      </x:c>
      <x:c r="F20" s="18" t="n">
        <x:f>'描述统计'!G35</x:f>
        <x:v>7.2</x:v>
      </x:c>
      <x:c r="G20" s="18" t="n">
        <x:f>'描述统计'!G36</x:f>
        <x:v>5.5</x:v>
      </x:c>
      <x:c r="H20" s="18" t="n">
        <x:f>G20-F20</x:f>
        <x:v>-1.7000000000000002</x:v>
      </x:c>
      <x:c r="I20" s="19" t="n">
        <x:f>IF(F20=0,"",H20/F20)</x:f>
        <x:v>-0.23611111111111113</x:v>
      </x:c>
      <x:c r="J20" s="18" t="n">
        <x:f>IF((POWER('描述统计'!H35,2)/'描述统计'!F35)+(POWER('描述统计'!H36,2)/'描述统计'!F36)=0,"",H20/SQRT((POWER('描述统计'!H35,2)/'描述统计'!F35)+(POWER('描述统计'!H36,2)/'描述统计'!F36)))</x:f>
        <x:v>-20.820662813657044</x:v>
      </x:c>
      <x:c r="K20" s="18" t="n">
        <x:f>IF((POWER(POWER('描述统计'!H35,2)/'描述统计'!F35,2)/('描述统计'!F35-1))+(POWER(POWER('描述统计'!H36,2)/'描述统计'!F36,2)/('描述统计'!F36-1))=0,"",POWER((POWER('描述统计'!H35,2)/'描述统计'!F35)+(POWER('描述统计'!H36,2)/'描述统计'!F36),2)/(POWER(POWER('描述统计'!H35,2)/'描述统计'!F35,2)/('描述统计'!F35-1))+(POWER(POWER('描述统计'!H36,2)/'描述统计'!F36,2)/('描述统计'!F36-1)))</x:f>
        <x:v>8.000005555555484</x:v>
      </x:c>
      <x:c r="L20" s="17" t="str">
        <x:f>IF(H20&lt;0,"MF较优",IF(H20&gt;0,"CR较优","持平"))</x:f>
        <x:v>MF较优</x:v>
      </x:c>
      <x:c r="M20" s="17" t="str">
        <x:v>探索性；不替代独立复现</x:v>
      </x:c>
    </x:row>
    <x:row r="21">
      <x:c r="A21" s="17" t="str">
        <x:v>wsp</x:v>
      </x:c>
      <x:c r="B21" s="17" t="str">
        <x:v>水溶性果胶</x:v>
      </x:c>
      <x:c r="C21" s="17" t="str">
        <x:v>mg/g</x:v>
      </x:c>
      <x:c r="D21" s="17" t="str">
        <x:v>lower_better</x:v>
      </x:c>
      <x:c r="E21" s="17" t="n">
        <x:v>12</x:v>
      </x:c>
      <x:c r="F21" s="18" t="n">
        <x:f>'描述统计'!G37</x:f>
        <x:v>9</x:v>
      </x:c>
      <x:c r="G21" s="18" t="n">
        <x:f>'描述统计'!G38</x:f>
        <x:v>6.8</x:v>
      </x:c>
      <x:c r="H21" s="18" t="n">
        <x:f>G21-F21</x:f>
        <x:v>-2.2</x:v>
      </x:c>
      <x:c r="I21" s="19" t="n">
        <x:f>IF(F21=0,"",H21/F21)</x:f>
        <x:v>-0.24444444444444446</x:v>
      </x:c>
      <x:c r="J21" s="18" t="n">
        <x:f>IF((POWER('描述统计'!H37,2)/'描述统计'!F37)+(POWER('描述统计'!H38,2)/'描述统计'!F38)=0,"",H21/SQRT((POWER('描述统计'!H37,2)/'描述统计'!F37)+(POWER('描述统计'!H38,2)/'描述统计'!F38)))</x:f>
        <x:v>-26.944387170614995</x:v>
      </x:c>
      <x:c r="K21" s="18" t="n">
        <x:f>IF((POWER(POWER('描述统计'!H37,2)/'描述统计'!F37,2)/('描述统计'!F37-1))+(POWER(POWER('描述统计'!H38,2)/'描述统计'!F38,2)/('描述统计'!F38-1))=0,"",POWER((POWER('描述统计'!H37,2)/'描述统计'!F37)+(POWER('描述统计'!H38,2)/'描述统计'!F38),2)/(POWER(POWER('描述统计'!H37,2)/'描述统计'!F37,2)/('描述统计'!F37-1))+(POWER(POWER('描述统计'!H38,2)/'描述统计'!F38,2)/('描述统计'!F38-1)))</x:f>
        <x:v>8.000005555555626</x:v>
      </x:c>
      <x:c r="L21" s="17" t="str">
        <x:f>IF(H21&lt;0,"MF较优",IF(H21&gt;0,"CR较优","持平"))</x:f>
        <x:v>MF较优</x:v>
      </x:c>
      <x:c r="M21" s="17" t="str">
        <x:v>探索性；不替代独立复现</x:v>
      </x:c>
    </x:row>
    <x:row r="22">
      <x:c r="A22" s="17" t="str">
        <x:v>wsp</x:v>
      </x:c>
      <x:c r="B22" s="17" t="str">
        <x:v>水溶性果胶</x:v>
      </x:c>
      <x:c r="C22" s="17" t="str">
        <x:v>mg/g</x:v>
      </x:c>
      <x:c r="D22" s="17" t="str">
        <x:v>lower_better</x:v>
      </x:c>
      <x:c r="E22" s="17" t="n">
        <x:v>15</x:v>
      </x:c>
      <x:c r="F22" s="18" t="n">
        <x:f>'描述统计'!G39</x:f>
        <x:v>10.5</x:v>
      </x:c>
      <x:c r="G22" s="18" t="n">
        <x:f>'描述统计'!G40</x:f>
        <x:v>8</x:v>
      </x:c>
      <x:c r="H22" s="18" t="n">
        <x:f>G22-F22</x:f>
        <x:v>-2.5</x:v>
      </x:c>
      <x:c r="I22" s="19" t="n">
        <x:f>IF(F22=0,"",H22/F22)</x:f>
        <x:v>-0.23809523809523808</x:v>
      </x:c>
      <x:c r="J22" s="18" t="n">
        <x:f>IF((POWER('描述统计'!H39,2)/'描述统计'!F39)+(POWER('描述统计'!H40,2)/'描述统计'!F40)=0,"",H22/SQRT((POWER('描述统计'!H39,2)/'描述统计'!F39)+(POWER('描述统计'!H40,2)/'描述统计'!F40)))</x:f>
        <x:v>-30.618621784789834</x:v>
      </x:c>
      <x:c r="K22" s="18" t="n">
        <x:f>IF((POWER(POWER('描述统计'!H39,2)/'描述统计'!F39,2)/('描述统计'!F39-1))+(POWER(POWER('描述统计'!H40,2)/'描述统计'!F40,2)/('描述统计'!F40-1))=0,"",POWER((POWER('描述统计'!H39,2)/'描述统计'!F39)+(POWER('描述统计'!H40,2)/'描述统计'!F40),2)/(POWER(POWER('描述统计'!H39,2)/'描述统计'!F39,2)/('描述统计'!F39-1))+(POWER(POWER('描述统计'!H40,2)/'描述统计'!F40,2)/('描述统计'!F40-1)))</x:f>
        <x:v>8.000005555555555</x:v>
      </x:c>
      <x:c r="L22" s="17" t="str">
        <x:f>IF(H22&lt;0,"MF较优",IF(H22&gt;0,"CR较优","持平"))</x:f>
        <x:v>MF较优</x:v>
      </x:c>
      <x:c r="M22" s="17" t="str">
        <x:v>探索性；不替代独立复现</x:v>
      </x:c>
    </x:row>
    <x:row r="23">
      <x:c r="A23" s="17" t="str">
        <x:v>pg</x:v>
      </x:c>
      <x:c r="B23" s="17" t="str">
        <x:v>多聚半乳糖醛酸酶活性</x:v>
      </x:c>
      <x:c r="C23" s="17" t="str">
        <x:v>U/kg</x:v>
      </x:c>
      <x:c r="D23" s="17" t="str">
        <x:v>lower_better</x:v>
      </x:c>
      <x:c r="E23" s="17" t="n">
        <x:v>0</x:v>
      </x:c>
      <x:c r="F23" s="18" t="n">
        <x:f>'描述统计'!G41</x:f>
        <x:v>5</x:v>
      </x:c>
      <x:c r="G23" s="18" t="n">
        <x:f>'描述统计'!G42</x:f>
        <x:v>5</x:v>
      </x:c>
      <x:c r="H23" s="18" t="n">
        <x:f>G23-F23</x:f>
        <x:v>0</x:v>
      </x:c>
      <x:c r="I23" s="19" t="n">
        <x:f>IF(F23=0,"",H23/F23)</x:f>
        <x:v>0</x:v>
      </x:c>
      <x:c r="J23" s="18" t="n">
        <x:f>IF((POWER('描述统计'!H41,2)/'描述统计'!F41)+(POWER('描述统计'!H42,2)/'描述统计'!F42)=0,"",H23/SQRT((POWER('描述统计'!H41,2)/'描述统计'!F41)+(POWER('描述统计'!H42,2)/'描述统计'!F42)))</x:f>
        <x:v>0</x:v>
      </x:c>
      <x:c r="K23" s="18" t="n">
        <x:f>IF((POWER(POWER('描述统计'!H41,2)/'描述统计'!F41,2)/('描述统计'!F41-1))+(POWER(POWER('描述统计'!H42,2)/'描述统计'!F42,2)/('描述统计'!F42-1))=0,"",POWER((POWER('描述统计'!H41,2)/'描述统计'!F41)+(POWER('描述统计'!H42,2)/'描述统计'!F42),2)/(POWER(POWER('描述统计'!H41,2)/'描述统计'!F41,2)/('描述统计'!F41-1))+(POWER(POWER('描述统计'!H42,2)/'描述统计'!F42,2)/('描述统计'!F42-1)))</x:f>
        <x:v>8.000005555555555</x:v>
      </x:c>
      <x:c r="L23" s="17" t="str">
        <x:f>IF(H23&lt;0,"MF较优",IF(H23&gt;0,"CR较优","持平"))</x:f>
        <x:v>持平</x:v>
      </x:c>
      <x:c r="M23" s="17" t="str">
        <x:v>探索性；不替代独立复现</x:v>
      </x:c>
    </x:row>
    <x:row r="24">
      <x:c r="A24" s="17" t="str">
        <x:v>pg</x:v>
      </x:c>
      <x:c r="B24" s="17" t="str">
        <x:v>多聚半乳糖醛酸酶活性</x:v>
      </x:c>
      <x:c r="C24" s="17" t="str">
        <x:v>U/kg</x:v>
      </x:c>
      <x:c r="D24" s="17" t="str">
        <x:v>lower_better</x:v>
      </x:c>
      <x:c r="E24" s="17" t="n">
        <x:v>3</x:v>
      </x:c>
      <x:c r="F24" s="18" t="n">
        <x:f>'描述统计'!G43</x:f>
        <x:v>8.5</x:v>
      </x:c>
      <x:c r="G24" s="18" t="n">
        <x:f>'描述统计'!G44</x:f>
        <x:v>6.5</x:v>
      </x:c>
      <x:c r="H24" s="18" t="n">
        <x:f>G24-F24</x:f>
        <x:v>-2</x:v>
      </x:c>
      <x:c r="I24" s="19" t="n">
        <x:f>IF(F24=0,"",H24/F24)</x:f>
        <x:v>-0.23529411764705882</x:v>
      </x:c>
      <x:c r="J24" s="18" t="n">
        <x:f>IF((POWER('描述统计'!H43,2)/'描述统计'!F43)+(POWER('描述统计'!H44,2)/'描述统计'!F44)=0,"",H24/SQRT((POWER('描述统计'!H43,2)/'描述统计'!F43)+(POWER('描述统计'!H44,2)/'描述统计'!F44)))</x:f>
        <x:v>-24.494897427831866</x:v>
      </x:c>
      <x:c r="K24" s="18" t="n">
        <x:f>IF((POWER(POWER('描述统计'!H43,2)/'描述统计'!F43,2)/('描述统计'!F43-1))+(POWER(POWER('描述统计'!H44,2)/'描述统计'!F44,2)/('描述统计'!F44-1))=0,"",POWER((POWER('描述统计'!H43,2)/'描述统计'!F43)+(POWER('描述统计'!H44,2)/'描述统计'!F44),2)/(POWER(POWER('描述统计'!H43,2)/'描述统计'!F43,2)/('描述统计'!F43-1))+(POWER(POWER('描述统计'!H44,2)/'描述统计'!F44,2)/('描述统计'!F44-1)))</x:f>
        <x:v>8.000005555555555</x:v>
      </x:c>
      <x:c r="L24" s="17" t="str">
        <x:f>IF(H24&lt;0,"MF较优",IF(H24&gt;0,"CR较优","持平"))</x:f>
        <x:v>MF较优</x:v>
      </x:c>
      <x:c r="M24" s="17" t="str">
        <x:v>探索性；不替代独立复现</x:v>
      </x:c>
    </x:row>
    <x:row r="25">
      <x:c r="A25" s="17" t="str">
        <x:v>pg</x:v>
      </x:c>
      <x:c r="B25" s="17" t="str">
        <x:v>多聚半乳糖醛酸酶活性</x:v>
      </x:c>
      <x:c r="C25" s="17" t="str">
        <x:v>U/kg</x:v>
      </x:c>
      <x:c r="D25" s="17" t="str">
        <x:v>lower_better</x:v>
      </x:c>
      <x:c r="E25" s="17" t="n">
        <x:v>6</x:v>
      </x:c>
      <x:c r="F25" s="18" t="n">
        <x:f>'描述统计'!G45</x:f>
        <x:v>12</x:v>
      </x:c>
      <x:c r="G25" s="18" t="n">
        <x:f>'描述统计'!G46</x:f>
        <x:v>8.8</x:v>
      </x:c>
      <x:c r="H25" s="18" t="n">
        <x:f>G25-F25</x:f>
        <x:v>-3.1999999999999993</x:v>
      </x:c>
      <x:c r="I25" s="19" t="n">
        <x:f>IF(F25=0,"",H25/F25)</x:f>
        <x:v>-0.2666666666666666</x:v>
      </x:c>
      <x:c r="J25" s="18" t="n">
        <x:f>IF((POWER('描述统计'!H45,2)/'描述统计'!F45)+(POWER('描述统计'!H46,2)/'描述统计'!F46)=0,"",H25/SQRT((POWER('描述统计'!H45,2)/'描述统计'!F45)+(POWER('描述统计'!H46,2)/'描述统计'!F46)))</x:f>
        <x:v>-39.1918358845308</x:v>
      </x:c>
      <x:c r="K25" s="18" t="n">
        <x:f>IF((POWER(POWER('描述统计'!H45,2)/'描述统计'!F45,2)/('描述统计'!F45-1))+(POWER(POWER('描述统计'!H46,2)/'描述统计'!F46,2)/('描述统计'!F46-1))=0,"",POWER((POWER('描述统计'!H45,2)/'描述统计'!F45)+(POWER('描述统计'!H46,2)/'描述统计'!F46),2)/(POWER(POWER('描述统计'!H45,2)/'描述统计'!F45,2)/('描述统计'!F45-1))+(POWER(POWER('描述统计'!H46,2)/'描述统计'!F46,2)/('描述统计'!F46-1)))</x:f>
        <x:v>8.000005555555697</x:v>
      </x:c>
      <x:c r="L25" s="17" t="str">
        <x:f>IF(H25&lt;0,"MF较优",IF(H25&gt;0,"CR较优","持平"))</x:f>
        <x:v>MF较优</x:v>
      </x:c>
      <x:c r="M25" s="17" t="str">
        <x:v>探索性；不替代独立复现</x:v>
      </x:c>
    </x:row>
    <x:row r="26">
      <x:c r="A26" s="17" t="str">
        <x:v>pg</x:v>
      </x:c>
      <x:c r="B26" s="17" t="str">
        <x:v>多聚半乳糖醛酸酶活性</x:v>
      </x:c>
      <x:c r="C26" s="17" t="str">
        <x:v>U/kg</x:v>
      </x:c>
      <x:c r="D26" s="17" t="str">
        <x:v>lower_better</x:v>
      </x:c>
      <x:c r="E26" s="17" t="n">
        <x:v>9</x:v>
      </x:c>
      <x:c r="F26" s="18" t="n">
        <x:f>'描述统计'!G47</x:f>
        <x:v>16.5</x:v>
      </x:c>
      <x:c r="G26" s="18" t="n">
        <x:f>'描述统计'!G48</x:f>
        <x:v>11</x:v>
      </x:c>
      <x:c r="H26" s="18" t="n">
        <x:f>G26-F26</x:f>
        <x:v>-5.5</x:v>
      </x:c>
      <x:c r="I26" s="19" t="n">
        <x:f>IF(F26=0,"",H26/F26)</x:f>
        <x:v>-0.3333333333333333</x:v>
      </x:c>
      <x:c r="J26" s="18" t="n">
        <x:f>IF((POWER('描述统计'!H47,2)/'描述统计'!F47)+(POWER('描述统计'!H48,2)/'描述统计'!F48)=0,"",H26/SQRT((POWER('描述统计'!H47,2)/'描述统计'!F47)+(POWER('描述统计'!H48,2)/'描述统计'!F48)))</x:f>
        <x:v>-67.36096792653704</x:v>
      </x:c>
      <x:c r="K26" s="18" t="n">
        <x:f>IF((POWER(POWER('描述统计'!H47,2)/'描述统计'!F47,2)/('描述统计'!F47-1))+(POWER(POWER('描述统计'!H48,2)/'描述统计'!F48,2)/('描述统计'!F48-1))=0,"",POWER((POWER('描述统计'!H47,2)/'描述统计'!F47)+(POWER('描述统计'!H48,2)/'描述统计'!F48),2)/(POWER(POWER('描述统计'!H47,2)/'描述统计'!F47,2)/('描述统计'!F47-1))+(POWER(POWER('描述统计'!H48,2)/'描述统计'!F48,2)/('描述统计'!F48-1)))</x:f>
        <x:v>8.000005555555271</x:v>
      </x:c>
      <x:c r="L26" s="17" t="str">
        <x:f>IF(H26&lt;0,"MF较优",IF(H26&gt;0,"CR较优","持平"))</x:f>
        <x:v>MF较优</x:v>
      </x:c>
      <x:c r="M26" s="17" t="str">
        <x:v>探索性；不替代独立复现</x:v>
      </x:c>
    </x:row>
    <x:row r="27">
      <x:c r="A27" s="17" t="str">
        <x:v>pg</x:v>
      </x:c>
      <x:c r="B27" s="17" t="str">
        <x:v>多聚半乳糖醛酸酶活性</x:v>
      </x:c>
      <x:c r="C27" s="17" t="str">
        <x:v>U/kg</x:v>
      </x:c>
      <x:c r="D27" s="17" t="str">
        <x:v>lower_better</x:v>
      </x:c>
      <x:c r="E27" s="17" t="n">
        <x:v>12</x:v>
      </x:c>
      <x:c r="F27" s="18" t="n">
        <x:f>'描述统计'!G49</x:f>
        <x:v>21</x:v>
      </x:c>
      <x:c r="G27" s="18" t="n">
        <x:f>'描述统计'!G50</x:f>
        <x:v>14.5</x:v>
      </x:c>
      <x:c r="H27" s="18" t="n">
        <x:f>G27-F27</x:f>
        <x:v>-6.5</x:v>
      </x:c>
      <x:c r="I27" s="19" t="n">
        <x:f>IF(F27=0,"",H27/F27)</x:f>
        <x:v>-0.30952380952380953</x:v>
      </x:c>
      <x:c r="J27" s="18" t="n">
        <x:f>IF((POWER('描述统计'!H49,2)/'描述统计'!F49)+(POWER('描述统计'!H50,2)/'描述统计'!F50)=0,"",H27/SQRT((POWER('描述统计'!H49,2)/'描述统计'!F49)+(POWER('描述统计'!H50,2)/'描述统计'!F50)))</x:f>
        <x:v>-79.60841664045286</x:v>
      </x:c>
      <x:c r="K27" s="18" t="n">
        <x:f>IF((POWER(POWER('描述统计'!H49,2)/'描述统计'!F49,2)/('描述统计'!F49-1))+(POWER(POWER('描述统计'!H50,2)/'描述统计'!F50,2)/('描述统计'!F50-1))=0,"",POWER((POWER('描述统计'!H49,2)/'描述统计'!F49)+(POWER('描述统计'!H50,2)/'描述统计'!F50),2)/(POWER(POWER('描述统计'!H49,2)/'描述统计'!F49,2)/('描述统计'!F49-1))+(POWER(POWER('描述统计'!H50,2)/'描述统计'!F50,2)/('描述统计'!F50-1)))</x:f>
        <x:v>8.000005555555271</x:v>
      </x:c>
      <x:c r="L27" s="17" t="str">
        <x:f>IF(H27&lt;0,"MF较优",IF(H27&gt;0,"CR较优","持平"))</x:f>
        <x:v>MF较优</x:v>
      </x:c>
      <x:c r="M27" s="17" t="str">
        <x:v>探索性；不替代独立复现</x:v>
      </x:c>
    </x:row>
    <x:row r="28">
      <x:c r="A28" s="17" t="str">
        <x:v>pg</x:v>
      </x:c>
      <x:c r="B28" s="17" t="str">
        <x:v>多聚半乳糖醛酸酶活性</x:v>
      </x:c>
      <x:c r="C28" s="17" t="str">
        <x:v>U/kg</x:v>
      </x:c>
      <x:c r="D28" s="17" t="str">
        <x:v>lower_better</x:v>
      </x:c>
      <x:c r="E28" s="17" t="n">
        <x:v>15</x:v>
      </x:c>
      <x:c r="F28" s="18" t="n">
        <x:f>'描述统计'!G51</x:f>
        <x:v>26</x:v>
      </x:c>
      <x:c r="G28" s="18" t="n">
        <x:f>'描述统计'!G52</x:f>
        <x:v>16.8</x:v>
      </x:c>
      <x:c r="H28" s="18" t="n">
        <x:f>G28-F28</x:f>
        <x:v>-9.2</x:v>
      </x:c>
      <x:c r="I28" s="19" t="n">
        <x:f>IF(F28=0,"",H28/F28)</x:f>
        <x:v>-0.3538461538461538</x:v>
      </x:c>
      <x:c r="J28" s="18" t="n">
        <x:f>IF((POWER('描述统计'!H51,2)/'描述统计'!F51)+(POWER('描述统计'!H52,2)/'描述统计'!F52)=0,"",H28/SQRT((POWER('描述统计'!H51,2)/'描述统计'!F51)+(POWER('描述统计'!H52,2)/'描述统计'!F52)))</x:f>
        <x:v>-112.67652816802558</x:v>
      </x:c>
      <x:c r="K28" s="18" t="n">
        <x:f>IF((POWER(POWER('描述统计'!H51,2)/'描述统计'!F51,2)/('描述统计'!F51-1))+(POWER(POWER('描述统计'!H52,2)/'描述统计'!F52,2)/('描述统计'!F52-1))=0,"",POWER((POWER('描述统计'!H51,2)/'描述统计'!F51)+(POWER('描述统计'!H52,2)/'描述统计'!F52),2)/(POWER(POWER('描述统计'!H51,2)/'描述统计'!F51,2)/('描述统计'!F51-1))+(POWER(POWER('描述统计'!H52,2)/'描述统计'!F52,2)/('描述统计'!F52-1)))</x:f>
        <x:v>8.000005555555271</x:v>
      </x:c>
      <x:c r="L28" s="17" t="str">
        <x:f>IF(H28&lt;0,"MF较优",IF(H28&gt;0,"CR较优","持平"))</x:f>
        <x:v>MF较优</x:v>
      </x:c>
      <x:c r="M28" s="17" t="str">
        <x:v>探索性；不替代独立复现</x:v>
      </x:c>
    </x:row>
    <x:row r="29">
      <x:c r="A29" s="17" t="str">
        <x:v>l_star</x:v>
      </x:c>
      <x:c r="B29" s="17" t="str">
        <x:v>颜色L*</x:v>
      </x:c>
      <x:c r="C29" s="17" t="str">
        <x:v>-</x:v>
      </x:c>
      <x:c r="D29" s="17" t="str">
        <x:v>higher_better</x:v>
      </x:c>
      <x:c r="E29" s="17" t="n">
        <x:v>0</x:v>
      </x:c>
      <x:c r="F29" s="18" t="n">
        <x:f>'描述统计'!G53</x:f>
        <x:v>40.666666666666664</x:v>
      </x:c>
      <x:c r="G29" s="18" t="n">
        <x:f>'描述统计'!G54</x:f>
        <x:v>40.6</x:v>
      </x:c>
      <x:c r="H29" s="18" t="n">
        <x:f>G29-F29</x:f>
        <x:v>-0.06666666666666288</x:v>
      </x:c>
      <x:c r="I29" s="19" t="n">
        <x:f>IF(F29=0,"",H29/F29)</x:f>
        <x:v>-0.001639344262294989</x:v>
      </x:c>
      <x:c r="J29" s="18" t="n">
        <x:f>IF((POWER('描述统计'!H53,2)/'描述统计'!F53)+(POWER('描述统计'!H54,2)/'描述统计'!F54)=0,"",H29/SQRT((POWER('描述统计'!H53,2)/'描述统计'!F53)+(POWER('描述统计'!H54,2)/'描述统计'!F54)))</x:f>
        <x:v>-0.6324555320336398</x:v>
      </x:c>
      <x:c r="K29" s="18" t="n">
        <x:f>IF((POWER(POWER('描述统计'!H53,2)/'描述统计'!F53,2)/('描述统计'!F53-1))+(POWER(POWER('描述统计'!H54,2)/'描述统计'!F54,2)/('描述统计'!F54-1))=0,"",POWER((POWER('描述统计'!H53,2)/'描述统计'!F53)+(POWER('描述统计'!H54,2)/'描述统计'!F54),2)/(POWER(POWER('描述统计'!H53,2)/'描述统计'!F53,2)/('描述统计'!F53-1))+(POWER(POWER('描述统计'!H54,2)/'描述统计'!F54,2)/('描述统计'!F54-1)))</x:f>
        <x:v>4.081638208616879</x:v>
      </x:c>
      <x:c r="L29" s="17" t="str">
        <x:f>IF(H29&gt;0,"MF较优",IF(H29&lt;0,"CR较优","持平"))</x:f>
        <x:v>CR较优</x:v>
      </x:c>
      <x:c r="M29" s="17" t="str">
        <x:v>探索性；不替代独立复现</x:v>
      </x:c>
    </x:row>
    <x:row r="30">
      <x:c r="A30" s="17" t="str">
        <x:v>l_star</x:v>
      </x:c>
      <x:c r="B30" s="17" t="str">
        <x:v>颜色L*</x:v>
      </x:c>
      <x:c r="C30" s="17" t="str">
        <x:v>-</x:v>
      </x:c>
      <x:c r="D30" s="17" t="str">
        <x:v>higher_better</x:v>
      </x:c>
      <x:c r="E30" s="17" t="n">
        <x:v>3</x:v>
      </x:c>
      <x:c r="F30" s="18" t="n">
        <x:f>'描述统计'!G55</x:f>
        <x:v>36.8</x:v>
      </x:c>
      <x:c r="G30" s="18" t="n">
        <x:f>'描述统计'!G56</x:f>
        <x:v>40.199999999999996</x:v>
      </x:c>
      <x:c r="H30" s="18" t="n">
        <x:f>G30-F30</x:f>
        <x:v>3.3999999999999986</x:v>
      </x:c>
      <x:c r="I30" s="19" t="n">
        <x:f>IF(F30=0,"",H30/F30)</x:f>
        <x:v>0.09239130434782605</x:v>
      </x:c>
      <x:c r="J30" s="18" t="n">
        <x:f>IF((POWER('描述统计'!H55,2)/'描述统计'!F55)+(POWER('描述统计'!H56,2)/'描述统计'!F56)=0,"",H30/SQRT((POWER('描述统计'!H55,2)/'描述统计'!F55)+(POWER('描述统计'!H56,2)/'描述统计'!F56)))</x:f>
        <x:v>41.64132562731489</x:v>
      </x:c>
      <x:c r="K30" s="18" t="n">
        <x:f>IF((POWER(POWER('描述统计'!H55,2)/'描述统计'!F55,2)/('描述统计'!F55-1))+(POWER(POWER('描述统计'!H56,2)/'描述统计'!F56,2)/('描述统计'!F56-1))=0,"",POWER((POWER('描述统计'!H55,2)/'描述统计'!F55)+(POWER('描述统计'!H56,2)/'描述统计'!F56),2)/(POWER(POWER('描述统计'!H55,2)/'描述统计'!F55,2)/('描述统计'!F55-1))+(POWER(POWER('描述统计'!H56,2)/'描述统计'!F56,2)/('描述统计'!F56-1)))</x:f>
        <x:v>8.000005555555555</x:v>
      </x:c>
      <x:c r="L30" s="17" t="str">
        <x:f>IF(H30&gt;0,"MF较优",IF(H30&lt;0,"CR较优","持平"))</x:f>
        <x:v>MF较优</x:v>
      </x:c>
      <x:c r="M30" s="17" t="str">
        <x:v>探索性；不替代独立复现</x:v>
      </x:c>
    </x:row>
    <x:row r="31">
      <x:c r="A31" s="17" t="str">
        <x:v>l_star</x:v>
      </x:c>
      <x:c r="B31" s="17" t="str">
        <x:v>颜色L*</x:v>
      </x:c>
      <x:c r="C31" s="17" t="str">
        <x:v>-</x:v>
      </x:c>
      <x:c r="D31" s="17" t="str">
        <x:v>higher_better</x:v>
      </x:c>
      <x:c r="E31" s="17" t="n">
        <x:v>6</x:v>
      </x:c>
      <x:c r="F31" s="18" t="n">
        <x:f>'描述统计'!G57</x:f>
        <x:v>35</x:v>
      </x:c>
      <x:c r="G31" s="18" t="n">
        <x:f>'描述统计'!G58</x:f>
        <x:v>38</x:v>
      </x:c>
      <x:c r="H31" s="18" t="n">
        <x:f>G31-F31</x:f>
        <x:v>3</x:v>
      </x:c>
      <x:c r="I31" s="19" t="n">
        <x:f>IF(F31=0,"",H31/F31)</x:f>
        <x:v>0.08571428571428572</x:v>
      </x:c>
      <x:c r="J31" s="18" t="n">
        <x:f>IF((POWER('描述统计'!H57,2)/'描述统计'!F57)+(POWER('描述统计'!H58,2)/'描述统计'!F58)=0,"",H31/SQRT((POWER('描述统计'!H57,2)/'描述统计'!F57)+(POWER('描述统计'!H58,2)/'描述统计'!F58)))</x:f>
        <x:v>23.23790007724417</x:v>
      </x:c>
      <x:c r="K31" s="18" t="n">
        <x:f>IF((POWER(POWER('描述统计'!H57,2)/'描述统计'!F57,2)/('描述统计'!F57-1))+(POWER(POWER('描述统计'!H58,2)/'描述统计'!F58,2)/('描述统计'!F58-1))=0,"",POWER((POWER('描述统计'!H57,2)/'描述统计'!F57)+(POWER('描述统计'!H58,2)/'描述统计'!F58),2)/(POWER(POWER('描述统计'!H57,2)/'描述统计'!F57,2)/('描述统计'!F57-1))+(POWER(POWER('描述统计'!H58,2)/'描述统计'!F58,2)/('描述统计'!F58-1)))</x:f>
        <x:v>50.00008888888889</x:v>
      </x:c>
      <x:c r="L31" s="17" t="str">
        <x:f>IF(H31&gt;0,"MF较优",IF(H31&lt;0,"CR较优","持平"))</x:f>
        <x:v>MF较优</x:v>
      </x:c>
      <x:c r="M31" s="17" t="str">
        <x:v>探索性；不替代独立复现</x:v>
      </x:c>
    </x:row>
    <x:row r="32">
      <x:c r="A32" s="17" t="str">
        <x:v>l_star</x:v>
      </x:c>
      <x:c r="B32" s="17" t="str">
        <x:v>颜色L*</x:v>
      </x:c>
      <x:c r="C32" s="17" t="str">
        <x:v>-</x:v>
      </x:c>
      <x:c r="D32" s="17" t="str">
        <x:v>higher_better</x:v>
      </x:c>
      <x:c r="E32" s="17" t="n">
        <x:v>9</x:v>
      </x:c>
      <x:c r="F32" s="18" t="n">
        <x:f>'描述统计'!G59</x:f>
        <x:v>33.1</x:v>
      </x:c>
      <x:c r="G32" s="18" t="n">
        <x:f>'描述统计'!G60</x:f>
        <x:v>37.06666666666667</x:v>
      </x:c>
      <x:c r="H32" s="18" t="n">
        <x:f>G32-F32</x:f>
        <x:v>3.9666666666666686</x:v>
      </x:c>
      <x:c r="I32" s="19" t="n">
        <x:f>IF(F32=0,"",H32/F32)</x:f>
        <x:v>0.11983887210473318</x:v>
      </x:c>
      <x:c r="J32" s="18" t="n">
        <x:f>IF((POWER('描述统计'!H59,2)/'描述统计'!F59)+(POWER('描述统计'!H60,2)/'描述统计'!F60)=0,"",H32/SQRT((POWER('描述统计'!H59,2)/'描述统计'!F59)+(POWER('描述统计'!H60,2)/'描述统计'!F60)))</x:f>
        <x:v>37.6311041560032</x:v>
      </x:c>
      <x:c r="K32" s="18" t="n">
        <x:f>IF((POWER(POWER('描述统计'!H59,2)/'描述统计'!F59,2)/('描述统计'!F59-1))+(POWER(POWER('描述统计'!H60,2)/'描述统计'!F60,2)/('描述统计'!F60-1))=0,"",POWER((POWER('描述统计'!H59,2)/'描述统计'!F59)+(POWER('描述统计'!H60,2)/'描述统计'!F60),2)/(POWER(POWER('描述统计'!H59,2)/'描述统计'!F59,2)/('描述统计'!F59-1))+(POWER(POWER('描述统计'!H60,2)/'描述统计'!F60,2)/('描述统计'!F60-1)))</x:f>
        <x:v>22.2222524691358</x:v>
      </x:c>
      <x:c r="L32" s="17" t="str">
        <x:f>IF(H32&gt;0,"MF较优",IF(H32&lt;0,"CR较优","持平"))</x:f>
        <x:v>MF较优</x:v>
      </x:c>
      <x:c r="M32" s="17" t="str">
        <x:v>探索性；不替代独立复现</x:v>
      </x:c>
    </x:row>
    <x:row r="33">
      <x:c r="A33" s="17" t="str">
        <x:v>l_star</x:v>
      </x:c>
      <x:c r="B33" s="17" t="str">
        <x:v>颜色L*</x:v>
      </x:c>
      <x:c r="C33" s="17" t="str">
        <x:v>-</x:v>
      </x:c>
      <x:c r="D33" s="17" t="str">
        <x:v>higher_better</x:v>
      </x:c>
      <x:c r="E33" s="17" t="n">
        <x:v>12</x:v>
      </x:c>
      <x:c r="F33" s="18" t="n">
        <x:f>'描述统计'!G61</x:f>
        <x:v>30.099999999999998</x:v>
      </x:c>
      <x:c r="G33" s="18" t="n">
        <x:f>'描述统计'!G62</x:f>
        <x:v>35.199999999999996</x:v>
      </x:c>
      <x:c r="H33" s="18" t="n">
        <x:f>G33-F33</x:f>
        <x:v>5.099999999999998</x:v>
      </x:c>
      <x:c r="I33" s="19" t="n">
        <x:f>IF(F33=0,"",H33/F33)</x:f>
        <x:v>0.1694352159468438</x:v>
      </x:c>
      <x:c r="J33" s="18" t="n">
        <x:f>IF((POWER('描述统计'!H61,2)/'描述统计'!F61)+(POWER('描述统计'!H62,2)/'描述统计'!F62)=0,"",H33/SQRT((POWER('描述统计'!H61,2)/'描述统计'!F61)+(POWER('描述统计'!H62,2)/'描述统计'!F62)))</x:f>
        <x:v>62.46198844097179</x:v>
      </x:c>
      <x:c r="K33" s="18" t="n">
        <x:f>IF((POWER(POWER('描述统计'!H61,2)/'描述统计'!F61,2)/('描述统计'!F61-1))+(POWER(POWER('描述统计'!H62,2)/'描述统计'!F62,2)/('描述统计'!F62-1))=0,"",POWER((POWER('描述统计'!H61,2)/'描述统计'!F61)+(POWER('描述统计'!H62,2)/'描述统计'!F62),2)/(POWER(POWER('描述统计'!H61,2)/'描述统计'!F61,2)/('描述统计'!F61-1))+(POWER(POWER('描述统计'!H62,2)/'描述统计'!F62,2)/('描述统计'!F62-1)))</x:f>
        <x:v>8.000005555555273</x:v>
      </x:c>
      <x:c r="L33" s="17" t="str">
        <x:f>IF(H33&gt;0,"MF较优",IF(H33&lt;0,"CR较优","持平"))</x:f>
        <x:v>MF较优</x:v>
      </x:c>
      <x:c r="M33" s="17" t="str">
        <x:v>探索性；不替代独立复现</x:v>
      </x:c>
    </x:row>
    <x:row r="34">
      <x:c r="A34" s="17" t="str">
        <x:v>l_star</x:v>
      </x:c>
      <x:c r="B34" s="17" t="str">
        <x:v>颜色L*</x:v>
      </x:c>
      <x:c r="C34" s="17" t="str">
        <x:v>-</x:v>
      </x:c>
      <x:c r="D34" s="17" t="str">
        <x:v>higher_better</x:v>
      </x:c>
      <x:c r="E34" s="17" t="n">
        <x:v>15</x:v>
      </x:c>
      <x:c r="F34" s="18" t="n">
        <x:f>'描述统计'!G63</x:f>
        <x:v>25.8</x:v>
      </x:c>
      <x:c r="G34" s="18" t="n">
        <x:f>'描述统计'!G64</x:f>
        <x:v>33.5</x:v>
      </x:c>
      <x:c r="H34" s="18" t="n">
        <x:f>G34-F34</x:f>
        <x:v>7.699999999999999</x:v>
      </x:c>
      <x:c r="I34" s="19" t="n">
        <x:f>IF(F34=0,"",H34/F34)</x:f>
        <x:v>0.29844961240310075</x:v>
      </x:c>
      <x:c r="J34" s="18" t="n">
        <x:f>IF((POWER('描述统计'!H63,2)/'描述统计'!F63)+(POWER('描述统计'!H64,2)/'描述统计'!F64)=0,"",H34/SQRT((POWER('描述统计'!H63,2)/'描述统计'!F63)+(POWER('描述统计'!H64,2)/'描述统计'!F64)))</x:f>
        <x:v>94.30535509715185</x:v>
      </x:c>
      <x:c r="K34" s="18" t="n">
        <x:f>IF((POWER(POWER('描述统计'!H63,2)/'描述统计'!F63,2)/('描述统计'!F63-1))+(POWER(POWER('描述统计'!H64,2)/'描述统计'!F64,2)/('描述统计'!F64-1))=0,"",POWER((POWER('描述统计'!H63,2)/'描述统计'!F63)+(POWER('描述统计'!H64,2)/'描述统计'!F64),2)/(POWER(POWER('描述统计'!H63,2)/'描述统计'!F63,2)/('描述统计'!F63-1))+(POWER(POWER('描述统计'!H64,2)/'描述统计'!F64,2)/('描述统计'!F64-1)))</x:f>
        <x:v>8.000005555555838</x:v>
      </x:c>
      <x:c r="L34" s="17" t="str">
        <x:f>IF(H34&gt;0,"MF较优",IF(H34&lt;0,"CR较优","持平"))</x:f>
        <x:v>MF较优</x:v>
      </x:c>
      <x:c r="M34" s="17" t="str">
        <x:v>探索性；不替代独立复现</x:v>
      </x:c>
    </x:row>
    <x:row r="35">
      <x:c r="A35" s="17" t="str">
        <x:v>a_star</x:v>
      </x:c>
      <x:c r="B35" s="17" t="str">
        <x:v>颜色a*</x:v>
      </x:c>
      <x:c r="C35" s="17" t="str">
        <x:v>-</x:v>
      </x:c>
      <x:c r="D35" s="17" t="str">
        <x:v>context</x:v>
      </x:c>
      <x:c r="E35" s="17" t="n">
        <x:v>0</x:v>
      </x:c>
      <x:c r="F35" s="18" t="n">
        <x:f>'描述统计'!G65</x:f>
        <x:v>27.7</x:v>
      </x:c>
      <x:c r="G35" s="18" t="n">
        <x:f>'描述统计'!G66</x:f>
        <x:v>27.7</x:v>
      </x:c>
      <x:c r="H35" s="18" t="n">
        <x:f>G35-F35</x:f>
        <x:v>0</x:v>
      </x:c>
      <x:c r="I35" s="19" t="n">
        <x:f>IF(F35=0,"",H35/F35)</x:f>
        <x:v>0</x:v>
      </x:c>
      <x:c r="J35" s="18" t="n">
        <x:f>IF((POWER('描述统计'!H65,2)/'描述统计'!F65)+(POWER('描述统计'!H66,2)/'描述统计'!F66)=0,"",H35/SQRT((POWER('描述统计'!H65,2)/'描述统计'!F65)+(POWER('描述统计'!H66,2)/'描述统计'!F66)))</x:f>
        <x:v>0</x:v>
      </x:c>
      <x:c r="K35" s="18" t="n">
        <x:f>IF((POWER(POWER('描述统计'!H65,2)/'描述统计'!F65,2)/('描述统计'!F65-1))+(POWER(POWER('描述统计'!H66,2)/'描述统计'!F66,2)/('描述统计'!F66-1))=0,"",POWER((POWER('描述统计'!H65,2)/'描述统计'!F65)+(POWER('描述统计'!H66,2)/'描述统计'!F66),2)/(POWER(POWER('描述统计'!H65,2)/'描述统计'!F65,2)/('描述统计'!F65-1))+(POWER(POWER('描述统计'!H66,2)/'描述统计'!F66,2)/('描述统计'!F66-1)))</x:f>
        <x:v>8.000005555555555</x:v>
      </x:c>
      <x:c r="L35" s="17" t="str">
        <x:f>IF(H35=0,"持平","方向需结合成熟过程")</x:f>
        <x:v>持平</x:v>
      </x:c>
      <x:c r="M35" s="17" t="str">
        <x:v>探索性；不替代独立复现</x:v>
      </x:c>
    </x:row>
    <x:row r="36">
      <x:c r="A36" s="17" t="str">
        <x:v>a_star</x:v>
      </x:c>
      <x:c r="B36" s="17" t="str">
        <x:v>颜色a*</x:v>
      </x:c>
      <x:c r="C36" s="17" t="str">
        <x:v>-</x:v>
      </x:c>
      <x:c r="D36" s="17" t="str">
        <x:v>context</x:v>
      </x:c>
      <x:c r="E36" s="17" t="n">
        <x:v>3</x:v>
      </x:c>
      <x:c r="F36" s="18" t="n">
        <x:f>'描述统计'!G67</x:f>
        <x:v>32.9</x:v>
      </x:c>
      <x:c r="G36" s="18" t="n">
        <x:f>'描述统计'!G68</x:f>
        <x:v>33.199999999999996</x:v>
      </x:c>
      <x:c r="H36" s="18" t="n">
        <x:f>G36-F36</x:f>
        <x:v>0.29999999999999716</x:v>
      </x:c>
      <x:c r="I36" s="19" t="n">
        <x:f>IF(F36=0,"",H36/F36)</x:f>
        <x:v>0.009118541033434565</x:v>
      </x:c>
      <x:c r="J36" s="18" t="n">
        <x:f>IF((POWER('描述统计'!H67,2)/'描述统计'!F67)+(POWER('描述统计'!H68,2)/'描述统计'!F68)=0,"",H36/SQRT((POWER('描述统计'!H67,2)/'描述统计'!F67)+(POWER('描述统计'!H68,2)/'描述统计'!F68)))</x:f>
        <x:v>3.674234614174745</x:v>
      </x:c>
      <x:c r="K36" s="18" t="n">
        <x:f>IF((POWER(POWER('描述统计'!H67,2)/'描述统计'!F67,2)/('描述统计'!F67-1))+(POWER(POWER('描述统计'!H68,2)/'描述统计'!F68,2)/('描述统计'!F68-1))=0,"",POWER((POWER('描述统计'!H67,2)/'描述统计'!F67)+(POWER('描述统计'!H68,2)/'描述统计'!F68),2)/(POWER(POWER('描述统计'!H67,2)/'描述统计'!F67,2)/('描述统计'!F67-1))+(POWER(POWER('描述统计'!H68,2)/'描述统计'!F68,2)/('描述统计'!F68-1)))</x:f>
        <x:v>8.000005555554988</x:v>
      </x:c>
      <x:c r="L36" s="17" t="str">
        <x:f>IF(H36=0,"持平","方向需结合成熟过程")</x:f>
        <x:v>方向需结合成熟过程</x:v>
      </x:c>
      <x:c r="M36" s="17" t="str">
        <x:v>探索性；不替代独立复现</x:v>
      </x:c>
    </x:row>
    <x:row r="37">
      <x:c r="A37" s="17" t="str">
        <x:v>a_star</x:v>
      </x:c>
      <x:c r="B37" s="17" t="str">
        <x:v>颜色a*</x:v>
      </x:c>
      <x:c r="C37" s="17" t="str">
        <x:v>-</x:v>
      </x:c>
      <x:c r="D37" s="17" t="str">
        <x:v>context</x:v>
      </x:c>
      <x:c r="E37" s="17" t="n">
        <x:v>6</x:v>
      </x:c>
      <x:c r="F37" s="18" t="n">
        <x:f>'描述统计'!G69</x:f>
        <x:v>34.6</x:v>
      </x:c>
      <x:c r="G37" s="18" t="n">
        <x:f>'描述统计'!G70</x:f>
        <x:v>34.699999999999996</x:v>
      </x:c>
      <x:c r="H37" s="18" t="n">
        <x:f>G37-F37</x:f>
        <x:v>0.09999999999999432</x:v>
      </x:c>
      <x:c r="I37" s="19" t="n">
        <x:f>IF(F37=0,"",H37/F37)</x:f>
        <x:v>0.0028901734104044598</x:v>
      </x:c>
      <x:c r="J37" s="18" t="n">
        <x:f>IF((POWER('描述统计'!H69,2)/'描述统计'!F69)+(POWER('描述统计'!H70,2)/'描述统计'!F70)=0,"",H37/SQRT((POWER('描述统计'!H69,2)/'描述统计'!F69)+(POWER('描述统计'!H70,2)/'描述统计'!F70)))</x:f>
        <x:v>1.2247448713915237</x:v>
      </x:c>
      <x:c r="K37" s="18" t="n">
        <x:f>IF((POWER(POWER('描述统计'!H69,2)/'描述统计'!F69,2)/('描述统计'!F69-1))+(POWER(POWER('描述统计'!H70,2)/'描述统计'!F70,2)/('描述统计'!F70-1))=0,"",POWER((POWER('描述统计'!H69,2)/'描述统计'!F69)+(POWER('描述统计'!H70,2)/'描述统计'!F70),2)/(POWER(POWER('描述统计'!H69,2)/'描述统计'!F69,2)/('描述统计'!F69-1))+(POWER(POWER('描述统计'!H70,2)/'描述统计'!F70,2)/('描述统计'!F70-1)))</x:f>
        <x:v>8.000005555554988</x:v>
      </x:c>
      <x:c r="L37" s="17" t="str">
        <x:f>IF(H37=0,"持平","方向需结合成熟过程")</x:f>
        <x:v>方向需结合成熟过程</x:v>
      </x:c>
      <x:c r="M37" s="17" t="str">
        <x:v>探索性；不替代独立复现</x:v>
      </x:c>
    </x:row>
    <x:row r="38">
      <x:c r="A38" s="17" t="str">
        <x:v>a_star</x:v>
      </x:c>
      <x:c r="B38" s="17" t="str">
        <x:v>颜色a*</x:v>
      </x:c>
      <x:c r="C38" s="17" t="str">
        <x:v>-</x:v>
      </x:c>
      <x:c r="D38" s="17" t="str">
        <x:v>context</x:v>
      </x:c>
      <x:c r="E38" s="17" t="n">
        <x:v>9</x:v>
      </x:c>
      <x:c r="F38" s="18" t="n">
        <x:f>'描述统计'!G71</x:f>
        <x:v>30.900000000000002</x:v>
      </x:c>
      <x:c r="G38" s="18" t="n">
        <x:f>'描述统计'!G72</x:f>
        <x:v>32.699999999999996</x:v>
      </x:c>
      <x:c r="H38" s="18" t="n">
        <x:f>G38-F38</x:f>
        <x:v>1.7999999999999936</x:v>
      </x:c>
      <x:c r="I38" s="19" t="n">
        <x:f>IF(F38=0,"",H38/F38)</x:f>
        <x:v>0.058252427184465806</x:v>
      </x:c>
      <x:c r="J38" s="18" t="n">
        <x:f>IF((POWER('描述统计'!H71,2)/'描述统计'!F71)+(POWER('描述统计'!H72,2)/'描述统计'!F72)=0,"",H38/SQRT((POWER('描述统计'!H71,2)/'描述统计'!F71)+(POWER('描述统计'!H72,2)/'描述统计'!F72)))</x:f>
        <x:v>22.045407685048797</x:v>
      </x:c>
      <x:c r="K38" s="18" t="n">
        <x:f>IF((POWER(POWER('描述统计'!H71,2)/'描述统计'!F71,2)/('描述统计'!F71-1))+(POWER(POWER('描述统计'!H72,2)/'描述统计'!F72,2)/('描述统计'!F72-1))=0,"",POWER((POWER('描述统计'!H71,2)/'描述统计'!F71)+(POWER('描述统计'!H72,2)/'描述统计'!F72),2)/(POWER(POWER('描述统计'!H71,2)/'描述统计'!F71,2)/('描述统计'!F71-1))+(POWER(POWER('描述统计'!H72,2)/'描述统计'!F72,2)/('描述统计'!F72-1)))</x:f>
        <x:v>8.000005555555273</x:v>
      </x:c>
      <x:c r="L38" s="17" t="str">
        <x:f>IF(H38=0,"持平","方向需结合成熟过程")</x:f>
        <x:v>方向需结合成熟过程</x:v>
      </x:c>
      <x:c r="M38" s="17" t="str">
        <x:v>探索性；不替代独立复现</x:v>
      </x:c>
    </x:row>
    <x:row r="39">
      <x:c r="A39" s="17" t="str">
        <x:v>a_star</x:v>
      </x:c>
      <x:c r="B39" s="17" t="str">
        <x:v>颜色a*</x:v>
      </x:c>
      <x:c r="C39" s="17" t="str">
        <x:v>-</x:v>
      </x:c>
      <x:c r="D39" s="17" t="str">
        <x:v>context</x:v>
      </x:c>
      <x:c r="E39" s="17" t="n">
        <x:v>12</x:v>
      </x:c>
      <x:c r="F39" s="18" t="n">
        <x:f>'描述统计'!G73</x:f>
        <x:v>29.400000000000002</x:v>
      </x:c>
      <x:c r="G39" s="18" t="n">
        <x:f>'描述统计'!G74</x:f>
        <x:v>32.1</x:v>
      </x:c>
      <x:c r="H39" s="18" t="n">
        <x:f>G39-F39</x:f>
        <x:v>2.6999999999999993</x:v>
      </x:c>
      <x:c r="I39" s="19" t="n">
        <x:f>IF(F39=0,"",H39/F39)</x:f>
        <x:v>0.09183673469387751</x:v>
      </x:c>
      <x:c r="J39" s="18" t="n">
        <x:f>IF((POWER('描述统计'!H73,2)/'描述统计'!F73)+(POWER('描述统计'!H74,2)/'描述统计'!F74)=0,"",H39/SQRT((POWER('描述统计'!H73,2)/'描述统计'!F73)+(POWER('描述统计'!H74,2)/'描述统计'!F74)))</x:f>
        <x:v>33.06811152757272</x:v>
      </x:c>
      <x:c r="K39" s="18" t="n">
        <x:f>IF((POWER(POWER('描述统计'!H73,2)/'描述统计'!F73,2)/('描述统计'!F73-1))+(POWER(POWER('描述统计'!H74,2)/'描述统计'!F74,2)/('描述统计'!F74-1))=0,"",POWER((POWER('描述统计'!H73,2)/'描述统计'!F73)+(POWER('描述统计'!H74,2)/'描述统计'!F74),2)/(POWER(POWER('描述统计'!H73,2)/'描述统计'!F73,2)/('描述统计'!F73-1))+(POWER(POWER('描述统计'!H74,2)/'描述统计'!F74,2)/('描述统计'!F74-1)))</x:f>
        <x:v>8.000005555555838</x:v>
      </x:c>
      <x:c r="L39" s="17" t="str">
        <x:f>IF(H39=0,"持平","方向需结合成熟过程")</x:f>
        <x:v>方向需结合成熟过程</x:v>
      </x:c>
      <x:c r="M39" s="17" t="str">
        <x:v>探索性；不替代独立复现</x:v>
      </x:c>
    </x:row>
    <x:row r="40">
      <x:c r="A40" s="17" t="str">
        <x:v>a_star</x:v>
      </x:c>
      <x:c r="B40" s="17" t="str">
        <x:v>颜色a*</x:v>
      </x:c>
      <x:c r="C40" s="17" t="str">
        <x:v>-</x:v>
      </x:c>
      <x:c r="D40" s="17" t="str">
        <x:v>context</x:v>
      </x:c>
      <x:c r="E40" s="17" t="n">
        <x:v>15</x:v>
      </x:c>
      <x:c r="F40" s="18" t="n">
        <x:f>'描述统计'!G75</x:f>
        <x:v>28</x:v>
      </x:c>
      <x:c r="G40" s="18" t="n">
        <x:f>'描述统计'!G76</x:f>
        <x:v>30.2</x:v>
      </x:c>
      <x:c r="H40" s="18" t="n">
        <x:f>G40-F40</x:f>
        <x:v>2.1999999999999993</x:v>
      </x:c>
      <x:c r="I40" s="19" t="n">
        <x:f>IF(F40=0,"",H40/F40)</x:f>
        <x:v>0.07857142857142854</x:v>
      </x:c>
      <x:c r="J40" s="18" t="n">
        <x:f>IF((POWER('描述统计'!H75,2)/'描述统计'!F75)+(POWER('描述统计'!H76,2)/'描述统计'!F76)=0,"",H40/SQRT((POWER('描述统计'!H75,2)/'描述统计'!F75)+(POWER('描述统计'!H76,2)/'描述统计'!F76)))</x:f>
        <x:v>26.944387170614807</x:v>
      </x:c>
      <x:c r="K40" s="18" t="n">
        <x:f>IF((POWER(POWER('描述统计'!H75,2)/'描述统计'!F75,2)/('描述统计'!F75-1))+(POWER(POWER('描述统计'!H76,2)/'描述统计'!F76,2)/('描述统计'!F76-1))=0,"",POWER((POWER('描述统计'!H75,2)/'描述统计'!F75)+(POWER('描述统计'!H76,2)/'描述统计'!F76),2)/(POWER(POWER('描述统计'!H75,2)/'描述统计'!F75,2)/('描述统计'!F75-1))+(POWER(POWER('描述统计'!H76,2)/'描述统计'!F76,2)/('描述统计'!F76-1)))</x:f>
        <x:v>8.000005555555271</x:v>
      </x:c>
      <x:c r="L40" s="17" t="str">
        <x:f>IF(H40=0,"持平","方向需结合成熟过程")</x:f>
        <x:v>方向需结合成熟过程</x:v>
      </x:c>
      <x:c r="M40" s="17" t="str">
        <x:v>探索性；不替代独立复现</x:v>
      </x:c>
    </x:row>
    <x:row r="41">
      <x:c r="A41" s="17" t="str">
        <x:v>delta_e</x:v>
      </x:c>
      <x:c r="B41" s="17" t="str">
        <x:v>总色差ΔE</x:v>
      </x:c>
      <x:c r="C41" s="17" t="str">
        <x:v>-</x:v>
      </x:c>
      <x:c r="D41" s="17" t="str">
        <x:v>lower_better</x:v>
      </x:c>
      <x:c r="E41" s="17" t="n">
        <x:v>0</x:v>
      </x:c>
      <x:c r="F41" s="18" t="n">
        <x:f>'描述统计'!G77</x:f>
        <x:v>0</x:v>
      </x:c>
      <x:c r="G41" s="18" t="n">
        <x:f>'描述统计'!G78</x:f>
        <x:v>0</x:v>
      </x:c>
      <x:c r="H41" s="18" t="n">
        <x:f>G41-F41</x:f>
        <x:v>0</x:v>
      </x:c>
      <x:c r="I41" s="19" t="str">
        <x:f>IF(F41=0,"",H41/F41)</x:f>
      </x:c>
      <x:c r="J41" s="18" t="str">
        <x:f>IF((POWER('描述统计'!H77,2)/'描述统计'!F77)+(POWER('描述统计'!H78,2)/'描述统计'!F78)=0,"",H41/SQRT((POWER('描述统计'!H77,2)/'描述统计'!F77)+(POWER('描述统计'!H78,2)/'描述统计'!F78)))</x:f>
      </x:c>
      <x:c r="K41" s="18" t="str">
        <x:f>IF((POWER(POWER('描述统计'!H77,2)/'描述统计'!F77,2)/('描述统计'!F77-1))+(POWER(POWER('描述统计'!H78,2)/'描述统计'!F78,2)/('描述统计'!F78-1))=0,"",POWER((POWER('描述统计'!H77,2)/'描述统计'!F77)+(POWER('描述统计'!H78,2)/'描述统计'!F78),2)/(POWER(POWER('描述统计'!H77,2)/'描述统计'!F77,2)/('描述统计'!F77-1))+(POWER(POWER('描述统计'!H78,2)/'描述统计'!F78,2)/('描述统计'!F78-1)))</x:f>
      </x:c>
      <x:c r="L41" s="17" t="str">
        <x:f>IF(H41&lt;0,"MF较优",IF(H41&gt;0,"CR较优","持平"))</x:f>
        <x:v>持平</x:v>
      </x:c>
      <x:c r="M41" s="17" t="str">
        <x:v>探索性；不替代独立复现</x:v>
      </x:c>
    </x:row>
    <x:row r="42">
      <x:c r="A42" s="17" t="str">
        <x:v>delta_e</x:v>
      </x:c>
      <x:c r="B42" s="17" t="str">
        <x:v>总色差ΔE</x:v>
      </x:c>
      <x:c r="C42" s="17" t="str">
        <x:v>-</x:v>
      </x:c>
      <x:c r="D42" s="17" t="str">
        <x:v>lower_better</x:v>
      </x:c>
      <x:c r="E42" s="17" t="n">
        <x:v>3</x:v>
      </x:c>
      <x:c r="F42" s="18" t="n">
        <x:f>'描述统计'!G79</x:f>
        <x:v>6.8999999999999995</x:v>
      </x:c>
      <x:c r="G42" s="18" t="n">
        <x:f>'描述统计'!G80</x:f>
        <x:v>6</x:v>
      </x:c>
      <x:c r="H42" s="18" t="n">
        <x:f>G42-F42</x:f>
        <x:v>-0.8999999999999995</x:v>
      </x:c>
      <x:c r="I42" s="19" t="n">
        <x:f>IF(F42=0,"",H42/F42)</x:f>
        <x:v>-0.1304347826086956</x:v>
      </x:c>
      <x:c r="J42" s="18" t="n">
        <x:f>IF((POWER('描述统计'!H79,2)/'描述统计'!F79)+(POWER('描述统计'!H80,2)/'描述统计'!F80)=0,"",H42/SQRT((POWER('描述统计'!H79,2)/'描述统计'!F79)+(POWER('描述统计'!H80,2)/'描述统计'!F80)))</x:f>
        <x:v>-11.02270384252431</x:v>
      </x:c>
      <x:c r="K42" s="18" t="n">
        <x:f>IF((POWER(POWER('描述统计'!H79,2)/'描述统计'!F79,2)/('描述统计'!F79-1))+(POWER(POWER('描述统计'!H80,2)/'描述统计'!F80,2)/('描述统计'!F80-1))=0,"",POWER((POWER('描述统计'!H79,2)/'描述统计'!F79)+(POWER('描述统计'!H80,2)/'描述统计'!F80),2)/(POWER(POWER('描述统计'!H79,2)/'描述统计'!F79,2)/('描述统计'!F79-1))+(POWER(POWER('描述统计'!H80,2)/'描述统计'!F80,2)/('描述统计'!F80-1)))</x:f>
        <x:v>8.000005555555484</x:v>
      </x:c>
      <x:c r="L42" s="17" t="str">
        <x:f>IF(H42&lt;0,"MF较优",IF(H42&gt;0,"CR较优","持平"))</x:f>
        <x:v>MF较优</x:v>
      </x:c>
      <x:c r="M42" s="17" t="str">
        <x:v>探索性；不替代独立复现</x:v>
      </x:c>
    </x:row>
    <x:row r="43">
      <x:c r="A43" s="17" t="str">
        <x:v>delta_e</x:v>
      </x:c>
      <x:c r="B43" s="17" t="str">
        <x:v>总色差ΔE</x:v>
      </x:c>
      <x:c r="C43" s="17" t="str">
        <x:v>-</x:v>
      </x:c>
      <x:c r="D43" s="17" t="str">
        <x:v>lower_better</x:v>
      </x:c>
      <x:c r="E43" s="17" t="n">
        <x:v>6</x:v>
      </x:c>
      <x:c r="F43" s="18" t="n">
        <x:f>'描述统计'!G81</x:f>
        <x:v>9.1</x:v>
      </x:c>
      <x:c r="G43" s="18" t="n">
        <x:f>'描述统计'!G82</x:f>
        <x:v>8</x:v>
      </x:c>
      <x:c r="H43" s="18" t="n">
        <x:f>G43-F43</x:f>
        <x:v>-1.0999999999999996</x:v>
      </x:c>
      <x:c r="I43" s="19" t="n">
        <x:f>IF(F43=0,"",H43/F43)</x:f>
        <x:v>-0.12087912087912084</x:v>
      </x:c>
      <x:c r="J43" s="18" t="n">
        <x:f>IF((POWER('描述统计'!H81,2)/'描述统计'!F81)+(POWER('描述统计'!H82,2)/'描述统计'!F82)=0,"",H43/SQRT((POWER('描述统计'!H81,2)/'描述统计'!F81)+(POWER('描述统计'!H82,2)/'描述统计'!F82)))</x:f>
        <x:v>-13.472193585307522</x:v>
      </x:c>
      <x:c r="K43" s="18" t="n">
        <x:f>IF((POWER(POWER('描述统计'!H81,2)/'描述统计'!F81,2)/('描述统计'!F81-1))+(POWER(POWER('描述统计'!H82,2)/'描述统计'!F82,2)/('描述统计'!F82-1))=0,"",POWER((POWER('描述统计'!H81,2)/'描述统计'!F81)+(POWER('描述统计'!H82,2)/'描述统计'!F82),2)/(POWER(POWER('描述统计'!H81,2)/'描述统计'!F81,2)/('描述统计'!F81-1))+(POWER(POWER('描述统计'!H82,2)/'描述统计'!F82,2)/('描述统计'!F82-1)))</x:f>
        <x:v>8.000005555555555</x:v>
      </x:c>
      <x:c r="L43" s="17" t="str">
        <x:f>IF(H43&lt;0,"MF较优",IF(H43&gt;0,"CR较优","持平"))</x:f>
        <x:v>MF较优</x:v>
      </x:c>
      <x:c r="M43" s="17" t="str">
        <x:v>探索性；不替代独立复现</x:v>
      </x:c>
    </x:row>
    <x:row r="44">
      <x:c r="A44" s="17" t="str">
        <x:v>delta_e</x:v>
      </x:c>
      <x:c r="B44" s="17" t="str">
        <x:v>总色差ΔE</x:v>
      </x:c>
      <x:c r="C44" s="17" t="str">
        <x:v>-</x:v>
      </x:c>
      <x:c r="D44" s="17" t="str">
        <x:v>lower_better</x:v>
      </x:c>
      <x:c r="E44" s="17" t="n">
        <x:v>9</x:v>
      </x:c>
      <x:c r="F44" s="18" t="n">
        <x:f>'描述统计'!G83</x:f>
        <x:v>9.1</x:v>
      </x:c>
      <x:c r="G44" s="18" t="n">
        <x:f>'描述统计'!G84</x:f>
        <x:v>7.5</x:v>
      </x:c>
      <x:c r="H44" s="18" t="n">
        <x:f>G44-F44</x:f>
        <x:v>-1.5999999999999996</x:v>
      </x:c>
      <x:c r="I44" s="19" t="n">
        <x:f>IF(F44=0,"",H44/F44)</x:f>
        <x:v>-0.17582417582417578</x:v>
      </x:c>
      <x:c r="J44" s="18" t="n">
        <x:f>IF((POWER('描述统计'!H83,2)/'描述统计'!F83)+(POWER('描述统计'!H84,2)/'描述统计'!F84)=0,"",H44/SQRT((POWER('描述统计'!H83,2)/'描述统计'!F83)+(POWER('描述统计'!H84,2)/'描述统计'!F84)))</x:f>
        <x:v>-19.59591794226549</x:v>
      </x:c>
      <x:c r="K44" s="18" t="n">
        <x:f>IF((POWER(POWER('描述统计'!H83,2)/'描述统计'!F83,2)/('描述统计'!F83-1))+(POWER(POWER('描述统计'!H84,2)/'描述统计'!F84,2)/('描述统计'!F84-1))=0,"",POWER((POWER('描述统计'!H83,2)/'描述统计'!F83)+(POWER('描述统计'!H84,2)/'描述统计'!F84),2)/(POWER(POWER('描述统计'!H83,2)/'描述统计'!F83,2)/('描述统计'!F83-1))+(POWER(POWER('描述统计'!H84,2)/'描述统计'!F84,2)/('描述统计'!F84-1)))</x:f>
        <x:v>8.000005555555555</x:v>
      </x:c>
      <x:c r="L44" s="17" t="str">
        <x:f>IF(H44&lt;0,"MF较优",IF(H44&gt;0,"CR较优","持平"))</x:f>
        <x:v>MF较优</x:v>
      </x:c>
      <x:c r="M44" s="17" t="str">
        <x:v>探索性；不替代独立复现</x:v>
      </x:c>
    </x:row>
    <x:row r="45">
      <x:c r="A45" s="17" t="str">
        <x:v>delta_e</x:v>
      </x:c>
      <x:c r="B45" s="17" t="str">
        <x:v>总色差ΔE</x:v>
      </x:c>
      <x:c r="C45" s="17" t="str">
        <x:v>-</x:v>
      </x:c>
      <x:c r="D45" s="17" t="str">
        <x:v>lower_better</x:v>
      </x:c>
      <x:c r="E45" s="17" t="n">
        <x:v>12</x:v>
      </x:c>
      <x:c r="F45" s="18" t="n">
        <x:f>'描述统计'!G85</x:f>
        <x:v>11</x:v>
      </x:c>
      <x:c r="G45" s="18" t="n">
        <x:f>'描述统计'!G86</x:f>
        <x:v>8</x:v>
      </x:c>
      <x:c r="H45" s="18" t="n">
        <x:f>G45-F45</x:f>
        <x:v>-3</x:v>
      </x:c>
      <x:c r="I45" s="19" t="n">
        <x:f>IF(F45=0,"",H45/F45)</x:f>
        <x:v>-0.2727272727272727</x:v>
      </x:c>
      <x:c r="J45" s="18" t="n">
        <x:f>IF((POWER('描述统计'!H85,2)/'描述统计'!F85)+(POWER('描述统计'!H86,2)/'描述统计'!F86)=0,"",H45/SQRT((POWER('描述统计'!H85,2)/'描述统计'!F85)+(POWER('描述统计'!H86,2)/'描述统计'!F86)))</x:f>
        <x:v>-36.7423461417478</x:v>
      </x:c>
      <x:c r="K45" s="18" t="n">
        <x:f>IF((POWER(POWER('描述统计'!H85,2)/'描述统计'!F85,2)/('描述统计'!F85-1))+(POWER(POWER('描述统计'!H86,2)/'描述统计'!F86,2)/('描述统计'!F86-1))=0,"",POWER((POWER('描述统计'!H85,2)/'描述统计'!F85)+(POWER('描述统计'!H86,2)/'描述统计'!F86),2)/(POWER(POWER('描述统计'!H85,2)/'描述统计'!F85,2)/('描述统计'!F85-1))+(POWER(POWER('描述统计'!H86,2)/'描述统计'!F86,2)/('描述统计'!F86-1)))</x:f>
        <x:v>8.000005555555555</x:v>
      </x:c>
      <x:c r="L45" s="17" t="str">
        <x:f>IF(H45&lt;0,"MF较优",IF(H45&gt;0,"CR较优","持平"))</x:f>
        <x:v>MF较优</x:v>
      </x:c>
      <x:c r="M45" s="17" t="str">
        <x:v>探索性；不替代独立复现</x:v>
      </x:c>
    </x:row>
    <x:row r="46">
      <x:c r="A46" s="17" t="str">
        <x:v>delta_e</x:v>
      </x:c>
      <x:c r="B46" s="17" t="str">
        <x:v>总色差ΔE</x:v>
      </x:c>
      <x:c r="C46" s="17" t="str">
        <x:v>-</x:v>
      </x:c>
      <x:c r="D46" s="17" t="str">
        <x:v>lower_better</x:v>
      </x:c>
      <x:c r="E46" s="17" t="n">
        <x:v>15</x:v>
      </x:c>
      <x:c r="F46" s="18" t="n">
        <x:f>'描述统计'!G87</x:f>
        <x:v>16</x:v>
      </x:c>
      <x:c r="G46" s="18" t="n">
        <x:f>'描述统计'!G88</x:f>
        <x:v>9.4</x:v>
      </x:c>
      <x:c r="H46" s="18" t="n">
        <x:f>G46-F46</x:f>
        <x:v>-6.6</x:v>
      </x:c>
      <x:c r="I46" s="19" t="n">
        <x:f>IF(F46=0,"",H46/F46)</x:f>
        <x:v>-0.4125</x:v>
      </x:c>
      <x:c r="J46" s="18" t="n">
        <x:f>IF((POWER('描述统计'!H87,2)/'描述统计'!F87)+(POWER('描述统计'!H88,2)/'描述统计'!F88)=0,"",H46/SQRT((POWER('描述统计'!H87,2)/'描述统计'!F87)+(POWER('描述统计'!H88,2)/'描述统计'!F88)))</x:f>
        <x:v>-80.83316151184479</x:v>
      </x:c>
      <x:c r="K46" s="18" t="n">
        <x:f>IF((POWER(POWER('描述统计'!H87,2)/'描述统计'!F87,2)/('描述统计'!F87-1))+(POWER(POWER('描述统计'!H88,2)/'描述统计'!F88,2)/('描述统计'!F88-1))=0,"",POWER((POWER('描述统计'!H87,2)/'描述统计'!F87)+(POWER('描述统计'!H88,2)/'描述统计'!F88),2)/(POWER(POWER('描述统计'!H87,2)/'描述统计'!F87,2)/('描述统计'!F87-1))+(POWER(POWER('描述统计'!H88,2)/'描述统计'!F88,2)/('描述统计'!F88-1)))</x:f>
        <x:v>8.000005555555415</x:v>
      </x:c>
      <x:c r="L46" s="17" t="str">
        <x:f>IF(H46&lt;0,"MF较优",IF(H46&gt;0,"CR较优","持平"))</x:f>
        <x:v>MF较优</x:v>
      </x:c>
      <x:c r="M46" s="17" t="str">
        <x:v>探索性；不替代独立复现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</x:cols>
  <x:sheetData>
    <x:row r="1" ht="30" customHeight="1">
      <x:c r="A1" s="3" t="str">
        <x:v>指标趋势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图表数据由描述统计表引用；CR与MF采用统一颜色和时间轴。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21" t="str">
        <x:v>天数</x:v>
      </x:c>
      <x:c r="B4" s="21" t="str">
        <x:v>CR均值</x:v>
      </x:c>
      <x:c r="C4" s="21" t="str">
        <x:v>MF均值</x:v>
      </x:c>
    </x:row>
    <x:row r="5">
      <x:c r="A5" s="22" t="n">
        <x:v>0</x:v>
      </x:c>
      <x:c r="B5" s="22" t="n">
        <x:f>'描述统计'!G5</x:f>
        <x:v>84</x:v>
      </x:c>
      <x:c r="C5" s="22" t="n">
        <x:f>'描述统计'!G6</x:f>
        <x:v>84</x:v>
      </x:c>
    </x:row>
    <x:row r="6">
      <x:c r="A6" s="22" t="n">
        <x:v>3</x:v>
      </x:c>
      <x:c r="B6" s="22" t="n">
        <x:f>'描述统计'!G7</x:f>
        <x:v>66.76666666666667</x:v>
      </x:c>
      <x:c r="C6" s="22" t="n">
        <x:f>'描述统计'!G8</x:f>
        <x:v>77.23333333333333</x:v>
      </x:c>
    </x:row>
    <x:row r="7">
      <x:c r="A7" s="22" t="n">
        <x:v>6</x:v>
      </x:c>
      <x:c r="B7" s="22" t="n">
        <x:f>'描述统计'!G9</x:f>
        <x:v>50.26666666666667</x:v>
      </x:c>
      <x:c r="C7" s="22" t="n">
        <x:f>'描述统计'!G10</x:f>
        <x:v>69.23333333333333</x:v>
      </x:c>
    </x:row>
    <x:row r="8">
      <x:c r="A8" s="22" t="n">
        <x:v>9</x:v>
      </x:c>
      <x:c r="B8" s="22" t="n">
        <x:f>'描述统计'!G11</x:f>
        <x:v>33.5</x:v>
      </x:c>
      <x:c r="C8" s="22" t="n">
        <x:f>'描述统计'!G12</x:f>
        <x:v>58.5</x:v>
      </x:c>
    </x:row>
    <x:row r="9">
      <x:c r="A9" s="22" t="n">
        <x:v>12</x:v>
      </x:c>
      <x:c r="B9" s="22" t="n">
        <x:f>'描述统计'!G13</x:f>
        <x:v>16.766666666666666</x:v>
      </x:c>
      <x:c r="C9" s="22" t="n">
        <x:f>'描述统计'!G14</x:f>
        <x:v>38.766666666666666</x:v>
      </x:c>
    </x:row>
    <x:row r="10">
      <x:c r="A10" s="22" t="n">
        <x:v>15</x:v>
      </x:c>
      <x:c r="B10" s="22" t="n">
        <x:f>'描述统计'!G15</x:f>
        <x:v>3</x:v>
      </x:c>
      <x:c r="C10" s="22" t="n">
        <x:f>'描述统计'!G16</x:f>
        <x:v>16.233333333333334</x:v>
      </x:c>
    </x:row>
    <x:row r="11">
      <x:c r="A11" s="23"/>
      <x:c r="B11" s="23"/>
      <x:c r="C11" s="23"/>
    </x:row>
    <x:row r="12">
      <x:c r="A12" s="23"/>
      <x:c r="B12" s="23"/>
      <x:c r="C12" s="23"/>
    </x:row>
    <x:row r="13">
      <x:c r="A13" s="23"/>
      <x:c r="B13" s="23"/>
      <x:c r="C13" s="23"/>
    </x:row>
    <x:row r="14">
      <x:c r="A14" s="23"/>
      <x:c r="B14" s="23"/>
      <x:c r="C14" s="23"/>
    </x:row>
    <x:row r="15">
      <x:c r="A15" s="23"/>
      <x:c r="B15" s="23"/>
      <x:c r="C15" s="23"/>
    </x:row>
    <x:row r="16">
      <x:c r="A16" s="21" t="str">
        <x:v>天数</x:v>
      </x:c>
      <x:c r="B16" s="21" t="str">
        <x:v>CR均值</x:v>
      </x:c>
      <x:c r="C16" s="21" t="str">
        <x:v>MF均值</x:v>
      </x:c>
    </x:row>
    <x:row r="17">
      <x:c r="A17" s="22" t="n">
        <x:v>0</x:v>
      </x:c>
      <x:c r="B17" s="22" t="n">
        <x:f>'描述统计'!G17</x:f>
        <x:v>0</x:v>
      </x:c>
      <x:c r="C17" s="22" t="n">
        <x:f>'描述统计'!G18</x:f>
        <x:v>0</x:v>
      </x:c>
    </x:row>
    <x:row r="18">
      <x:c r="A18" s="22" t="n">
        <x:v>3</x:v>
      </x:c>
      <x:c r="B18" s="22" t="n">
        <x:f>'描述统计'!G19</x:f>
        <x:v>2.3</x:v>
      </x:c>
      <x:c r="C18" s="22" t="n">
        <x:f>'描述统计'!G20</x:f>
        <x:v>1.1</x:v>
      </x:c>
    </x:row>
    <x:row r="19">
      <x:c r="A19" s="22" t="n">
        <x:v>6</x:v>
      </x:c>
      <x:c r="B19" s="22" t="n">
        <x:f>'描述统计'!G21</x:f>
        <x:v>5.766666666666667</x:v>
      </x:c>
      <x:c r="C19" s="22" t="n">
        <x:f>'描述统计'!G22</x:f>
        <x:v>3</x:v>
      </x:c>
    </x:row>
    <x:row r="20">
      <x:c r="A20" s="22" t="n">
        <x:v>9</x:v>
      </x:c>
      <x:c r="B20" s="22" t="n">
        <x:f>'描述统计'!G23</x:f>
        <x:v>9.266666666666667</x:v>
      </x:c>
      <x:c r="C20" s="22" t="n">
        <x:f>'描述统计'!G24</x:f>
        <x:v>4.766666666666667</x:v>
      </x:c>
    </x:row>
    <x:row r="21">
      <x:c r="A21" s="22" t="n">
        <x:v>12</x:v>
      </x:c>
      <x:c r="B21" s="22" t="n">
        <x:f>'描述统计'!G25</x:f>
        <x:v>13.766666666666666</x:v>
      </x:c>
      <x:c r="C21" s="22" t="n">
        <x:f>'描述统计'!G26</x:f>
        <x:v>6.766666666666667</x:v>
      </x:c>
    </x:row>
    <x:row r="22">
      <x:c r="A22" s="22" t="n">
        <x:v>15</x:v>
      </x:c>
      <x:c r="B22" s="22" t="n">
        <x:f>'描述统计'!G27</x:f>
        <x:v>18.233333333333334</x:v>
      </x:c>
      <x:c r="C22" s="22" t="n">
        <x:f>'描述统计'!G28</x:f>
        <x:v>7.766666666666667</x:v>
      </x:c>
    </x:row>
    <x:row r="23">
      <x:c r="A23" s="23"/>
      <x:c r="B23" s="23"/>
      <x:c r="C23" s="23"/>
    </x:row>
    <x:row r="24">
      <x:c r="A24" s="23"/>
      <x:c r="B24" s="23"/>
      <x:c r="C24" s="23"/>
    </x:row>
    <x:row r="25">
      <x:c r="A25" s="23"/>
      <x:c r="B25" s="23"/>
      <x:c r="C25" s="23"/>
    </x:row>
    <x:row r="26">
      <x:c r="A26" s="23"/>
      <x:c r="B26" s="23"/>
      <x:c r="C26" s="23"/>
    </x:row>
    <x:row r="27">
      <x:c r="A27" s="23"/>
      <x:c r="B27" s="23"/>
      <x:c r="C27" s="23"/>
    </x:row>
    <x:row r="28">
      <x:c r="A28" s="21" t="str">
        <x:v>天数</x:v>
      </x:c>
      <x:c r="B28" s="21" t="str">
        <x:v>CR均值</x:v>
      </x:c>
      <x:c r="C28" s="21" t="str">
        <x:v>MF均值</x:v>
      </x:c>
    </x:row>
    <x:row r="29">
      <x:c r="A29" s="22" t="n">
        <x:v>0</x:v>
      </x:c>
      <x:c r="B29" s="22" t="n">
        <x:f>'描述统计'!G29</x:f>
        <x:v>2.5</x:v>
      </x:c>
      <x:c r="C29" s="22" t="n">
        <x:f>'描述统计'!G30</x:f>
        <x:v>2.5</x:v>
      </x:c>
    </x:row>
    <x:row r="30">
      <x:c r="A30" s="22" t="n">
        <x:v>3</x:v>
      </x:c>
      <x:c r="B30" s="22" t="n">
        <x:f>'描述统计'!G31</x:f>
        <x:v>3.9</x:v>
      </x:c>
      <x:c r="C30" s="22" t="n">
        <x:f>'描述统计'!G32</x:f>
        <x:v>3.1999999999999997</x:v>
      </x:c>
    </x:row>
    <x:row r="31">
      <x:c r="A31" s="22" t="n">
        <x:v>6</x:v>
      </x:c>
      <x:c r="B31" s="22" t="n">
        <x:f>'描述统计'!G33</x:f>
        <x:v>5.5</x:v>
      </x:c>
      <x:c r="C31" s="22" t="n">
        <x:f>'描述统计'!G34</x:f>
        <x:v>4.3</x:v>
      </x:c>
    </x:row>
    <x:row r="32">
      <x:c r="A32" s="22" t="n">
        <x:v>9</x:v>
      </x:c>
      <x:c r="B32" s="22" t="n">
        <x:f>'描述统计'!G35</x:f>
        <x:v>7.2</x:v>
      </x:c>
      <x:c r="C32" s="22" t="n">
        <x:f>'描述统计'!G36</x:f>
        <x:v>5.5</x:v>
      </x:c>
    </x:row>
    <x:row r="33">
      <x:c r="A33" s="22" t="n">
        <x:v>12</x:v>
      </x:c>
      <x:c r="B33" s="22" t="n">
        <x:f>'描述统计'!G37</x:f>
        <x:v>9</x:v>
      </x:c>
      <x:c r="C33" s="22" t="n">
        <x:f>'描述统计'!G38</x:f>
        <x:v>6.8</x:v>
      </x:c>
    </x:row>
    <x:row r="34">
      <x:c r="A34" s="22" t="n">
        <x:v>15</x:v>
      </x:c>
      <x:c r="B34" s="22" t="n">
        <x:f>'描述统计'!G39</x:f>
        <x:v>10.5</x:v>
      </x:c>
      <x:c r="C34" s="22" t="n">
        <x:f>'描述统计'!G40</x:f>
        <x:v>8</x:v>
      </x:c>
    </x:row>
    <x:row r="35">
      <x:c r="A35" s="23"/>
      <x:c r="B35" s="23"/>
      <x:c r="C35" s="23"/>
    </x:row>
    <x:row r="36">
      <x:c r="A36" s="23"/>
      <x:c r="B36" s="23"/>
      <x:c r="C36" s="23"/>
    </x:row>
    <x:row r="37">
      <x:c r="A37" s="23"/>
      <x:c r="B37" s="23"/>
      <x:c r="C37" s="23"/>
    </x:row>
    <x:row r="38">
      <x:c r="A38" s="23"/>
      <x:c r="B38" s="23"/>
      <x:c r="C38" s="23"/>
    </x:row>
    <x:row r="39">
      <x:c r="A39" s="23"/>
      <x:c r="B39" s="23"/>
      <x:c r="C39" s="23"/>
    </x:row>
    <x:row r="40">
      <x:c r="A40" s="21" t="str">
        <x:v>天数</x:v>
      </x:c>
      <x:c r="B40" s="21" t="str">
        <x:v>CR均值</x:v>
      </x:c>
      <x:c r="C40" s="21" t="str">
        <x:v>MF均值</x:v>
      </x:c>
    </x:row>
    <x:row r="41">
      <x:c r="A41" s="22" t="n">
        <x:v>0</x:v>
      </x:c>
      <x:c r="B41" s="22" t="n">
        <x:f>'描述统计'!G41</x:f>
        <x:v>5</x:v>
      </x:c>
      <x:c r="C41" s="22" t="n">
        <x:f>'描述统计'!G42</x:f>
        <x:v>5</x:v>
      </x:c>
    </x:row>
    <x:row r="42">
      <x:c r="A42" s="22" t="n">
        <x:v>3</x:v>
      </x:c>
      <x:c r="B42" s="22" t="n">
        <x:f>'描述统计'!G43</x:f>
        <x:v>8.5</x:v>
      </x:c>
      <x:c r="C42" s="22" t="n">
        <x:f>'描述统计'!G44</x:f>
        <x:v>6.5</x:v>
      </x:c>
    </x:row>
    <x:row r="43">
      <x:c r="A43" s="22" t="n">
        <x:v>6</x:v>
      </x:c>
      <x:c r="B43" s="22" t="n">
        <x:f>'描述统计'!G45</x:f>
        <x:v>12</x:v>
      </x:c>
      <x:c r="C43" s="22" t="n">
        <x:f>'描述统计'!G46</x:f>
        <x:v>8.8</x:v>
      </x:c>
    </x:row>
    <x:row r="44">
      <x:c r="A44" s="22" t="n">
        <x:v>9</x:v>
      </x:c>
      <x:c r="B44" s="22" t="n">
        <x:f>'描述统计'!G47</x:f>
        <x:v>16.5</x:v>
      </x:c>
      <x:c r="C44" s="22" t="n">
        <x:f>'描述统计'!G48</x:f>
        <x:v>11</x:v>
      </x:c>
    </x:row>
    <x:row r="45">
      <x:c r="A45" s="22" t="n">
        <x:v>12</x:v>
      </x:c>
      <x:c r="B45" s="22" t="n">
        <x:f>'描述统计'!G49</x:f>
        <x:v>21</x:v>
      </x:c>
      <x:c r="C45" s="22" t="n">
        <x:f>'描述统计'!G50</x:f>
        <x:v>14.5</x:v>
      </x:c>
    </x:row>
    <x:row r="46">
      <x:c r="A46" s="22" t="n">
        <x:v>15</x:v>
      </x:c>
      <x:c r="B46" s="22" t="n">
        <x:f>'描述统计'!G51</x:f>
        <x:v>26</x:v>
      </x:c>
      <x:c r="C46" s="22" t="n">
        <x:f>'描述统计'!G52</x:f>
        <x:v>16.8</x:v>
      </x:c>
    </x:row>
    <x:row r="47">
      <x:c r="A47" s="23"/>
      <x:c r="B47" s="23"/>
      <x:c r="C47" s="23"/>
    </x:row>
    <x:row r="48">
      <x:c r="A48" s="23"/>
      <x:c r="B48" s="23"/>
      <x:c r="C48" s="23"/>
    </x:row>
    <x:row r="49">
      <x:c r="A49" s="23"/>
      <x:c r="B49" s="23"/>
      <x:c r="C49" s="23"/>
    </x:row>
    <x:row r="50">
      <x:c r="A50" s="23"/>
      <x:c r="B50" s="23"/>
      <x:c r="C50" s="23"/>
    </x:row>
    <x:row r="51">
      <x:c r="A51" s="23"/>
      <x:c r="B51" s="23"/>
      <x:c r="C51" s="23"/>
    </x:row>
    <x:row r="52">
      <x:c r="A52" s="21" t="str">
        <x:v>天数</x:v>
      </x:c>
      <x:c r="B52" s="21" t="str">
        <x:v>CR均值</x:v>
      </x:c>
      <x:c r="C52" s="21" t="str">
        <x:v>MF均值</x:v>
      </x:c>
    </x:row>
    <x:row r="53">
      <x:c r="A53" s="22" t="n">
        <x:v>0</x:v>
      </x:c>
      <x:c r="B53" s="22" t="n">
        <x:f>'描述统计'!G53</x:f>
        <x:v>40.666666666666664</x:v>
      </x:c>
      <x:c r="C53" s="22" t="n">
        <x:f>'描述统计'!G54</x:f>
        <x:v>40.6</x:v>
      </x:c>
    </x:row>
    <x:row r="54">
      <x:c r="A54" s="22" t="n">
        <x:v>3</x:v>
      </x:c>
      <x:c r="B54" s="22" t="n">
        <x:f>'描述统计'!G55</x:f>
        <x:v>36.8</x:v>
      </x:c>
      <x:c r="C54" s="22" t="n">
        <x:f>'描述统计'!G56</x:f>
        <x:v>40.199999999999996</x:v>
      </x:c>
    </x:row>
    <x:row r="55">
      <x:c r="A55" s="22" t="n">
        <x:v>6</x:v>
      </x:c>
      <x:c r="B55" s="22" t="n">
        <x:f>'描述统计'!G57</x:f>
        <x:v>35</x:v>
      </x:c>
      <x:c r="C55" s="22" t="n">
        <x:f>'描述统计'!G58</x:f>
        <x:v>38</x:v>
      </x:c>
    </x:row>
    <x:row r="56">
      <x:c r="A56" s="22" t="n">
        <x:v>9</x:v>
      </x:c>
      <x:c r="B56" s="22" t="n">
        <x:f>'描述统计'!G59</x:f>
        <x:v>33.1</x:v>
      </x:c>
      <x:c r="C56" s="22" t="n">
        <x:f>'描述统计'!G60</x:f>
        <x:v>37.06666666666667</x:v>
      </x:c>
    </x:row>
    <x:row r="57">
      <x:c r="A57" s="22" t="n">
        <x:v>12</x:v>
      </x:c>
      <x:c r="B57" s="22" t="n">
        <x:f>'描述统计'!G61</x:f>
        <x:v>30.099999999999998</x:v>
      </x:c>
      <x:c r="C57" s="22" t="n">
        <x:f>'描述统计'!G62</x:f>
        <x:v>35.199999999999996</x:v>
      </x:c>
    </x:row>
    <x:row r="58">
      <x:c r="A58" s="22" t="n">
        <x:v>15</x:v>
      </x:c>
      <x:c r="B58" s="22" t="n">
        <x:f>'描述统计'!G63</x:f>
        <x:v>25.8</x:v>
      </x:c>
      <x:c r="C58" s="22" t="n">
        <x:f>'描述统计'!G64</x:f>
        <x:v>33.5</x:v>
      </x:c>
    </x:row>
    <x:row r="59">
      <x:c r="A59" s="23"/>
      <x:c r="B59" s="23"/>
      <x:c r="C59" s="23"/>
    </x:row>
    <x:row r="60">
      <x:c r="A60" s="23"/>
      <x:c r="B60" s="23"/>
      <x:c r="C60" s="23"/>
    </x:row>
    <x:row r="61">
      <x:c r="A61" s="23"/>
      <x:c r="B61" s="23"/>
      <x:c r="C61" s="23"/>
    </x:row>
    <x:row r="62">
      <x:c r="A62" s="23"/>
      <x:c r="B62" s="23"/>
      <x:c r="C62" s="23"/>
    </x:row>
    <x:row r="63">
      <x:c r="A63" s="23"/>
      <x:c r="B63" s="23"/>
      <x:c r="C63" s="23"/>
    </x:row>
    <x:row r="64">
      <x:c r="A64" s="21" t="str">
        <x:v>天数</x:v>
      </x:c>
      <x:c r="B64" s="21" t="str">
        <x:v>CR均值</x:v>
      </x:c>
      <x:c r="C64" s="21" t="str">
        <x:v>MF均值</x:v>
      </x:c>
    </x:row>
    <x:row r="65">
      <x:c r="A65" s="22" t="n">
        <x:v>0</x:v>
      </x:c>
      <x:c r="B65" s="22" t="n">
        <x:f>'描述统计'!G65</x:f>
        <x:v>27.7</x:v>
      </x:c>
      <x:c r="C65" s="22" t="n">
        <x:f>'描述统计'!G66</x:f>
        <x:v>27.7</x:v>
      </x:c>
    </x:row>
    <x:row r="66">
      <x:c r="A66" s="22" t="n">
        <x:v>3</x:v>
      </x:c>
      <x:c r="B66" s="22" t="n">
        <x:f>'描述统计'!G67</x:f>
        <x:v>32.9</x:v>
      </x:c>
      <x:c r="C66" s="22" t="n">
        <x:f>'描述统计'!G68</x:f>
        <x:v>33.199999999999996</x:v>
      </x:c>
    </x:row>
    <x:row r="67">
      <x:c r="A67" s="22" t="n">
        <x:v>6</x:v>
      </x:c>
      <x:c r="B67" s="22" t="n">
        <x:f>'描述统计'!G69</x:f>
        <x:v>34.6</x:v>
      </x:c>
      <x:c r="C67" s="22" t="n">
        <x:f>'描述统计'!G70</x:f>
        <x:v>34.699999999999996</x:v>
      </x:c>
    </x:row>
    <x:row r="68">
      <x:c r="A68" s="22" t="n">
        <x:v>9</x:v>
      </x:c>
      <x:c r="B68" s="22" t="n">
        <x:f>'描述统计'!G71</x:f>
        <x:v>30.900000000000002</x:v>
      </x:c>
      <x:c r="C68" s="22" t="n">
        <x:f>'描述统计'!G72</x:f>
        <x:v>32.699999999999996</x:v>
      </x:c>
    </x:row>
    <x:row r="69">
      <x:c r="A69" s="22" t="n">
        <x:v>12</x:v>
      </x:c>
      <x:c r="B69" s="22" t="n">
        <x:f>'描述统计'!G73</x:f>
        <x:v>29.400000000000002</x:v>
      </x:c>
      <x:c r="C69" s="22" t="n">
        <x:f>'描述统计'!G74</x:f>
        <x:v>32.1</x:v>
      </x:c>
    </x:row>
    <x:row r="70">
      <x:c r="A70" s="22" t="n">
        <x:v>15</x:v>
      </x:c>
      <x:c r="B70" s="22" t="n">
        <x:f>'描述统计'!G75</x:f>
        <x:v>28</x:v>
      </x:c>
      <x:c r="C70" s="22" t="n">
        <x:f>'描述统计'!G76</x:f>
        <x:v>30.2</x:v>
      </x:c>
    </x:row>
    <x:row r="71">
      <x:c r="A71" s="23"/>
      <x:c r="B71" s="23"/>
      <x:c r="C71" s="23"/>
    </x:row>
    <x:row r="72">
      <x:c r="A72" s="23"/>
      <x:c r="B72" s="23"/>
      <x:c r="C72" s="23"/>
    </x:row>
    <x:row r="73">
      <x:c r="A73" s="23"/>
      <x:c r="B73" s="23"/>
      <x:c r="C73" s="23"/>
    </x:row>
    <x:row r="74">
      <x:c r="A74" s="23"/>
      <x:c r="B74" s="23"/>
      <x:c r="C74" s="23"/>
    </x:row>
    <x:row r="75">
      <x:c r="A75" s="23"/>
      <x:c r="B75" s="23"/>
      <x:c r="C75" s="23"/>
    </x:row>
    <x:row r="76">
      <x:c r="A76" s="21" t="str">
        <x:v>天数</x:v>
      </x:c>
      <x:c r="B76" s="21" t="str">
        <x:v>CR均值</x:v>
      </x:c>
      <x:c r="C76" s="21" t="str">
        <x:v>MF均值</x:v>
      </x:c>
    </x:row>
    <x:row r="77">
      <x:c r="A77" s="22" t="n">
        <x:v>0</x:v>
      </x:c>
      <x:c r="B77" s="22" t="n">
        <x:f>'描述统计'!G77</x:f>
        <x:v>0</x:v>
      </x:c>
      <x:c r="C77" s="22" t="n">
        <x:f>'描述统计'!G78</x:f>
        <x:v>0</x:v>
      </x:c>
    </x:row>
    <x:row r="78">
      <x:c r="A78" s="22" t="n">
        <x:v>3</x:v>
      </x:c>
      <x:c r="B78" s="22" t="n">
        <x:f>'描述统计'!G79</x:f>
        <x:v>6.8999999999999995</x:v>
      </x:c>
      <x:c r="C78" s="22" t="n">
        <x:f>'描述统计'!G80</x:f>
        <x:v>6</x:v>
      </x:c>
    </x:row>
    <x:row r="79">
      <x:c r="A79" s="22" t="n">
        <x:v>6</x:v>
      </x:c>
      <x:c r="B79" s="22" t="n">
        <x:f>'描述统计'!G81</x:f>
        <x:v>9.1</x:v>
      </x:c>
      <x:c r="C79" s="22" t="n">
        <x:f>'描述统计'!G82</x:f>
        <x:v>8</x:v>
      </x:c>
    </x:row>
    <x:row r="80">
      <x:c r="A80" s="22" t="n">
        <x:v>9</x:v>
      </x:c>
      <x:c r="B80" s="22" t="n">
        <x:f>'描述统计'!G83</x:f>
        <x:v>9.1</x:v>
      </x:c>
      <x:c r="C80" s="22" t="n">
        <x:f>'描述统计'!G84</x:f>
        <x:v>7.5</x:v>
      </x:c>
    </x:row>
    <x:row r="81">
      <x:c r="A81" s="22" t="n">
        <x:v>12</x:v>
      </x:c>
      <x:c r="B81" s="22" t="n">
        <x:f>'描述统计'!G85</x:f>
        <x:v>11</x:v>
      </x:c>
      <x:c r="C81" s="22" t="n">
        <x:f>'描述统计'!G86</x:f>
        <x:v>8</x:v>
      </x:c>
    </x:row>
    <x:row r="82">
      <x:c r="A82" s="22" t="n">
        <x:v>15</x:v>
      </x:c>
      <x:c r="B82" s="22" t="n">
        <x:f>'描述统计'!G87</x:f>
        <x:v>16</x:v>
      </x:c>
      <x:c r="C82" s="22" t="n">
        <x:f>'描述统计'!G88</x:f>
        <x:v>9.4</x:v>
      </x:c>
    </x:row>
    <x:row r="83">
      <x:c r="A83" s="23"/>
      <x:c r="B83" s="23"/>
      <x:c r="C83" s="23"/>
    </x:row>
    <x:row r="84">
      <x:c r="A84" s="23"/>
      <x:c r="B84" s="23"/>
      <x:c r="C84" s="23"/>
    </x:row>
    <x:row r="85">
      <x:c r="A85" s="23"/>
      <x:c r="B85" s="23"/>
      <x:c r="C85" s="23"/>
    </x:row>
    <x:row r="86">
      <x:c r="A86" s="23"/>
      <x:c r="B86" s="23"/>
      <x:c r="C86" s="23"/>
    </x:row>
    <x:row r="87">
      <x:c r="A87" s="23"/>
      <x:c r="B87" s="23"/>
      <x:c r="C87" s="23"/>
    </x:row>
    <x:row r="88">
      <x:c r="A88" s="23"/>
      <x:c r="B88" s="23"/>
      <x:c r="C88" s="23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1242dc4604f7489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8" hidden="0" customWidth="1"/>
    <x:col min="12" max="12" width="16" hidden="0" customWidth="1"/>
    <x:col min="13" max="13" width="12" hidden="0" customWidth="1"/>
  </x:cols>
  <x:sheetData>
    <x:row r="1" ht="30" customHeight="1">
      <x:c r="A1" s="28" t="str">
        <x:v>经营数据导入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 ht="34" customHeight="1">
      <x:c r="A2" s="7" t="str">
        <x:v>批次、库存和销售台账按原始业务符号归集。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6" t="str">
        <x:v>处理批次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5" ht="30" customHeight="1">
      <x:c r="A5" s="13" t="str">
        <x:v>批次号</x:v>
      </x:c>
      <x:c r="B5" s="13" t="str">
        <x:v>品种</x:v>
      </x:c>
      <x:c r="C5" s="13" t="str">
        <x:v>产地</x:v>
      </x:c>
      <x:c r="D5" s="13" t="str">
        <x:v>采收/加工日期</x:v>
      </x:c>
      <x:c r="E5" s="13" t="str">
        <x:v>到仓日期</x:v>
      </x:c>
      <x:c r="F5" s="13" t="str">
        <x:v>到仓仓库</x:v>
      </x:c>
      <x:c r="G5" s="13" t="str">
        <x:v>到货量kg</x:v>
      </x:c>
      <x:c r="H5" s="13" t="str">
        <x:v>采购单价元/kg</x:v>
      </x:c>
      <x:c r="I5" s="13" t="str">
        <x:v>采购金额元</x:v>
      </x:c>
      <x:c r="J5" s="13" t="str">
        <x:v>处理工艺</x:v>
      </x:c>
      <x:c r="K5" s="13" t="str">
        <x:v>处理成本元/kg</x:v>
      </x:c>
      <x:c r="L5" s="13" t="str">
        <x:v>计划销售渠道</x:v>
      </x:c>
      <x:c r="M5" s="13" t="str">
        <x:v>批次状态</x:v>
      </x:c>
    </x:row>
    <x:row r="6">
      <x:c r="A6" s="17" t="str">
        <x:v>GD-CM-2601-001</x:v>
      </x:c>
      <x:c r="B6" s="17" t="str">
        <x:v>红颜</x:v>
      </x:c>
      <x:c r="C6" s="17" t="str">
        <x:v>广东广州增城区小楼镇基地</x:v>
      </x:c>
      <x:c r="D6" s="27" t="n">
        <x:v>46027</x:v>
      </x:c>
      <x:c r="E6" s="27" t="n">
        <x:v>46028</x:v>
      </x:c>
      <x:c r="F6" s="17" t="str">
        <x:v>广州江南市场冷链仓</x:v>
      </x:c>
      <x:c r="G6" s="17" t="n">
        <x:v>4631</x:v>
      </x:c>
      <x:c r="H6" s="17" t="n">
        <x:v>19.71</x:v>
      </x:c>
      <x:c r="I6" s="17" t="n">
        <x:v>91277</x:v>
      </x:c>
      <x:c r="J6" s="17" t="str">
        <x:v>5 mT静磁场冷藏</x:v>
      </x:c>
      <x:c r="K6" s="17" t="n">
        <x:v>0.35</x:v>
      </x:c>
      <x:c r="L6" s="17" t="str">
        <x:v>连锁商超</x:v>
      </x:c>
      <x:c r="M6" s="17" t="str">
        <x:v>已结批</x:v>
      </x:c>
    </x:row>
    <x:row r="7">
      <x:c r="A7" s="17" t="str">
        <x:v>GD-CM-2601-002</x:v>
      </x:c>
      <x:c r="B7" s="17" t="str">
        <x:v>红颜</x:v>
      </x:c>
      <x:c r="C7" s="17" t="str">
        <x:v>广东韶关翁源县龙仙镇基地</x:v>
      </x:c>
      <x:c r="D7" s="27" t="n">
        <x:v>46036</x:v>
      </x:c>
      <x:c r="E7" s="27" t="n">
        <x:v>46037</x:v>
      </x:c>
      <x:c r="F7" s="17" t="str">
        <x:v>深圳海吉星冷链仓</x:v>
      </x:c>
      <x:c r="G7" s="17" t="n">
        <x:v>4557</x:v>
      </x:c>
      <x:c r="H7" s="17" t="n">
        <x:v>19.04</x:v>
      </x:c>
      <x:c r="I7" s="17" t="n">
        <x:v>86765</x:v>
      </x:c>
      <x:c r="J7" s="17" t="str">
        <x:v>5 mT静磁场冷藏</x:v>
      </x:c>
      <x:c r="K7" s="17" t="n">
        <x:v>0.35</x:v>
      </x:c>
      <x:c r="L7" s="17" t="str">
        <x:v>社区电商</x:v>
      </x:c>
      <x:c r="M7" s="17" t="str">
        <x:v>已结批</x:v>
      </x:c>
    </x:row>
    <x:row r="8">
      <x:c r="A8" s="17" t="str">
        <x:v>GD-CM-2601-003</x:v>
      </x:c>
      <x:c r="B8" s="17" t="str">
        <x:v>红颜</x:v>
      </x:c>
      <x:c r="C8" s="17" t="str">
        <x:v>广西南宁武鸣区城厢镇基地</x:v>
      </x:c>
      <x:c r="D8" s="27" t="n">
        <x:v>46045</x:v>
      </x:c>
      <x:c r="E8" s="27" t="n">
        <x:v>46046</x:v>
      </x:c>
      <x:c r="F8" s="17" t="str">
        <x:v>南宁农产品交易中心冷库</x:v>
      </x:c>
      <x:c r="G8" s="17" t="n">
        <x:v>4766</x:v>
      </x:c>
      <x:c r="H8" s="17" t="n">
        <x:v>19.78</x:v>
      </x:c>
      <x:c r="I8" s="17" t="n">
        <x:v>94271</x:v>
      </x:c>
      <x:c r="J8" s="17" t="str">
        <x:v>5 mT静磁场冷藏</x:v>
      </x:c>
      <x:c r="K8" s="17" t="n">
        <x:v>0.35</x:v>
      </x:c>
      <x:c r="L8" s="17" t="str">
        <x:v>批发客户</x:v>
      </x:c>
      <x:c r="M8" s="17" t="str">
        <x:v>已结批</x:v>
      </x:c>
    </x:row>
    <x:row r="9">
      <x:c r="A9" s="17" t="str">
        <x:v>GD-CM-2602-004</x:v>
      </x:c>
      <x:c r="B9" s="17" t="str">
        <x:v>红颜</x:v>
      </x:c>
      <x:c r="C9" s="17" t="str">
        <x:v>广东广州增城区小楼镇基地</x:v>
      </x:c>
      <x:c r="D9" s="27" t="n">
        <x:v>46054</x:v>
      </x:c>
      <x:c r="E9" s="27" t="n">
        <x:v>46055</x:v>
      </x:c>
      <x:c r="F9" s="17" t="str">
        <x:v>广州江南市场冷链仓</x:v>
      </x:c>
      <x:c r="G9" s="17" t="n">
        <x:v>4137</x:v>
      </x:c>
      <x:c r="H9" s="17" t="n">
        <x:v>19.61</x:v>
      </x:c>
      <x:c r="I9" s="17" t="n">
        <x:v>81127</x:v>
      </x:c>
      <x:c r="J9" s="17" t="str">
        <x:v>5 mT静磁场冷藏</x:v>
      </x:c>
      <x:c r="K9" s="17" t="n">
        <x:v>0.35</x:v>
      </x:c>
      <x:c r="L9" s="17" t="str">
        <x:v>企业团购</x:v>
      </x:c>
      <x:c r="M9" s="17" t="str">
        <x:v>已结批</x:v>
      </x:c>
    </x:row>
    <x:row r="10">
      <x:c r="A10" s="17" t="str">
        <x:v>GD-CM-2602-005</x:v>
      </x:c>
      <x:c r="B10" s="17" t="str">
        <x:v>红颜</x:v>
      </x:c>
      <x:c r="C10" s="17" t="str">
        <x:v>广东韶关翁源县龙仙镇基地</x:v>
      </x:c>
      <x:c r="D10" s="27" t="n">
        <x:v>46063</x:v>
      </x:c>
      <x:c r="E10" s="27" t="n">
        <x:v>46064</x:v>
      </x:c>
      <x:c r="F10" s="17" t="str">
        <x:v>深圳海吉星冷链仓</x:v>
      </x:c>
      <x:c r="G10" s="17" t="n">
        <x:v>4609</x:v>
      </x:c>
      <x:c r="H10" s="17" t="n">
        <x:v>16.64</x:v>
      </x:c>
      <x:c r="I10" s="17" t="n">
        <x:v>76694</x:v>
      </x:c>
      <x:c r="J10" s="17" t="str">
        <x:v>5 mT静磁场冷藏</x:v>
      </x:c>
      <x:c r="K10" s="17" t="n">
        <x:v>0.35</x:v>
      </x:c>
      <x:c r="L10" s="17" t="str">
        <x:v>供港渠道</x:v>
      </x:c>
      <x:c r="M10" s="17" t="str">
        <x:v>已结批</x:v>
      </x:c>
    </x:row>
    <x:row r="11">
      <x:c r="A11" s="17" t="str">
        <x:v>GD-CM-2602-006</x:v>
      </x:c>
      <x:c r="B11" s="17" t="str">
        <x:v>红颜</x:v>
      </x:c>
      <x:c r="C11" s="17" t="str">
        <x:v>广西南宁武鸣区城厢镇基地</x:v>
      </x:c>
      <x:c r="D11" s="27" t="n">
        <x:v>46072</x:v>
      </x:c>
      <x:c r="E11" s="27" t="n">
        <x:v>46073</x:v>
      </x:c>
      <x:c r="F11" s="17" t="str">
        <x:v>南宁农产品交易中心冷库</x:v>
      </x:c>
      <x:c r="G11" s="17" t="n">
        <x:v>4478</x:v>
      </x:c>
      <x:c r="H11" s="17" t="n">
        <x:v>17.5</x:v>
      </x:c>
      <x:c r="I11" s="17" t="n">
        <x:v>78365</x:v>
      </x:c>
      <x:c r="J11" s="17" t="str">
        <x:v>5 mT静磁场冷藏</x:v>
      </x:c>
      <x:c r="K11" s="17" t="n">
        <x:v>0.35</x:v>
      </x:c>
      <x:c r="L11" s="17" t="str">
        <x:v>餐饮配送</x:v>
      </x:c>
      <x:c r="M11" s="17" t="str">
        <x:v>已结批</x:v>
      </x:c>
    </x:row>
    <x:row r="13" ht="24" customHeight="1">
      <x:c r="A13" s="26" t="str">
        <x:v>库存流水</x:v>
      </x:c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</x:row>
    <x:row r="14" ht="30" customHeight="1">
      <x:c r="A14" s="13" t="str">
        <x:v>日期</x:v>
      </x:c>
      <x:c r="B14" s="13" t="str">
        <x:v>批次号</x:v>
      </x:c>
      <x:c r="C14" s="13" t="str">
        <x:v>仓库</x:v>
      </x:c>
      <x:c r="D14" s="13" t="str">
        <x:v>期初库存kg</x:v>
      </x:c>
      <x:c r="E14" s="13" t="str">
        <x:v>入库kg</x:v>
      </x:c>
      <x:c r="F14" s="13" t="str">
        <x:v>出库kg</x:v>
      </x:c>
      <x:c r="G14" s="13" t="str">
        <x:v>报损kg</x:v>
      </x:c>
      <x:c r="H14" s="13" t="str">
        <x:v>期末库存kg</x:v>
      </x:c>
      <x:c r="I14" s="13" t="str">
        <x:v>入库后天数</x:v>
      </x:c>
      <x:c r="J14" s="13" t="str">
        <x:v>库位类型</x:v>
      </x:c>
      <x:c r="K14" s="13" t="str">
        <x:v>出库去向</x:v>
      </x:c>
    </x:row>
    <x:row r="15">
      <x:c r="A15" s="27" t="n">
        <x:v>46028</x:v>
      </x:c>
      <x:c r="B15" s="17" t="str">
        <x:v>GD-CM-2601-001</x:v>
      </x:c>
      <x:c r="C15" s="17" t="str">
        <x:v>广州江南市场冷链仓</x:v>
      </x:c>
      <x:c r="D15" s="17" t="n">
        <x:v>0</x:v>
      </x:c>
      <x:c r="E15" s="17" t="n">
        <x:v>4631</x:v>
      </x:c>
      <x:c r="F15" s="17" t="n">
        <x:v>611.3</x:v>
      </x:c>
      <x:c r="G15" s="17" t="n">
        <x:v>27.8</x:v>
      </x:c>
      <x:c r="H15" s="17" t="n">
        <x:v>3991.9</x:v>
      </x:c>
      <x:c r="I15" s="17" t="n">
        <x:v>0</x:v>
      </x:c>
      <x:c r="J15" s="17" t="str">
        <x:v>暂存区</x:v>
      </x:c>
      <x:c r="K15" s="17" t="str">
        <x:v>供港发车</x:v>
      </x:c>
    </x:row>
    <x:row r="16">
      <x:c r="A16" s="27" t="n">
        <x:v>46029</x:v>
      </x:c>
      <x:c r="B16" s="17" t="str">
        <x:v>GD-CM-2601-001</x:v>
      </x:c>
      <x:c r="C16" s="17" t="str">
        <x:v>广州江南市场冷链仓</x:v>
      </x:c>
      <x:c r="D16" s="17" t="n">
        <x:v>3991.9</x:v>
      </x:c>
      <x:c r="E16" s="17" t="n">
        <x:v>0</x:v>
      </x:c>
      <x:c r="F16" s="17" t="n">
        <x:v>275.3</x:v>
      </x:c>
      <x:c r="G16" s="17" t="n">
        <x:v>30.4</x:v>
      </x:c>
      <x:c r="H16" s="17" t="n">
        <x:v>3686.2</x:v>
      </x:c>
      <x:c r="I16" s="17" t="n">
        <x:v>1</x:v>
      </x:c>
      <x:c r="J16" s="17" t="str">
        <x:v>冷藏区</x:v>
      </x:c>
      <x:c r="K16" s="17" t="str">
        <x:v>商超配送</x:v>
      </x:c>
    </x:row>
    <x:row r="17">
      <x:c r="A17" s="27" t="n">
        <x:v>46030</x:v>
      </x:c>
      <x:c r="B17" s="17" t="str">
        <x:v>GD-CM-2601-001</x:v>
      </x:c>
      <x:c r="C17" s="17" t="str">
        <x:v>广州江南市场冷链仓</x:v>
      </x:c>
      <x:c r="D17" s="17" t="n">
        <x:v>3686.2</x:v>
      </x:c>
      <x:c r="E17" s="17" t="n">
        <x:v>0</x:v>
      </x:c>
      <x:c r="F17" s="17" t="n">
        <x:v>201</x:v>
      </x:c>
      <x:c r="G17" s="17" t="n">
        <x:v>47</x:v>
      </x:c>
      <x:c r="H17" s="17" t="n">
        <x:v>3438.2</x:v>
      </x:c>
      <x:c r="I17" s="17" t="n">
        <x:v>2</x:v>
      </x:c>
      <x:c r="J17" s="17" t="str">
        <x:v>冷藏区</x:v>
      </x:c>
      <x:c r="K17" s="17" t="str">
        <x:v>供港发车</x:v>
      </x:c>
    </x:row>
    <x:row r="18">
      <x:c r="A18" s="27" t="n">
        <x:v>46031</x:v>
      </x:c>
      <x:c r="B18" s="17" t="str">
        <x:v>GD-CM-2601-001</x:v>
      </x:c>
      <x:c r="C18" s="17" t="str">
        <x:v>广州江南市场冷链仓</x:v>
      </x:c>
      <x:c r="D18" s="17" t="n">
        <x:v>3438.2</x:v>
      </x:c>
      <x:c r="E18" s="17" t="n">
        <x:v>0</x:v>
      </x:c>
      <x:c r="F18" s="17" t="n">
        <x:v>268.7</x:v>
      </x:c>
      <x:c r="G18" s="17" t="n">
        <x:v>40.5</x:v>
      </x:c>
      <x:c r="H18" s="17" t="n">
        <x:v>3129</x:v>
      </x:c>
      <x:c r="I18" s="17" t="n">
        <x:v>3</x:v>
      </x:c>
      <x:c r="J18" s="17" t="str">
        <x:v>冷藏区</x:v>
      </x:c>
      <x:c r="K18" s="17" t="str">
        <x:v>电商发货</x:v>
      </x:c>
    </x:row>
    <x:row r="19">
      <x:c r="A19" s="27" t="n">
        <x:v>46032</x:v>
      </x:c>
      <x:c r="B19" s="17" t="str">
        <x:v>GD-CM-2601-001</x:v>
      </x:c>
      <x:c r="C19" s="17" t="str">
        <x:v>广州江南市场冷链仓</x:v>
      </x:c>
      <x:c r="D19" s="17" t="n">
        <x:v>3129</x:v>
      </x:c>
      <x:c r="E19" s="17" t="n">
        <x:v>0</x:v>
      </x:c>
      <x:c r="F19" s="17" t="n">
        <x:v>287.9</x:v>
      </x:c>
      <x:c r="G19" s="17" t="n">
        <x:v>42.2</x:v>
      </x:c>
      <x:c r="H19" s="17" t="n">
        <x:v>2798.9</x:v>
      </x:c>
      <x:c r="I19" s="17" t="n">
        <x:v>4</x:v>
      </x:c>
      <x:c r="J19" s="17" t="str">
        <x:v>冷藏区</x:v>
      </x:c>
      <x:c r="K19" s="17" t="str">
        <x:v>餐饮直配</x:v>
      </x:c>
    </x:row>
    <x:row r="20">
      <x:c r="A20" s="27" t="n">
        <x:v>46033</x:v>
      </x:c>
      <x:c r="B20" s="17" t="str">
        <x:v>GD-CM-2601-001</x:v>
      </x:c>
      <x:c r="C20" s="17" t="str">
        <x:v>广州江南市场冷链仓</x:v>
      </x:c>
      <x:c r="D20" s="17" t="n">
        <x:v>2798.9</x:v>
      </x:c>
      <x:c r="E20" s="17" t="n">
        <x:v>0</x:v>
      </x:c>
      <x:c r="F20" s="17" t="n">
        <x:v>289.6</x:v>
      </x:c>
      <x:c r="G20" s="17" t="n">
        <x:v>26.4</x:v>
      </x:c>
      <x:c r="H20" s="17" t="n">
        <x:v>2482.9</x:v>
      </x:c>
      <x:c r="I20" s="17" t="n">
        <x:v>5</x:v>
      </x:c>
      <x:c r="J20" s="17" t="str">
        <x:v>冷藏区</x:v>
      </x:c>
      <x:c r="K20" s="17" t="str">
        <x:v>商超配送</x:v>
      </x:c>
    </x:row>
    <x:row r="21">
      <x:c r="A21" s="27" t="n">
        <x:v>46034</x:v>
      </x:c>
      <x:c r="B21" s="17" t="str">
        <x:v>GD-CM-2601-001</x:v>
      </x:c>
      <x:c r="C21" s="17" t="str">
        <x:v>广州江南市场冷链仓</x:v>
      </x:c>
      <x:c r="D21" s="17" t="n">
        <x:v>2482.9</x:v>
      </x:c>
      <x:c r="E21" s="17" t="n">
        <x:v>0</x:v>
      </x:c>
      <x:c r="F21" s="17" t="n">
        <x:v>260.9</x:v>
      </x:c>
      <x:c r="G21" s="17" t="n">
        <x:v>35</x:v>
      </x:c>
      <x:c r="H21" s="17" t="n">
        <x:v>2187</x:v>
      </x:c>
      <x:c r="I21" s="17" t="n">
        <x:v>6</x:v>
      </x:c>
      <x:c r="J21" s="17" t="str">
        <x:v>冷藏区</x:v>
      </x:c>
      <x:c r="K21" s="17" t="str">
        <x:v>电商发货</x:v>
      </x:c>
    </x:row>
    <x:row r="22">
      <x:c r="A22" s="27" t="n">
        <x:v>46035</x:v>
      </x:c>
      <x:c r="B22" s="17" t="str">
        <x:v>GD-CM-2601-001</x:v>
      </x:c>
      <x:c r="C22" s="17" t="str">
        <x:v>广州江南市场冷链仓</x:v>
      </x:c>
      <x:c r="D22" s="17" t="n">
        <x:v>2187</x:v>
      </x:c>
      <x:c r="E22" s="17" t="n">
        <x:v>0</x:v>
      </x:c>
      <x:c r="F22" s="17" t="n">
        <x:v>207.8</x:v>
      </x:c>
      <x:c r="G22" s="17" t="n">
        <x:v>45.5</x:v>
      </x:c>
      <x:c r="H22" s="17" t="n">
        <x:v>1933.7</x:v>
      </x:c>
      <x:c r="I22" s="17" t="n">
        <x:v>7</x:v>
      </x:c>
      <x:c r="J22" s="17" t="str">
        <x:v>冷藏区</x:v>
      </x:c>
      <x:c r="K22" s="17" t="str">
        <x:v>供港发车</x:v>
      </x:c>
    </x:row>
    <x:row r="23">
      <x:c r="A23" s="27" t="n">
        <x:v>46036</x:v>
      </x:c>
      <x:c r="B23" s="17" t="str">
        <x:v>GD-CM-2601-001</x:v>
      </x:c>
      <x:c r="C23" s="17" t="str">
        <x:v>广州江南市场冷链仓</x:v>
      </x:c>
      <x:c r="D23" s="17" t="n">
        <x:v>1933.7</x:v>
      </x:c>
      <x:c r="E23" s="17" t="n">
        <x:v>0</x:v>
      </x:c>
      <x:c r="F23" s="17" t="n">
        <x:v>256.6</x:v>
      </x:c>
      <x:c r="G23" s="17" t="n">
        <x:v>27.6</x:v>
      </x:c>
      <x:c r="H23" s="17" t="n">
        <x:v>1649.5</x:v>
      </x:c>
      <x:c r="I23" s="17" t="n">
        <x:v>8</x:v>
      </x:c>
      <x:c r="J23" s="17" t="str">
        <x:v>冷藏区</x:v>
      </x:c>
      <x:c r="K23" s="17" t="str">
        <x:v>餐饮直配</x:v>
      </x:c>
    </x:row>
    <x:row r="24">
      <x:c r="A24" s="27" t="n">
        <x:v>46037</x:v>
      </x:c>
      <x:c r="B24" s="17" t="str">
        <x:v>GD-CM-2601-001</x:v>
      </x:c>
      <x:c r="C24" s="17" t="str">
        <x:v>广州江南市场冷链仓</x:v>
      </x:c>
      <x:c r="D24" s="17" t="n">
        <x:v>1649.5</x:v>
      </x:c>
      <x:c r="E24" s="17" t="n">
        <x:v>0</x:v>
      </x:c>
      <x:c r="F24" s="17" t="n">
        <x:v>276.3</x:v>
      </x:c>
      <x:c r="G24" s="17" t="n">
        <x:v>27.9</x:v>
      </x:c>
      <x:c r="H24" s="17" t="n">
        <x:v>1345.3</x:v>
      </x:c>
      <x:c r="I24" s="17" t="n">
        <x:v>9</x:v>
      </x:c>
      <x:c r="J24" s="17" t="str">
        <x:v>冷藏区</x:v>
      </x:c>
      <x:c r="K24" s="17" t="str">
        <x:v>批发市场发车</x:v>
      </x:c>
    </x:row>
    <x:row r="25">
      <x:c r="A25" s="27" t="n">
        <x:v>46038</x:v>
      </x:c>
      <x:c r="B25" s="17" t="str">
        <x:v>GD-CM-2601-001</x:v>
      </x:c>
      <x:c r="C25" s="17" t="str">
        <x:v>广州江南市场冷链仓</x:v>
      </x:c>
      <x:c r="D25" s="17" t="n">
        <x:v>1345.3</x:v>
      </x:c>
      <x:c r="E25" s="17" t="n">
        <x:v>0</x:v>
      </x:c>
      <x:c r="F25" s="17" t="n">
        <x:v>214.4</x:v>
      </x:c>
      <x:c r="G25" s="17" t="n">
        <x:v>26.7</x:v>
      </x:c>
      <x:c r="H25" s="17" t="n">
        <x:v>1104.2</x:v>
      </x:c>
      <x:c r="I25" s="17" t="n">
        <x:v>10</x:v>
      </x:c>
      <x:c r="J25" s="17" t="str">
        <x:v>冷藏区</x:v>
      </x:c>
      <x:c r="K25" s="17" t="str">
        <x:v>商超配送</x:v>
      </x:c>
    </x:row>
    <x:row r="26">
      <x:c r="A26" s="27" t="n">
        <x:v>46039</x:v>
      </x:c>
      <x:c r="B26" s="17" t="str">
        <x:v>GD-CM-2601-001</x:v>
      </x:c>
      <x:c r="C26" s="17" t="str">
        <x:v>广州江南市场冷链仓</x:v>
      </x:c>
      <x:c r="D26" s="17" t="n">
        <x:v>1104.2</x:v>
      </x:c>
      <x:c r="E26" s="17" t="n">
        <x:v>0</x:v>
      </x:c>
      <x:c r="F26" s="17" t="n">
        <x:v>258.1</x:v>
      </x:c>
      <x:c r="G26" s="17" t="n">
        <x:v>26.1</x:v>
      </x:c>
      <x:c r="H26" s="17" t="n">
        <x:v>820</x:v>
      </x:c>
      <x:c r="I26" s="17" t="n">
        <x:v>11</x:v>
      </x:c>
      <x:c r="J26" s="17" t="str">
        <x:v>冷藏区</x:v>
      </x:c>
      <x:c r="K26" s="17" t="str">
        <x:v>餐饮直配</x:v>
      </x:c>
    </x:row>
    <x:row r="27">
      <x:c r="A27" s="27" t="n">
        <x:v>46040</x:v>
      </x:c>
      <x:c r="B27" s="17" t="str">
        <x:v>GD-CM-2601-001</x:v>
      </x:c>
      <x:c r="C27" s="17" t="str">
        <x:v>广州江南市场冷链仓</x:v>
      </x:c>
      <x:c r="D27" s="17" t="n">
        <x:v>820</x:v>
      </x:c>
      <x:c r="E27" s="17" t="n">
        <x:v>0</x:v>
      </x:c>
      <x:c r="F27" s="17" t="n">
        <x:v>280.1</x:v>
      </x:c>
      <x:c r="G27" s="17" t="n">
        <x:v>33.4</x:v>
      </x:c>
      <x:c r="H27" s="17" t="n">
        <x:v>506.5</x:v>
      </x:c>
      <x:c r="I27" s="17" t="n">
        <x:v>12</x:v>
      </x:c>
      <x:c r="J27" s="17" t="str">
        <x:v>冷藏区</x:v>
      </x:c>
      <x:c r="K27" s="17" t="str">
        <x:v>电商发货</x:v>
      </x:c>
    </x:row>
    <x:row r="28">
      <x:c r="A28" s="27" t="n">
        <x:v>46041</x:v>
      </x:c>
      <x:c r="B28" s="17" t="str">
        <x:v>GD-CM-2601-001</x:v>
      </x:c>
      <x:c r="C28" s="17" t="str">
        <x:v>广州江南市场冷链仓</x:v>
      </x:c>
      <x:c r="D28" s="17" t="n">
        <x:v>506.5</x:v>
      </x:c>
      <x:c r="E28" s="17" t="n">
        <x:v>0</x:v>
      </x:c>
      <x:c r="F28" s="17" t="n">
        <x:v>251.3</x:v>
      </x:c>
      <x:c r="G28" s="17" t="n">
        <x:v>47.9</x:v>
      </x:c>
      <x:c r="H28" s="17" t="n">
        <x:v>207.3</x:v>
      </x:c>
      <x:c r="I28" s="17" t="n">
        <x:v>13</x:v>
      </x:c>
      <x:c r="J28" s="17" t="str">
        <x:v>冷藏区</x:v>
      </x:c>
      <x:c r="K28" s="17" t="str">
        <x:v>电商发货</x:v>
      </x:c>
    </x:row>
    <x:row r="29">
      <x:c r="A29" s="27" t="n">
        <x:v>46042</x:v>
      </x:c>
      <x:c r="B29" s="17" t="str">
        <x:v>GD-CM-2601-001</x:v>
      </x:c>
      <x:c r="C29" s="17" t="str">
        <x:v>广州江南市场冷链仓</x:v>
      </x:c>
      <x:c r="D29" s="17" t="n">
        <x:v>207.3</x:v>
      </x:c>
      <x:c r="E29" s="17" t="n">
        <x:v>0</x:v>
      </x:c>
      <x:c r="F29" s="17" t="n">
        <x:v>180.1</x:v>
      </x:c>
      <x:c r="G29" s="17" t="n">
        <x:v>27.2</x:v>
      </x:c>
      <x:c r="H29" s="17" t="n">
        <x:v>0</x:v>
      </x:c>
      <x:c r="I29" s="17" t="n">
        <x:v>14</x:v>
      </x:c>
      <x:c r="J29" s="17" t="str">
        <x:v>冷藏区</x:v>
      </x:c>
      <x:c r="K29" s="17" t="str">
        <x:v>供港发车</x:v>
      </x:c>
    </x:row>
    <x:row r="30">
      <x:c r="A30" s="27" t="n">
        <x:v>46043</x:v>
      </x:c>
      <x:c r="B30" s="17" t="str">
        <x:v>GD-CM-2601-001</x:v>
      </x:c>
      <x:c r="C30" s="17" t="str">
        <x:v>广州江南市场冷链仓</x:v>
      </x:c>
      <x:c r="D30" s="17" t="n">
        <x:v>0</x:v>
      </x:c>
      <x:c r="E30" s="17" t="n">
        <x:v>0</x:v>
      </x:c>
      <x:c r="F30" s="17" t="n">
        <x:v>0</x:v>
      </x:c>
      <x:c r="G30" s="17" t="n">
        <x:v>0</x:v>
      </x:c>
      <x:c r="H30" s="17" t="n">
        <x:v>0</x:v>
      </x:c>
      <x:c r="I30" s="17" t="n">
        <x:v>15</x:v>
      </x:c>
      <x:c r="J30" s="17" t="str">
        <x:v>冷藏区</x:v>
      </x:c>
      <x:c r="K30" s="17" t="str">
        <x:v>电商发货</x:v>
      </x:c>
    </x:row>
    <x:row r="31">
      <x:c r="A31" s="27" t="n">
        <x:v>46037</x:v>
      </x:c>
      <x:c r="B31" s="17" t="str">
        <x:v>GD-CM-2601-002</x:v>
      </x:c>
      <x:c r="C31" s="17" t="str">
        <x:v>深圳海吉星冷链仓</x:v>
      </x:c>
      <x:c r="D31" s="17" t="n">
        <x:v>0</x:v>
      </x:c>
      <x:c r="E31" s="17" t="n">
        <x:v>4557</x:v>
      </x:c>
      <x:c r="F31" s="17" t="n">
        <x:v>601.5</x:v>
      </x:c>
      <x:c r="G31" s="17" t="n">
        <x:v>27.3</x:v>
      </x:c>
      <x:c r="H31" s="17" t="n">
        <x:v>3928.2</x:v>
      </x:c>
      <x:c r="I31" s="17" t="n">
        <x:v>0</x:v>
      </x:c>
      <x:c r="J31" s="17" t="str">
        <x:v>暂存区</x:v>
      </x:c>
      <x:c r="K31" s="17" t="str">
        <x:v>商超配送</x:v>
      </x:c>
    </x:row>
    <x:row r="32">
      <x:c r="A32" s="27" t="n">
        <x:v>46038</x:v>
      </x:c>
      <x:c r="B32" s="17" t="str">
        <x:v>GD-CM-2601-002</x:v>
      </x:c>
      <x:c r="C32" s="17" t="str">
        <x:v>深圳海吉星冷链仓</x:v>
      </x:c>
      <x:c r="D32" s="17" t="n">
        <x:v>3928.2</x:v>
      </x:c>
      <x:c r="E32" s="17" t="n">
        <x:v>0</x:v>
      </x:c>
      <x:c r="F32" s="17" t="n">
        <x:v>261.8</x:v>
      </x:c>
      <x:c r="G32" s="17" t="n">
        <x:v>37.1</x:v>
      </x:c>
      <x:c r="H32" s="17" t="n">
        <x:v>3629.3</x:v>
      </x:c>
      <x:c r="I32" s="17" t="n">
        <x:v>1</x:v>
      </x:c>
      <x:c r="J32" s="17" t="str">
        <x:v>冷藏区</x:v>
      </x:c>
      <x:c r="K32" s="17" t="str">
        <x:v>电商发货</x:v>
      </x:c>
    </x:row>
    <x:row r="33">
      <x:c r="A33" s="27" t="n">
        <x:v>46039</x:v>
      </x:c>
      <x:c r="B33" s="17" t="str">
        <x:v>GD-CM-2601-002</x:v>
      </x:c>
      <x:c r="C33" s="17" t="str">
        <x:v>深圳海吉星冷链仓</x:v>
      </x:c>
      <x:c r="D33" s="17" t="n">
        <x:v>3629.3</x:v>
      </x:c>
      <x:c r="E33" s="17" t="n">
        <x:v>0</x:v>
      </x:c>
      <x:c r="F33" s="17" t="n">
        <x:v>198.8</x:v>
      </x:c>
      <x:c r="G33" s="17" t="n">
        <x:v>27.5</x:v>
      </x:c>
      <x:c r="H33" s="17" t="n">
        <x:v>3403</x:v>
      </x:c>
      <x:c r="I33" s="17" t="n">
        <x:v>2</x:v>
      </x:c>
      <x:c r="J33" s="17" t="str">
        <x:v>冷藏区</x:v>
      </x:c>
      <x:c r="K33" s="17" t="str">
        <x:v>餐饮直配</x:v>
      </x:c>
    </x:row>
    <x:row r="34">
      <x:c r="A34" s="27" t="n">
        <x:v>46040</x:v>
      </x:c>
      <x:c r="B34" s="17" t="str">
        <x:v>GD-CM-2601-002</x:v>
      </x:c>
      <x:c r="C34" s="17" t="str">
        <x:v>深圳海吉星冷链仓</x:v>
      </x:c>
      <x:c r="D34" s="17" t="n">
        <x:v>3403</x:v>
      </x:c>
      <x:c r="E34" s="17" t="n">
        <x:v>0</x:v>
      </x:c>
      <x:c r="F34" s="17" t="n">
        <x:v>252.3</x:v>
      </x:c>
      <x:c r="G34" s="17" t="n">
        <x:v>35.8</x:v>
      </x:c>
      <x:c r="H34" s="17" t="n">
        <x:v>3114.9</x:v>
      </x:c>
      <x:c r="I34" s="17" t="n">
        <x:v>3</x:v>
      </x:c>
      <x:c r="J34" s="17" t="str">
        <x:v>冷藏区</x:v>
      </x:c>
      <x:c r="K34" s="17" t="str">
        <x:v>供港发车</x:v>
      </x:c>
    </x:row>
    <x:row r="35">
      <x:c r="A35" s="27" t="n">
        <x:v>46041</x:v>
      </x:c>
      <x:c r="B35" s="17" t="str">
        <x:v>GD-CM-2601-002</x:v>
      </x:c>
      <x:c r="C35" s="17" t="str">
        <x:v>深圳海吉星冷链仓</x:v>
      </x:c>
      <x:c r="D35" s="17" t="n">
        <x:v>3114.9</x:v>
      </x:c>
      <x:c r="E35" s="17" t="n">
        <x:v>0</x:v>
      </x:c>
      <x:c r="F35" s="17" t="n">
        <x:v>200.1</x:v>
      </x:c>
      <x:c r="G35" s="17" t="n">
        <x:v>28.3</x:v>
      </x:c>
      <x:c r="H35" s="17" t="n">
        <x:v>2886.5</x:v>
      </x:c>
      <x:c r="I35" s="17" t="n">
        <x:v>4</x:v>
      </x:c>
      <x:c r="J35" s="17" t="str">
        <x:v>冷藏区</x:v>
      </x:c>
      <x:c r="K35" s="17" t="str">
        <x:v>商超配送</x:v>
      </x:c>
    </x:row>
    <x:row r="36">
      <x:c r="A36" s="27" t="n">
        <x:v>46042</x:v>
      </x:c>
      <x:c r="B36" s="17" t="str">
        <x:v>GD-CM-2601-002</x:v>
      </x:c>
      <x:c r="C36" s="17" t="str">
        <x:v>深圳海吉星冷链仓</x:v>
      </x:c>
      <x:c r="D36" s="17" t="n">
        <x:v>2886.5</x:v>
      </x:c>
      <x:c r="E36" s="17" t="n">
        <x:v>0</x:v>
      </x:c>
      <x:c r="F36" s="17" t="n">
        <x:v>264.9</x:v>
      </x:c>
      <x:c r="G36" s="17" t="n">
        <x:v>45.2</x:v>
      </x:c>
      <x:c r="H36" s="17" t="n">
        <x:v>2576.4</x:v>
      </x:c>
      <x:c r="I36" s="17" t="n">
        <x:v>5</x:v>
      </x:c>
      <x:c r="J36" s="17" t="str">
        <x:v>冷藏区</x:v>
      </x:c>
      <x:c r="K36" s="17" t="str">
        <x:v>批发市场发车</x:v>
      </x:c>
    </x:row>
    <x:row r="37">
      <x:c r="A37" s="27" t="n">
        <x:v>46043</x:v>
      </x:c>
      <x:c r="B37" s="17" t="str">
        <x:v>GD-CM-2601-002</x:v>
      </x:c>
      <x:c r="C37" s="17" t="str">
        <x:v>深圳海吉星冷链仓</x:v>
      </x:c>
      <x:c r="D37" s="17" t="n">
        <x:v>2576.4</x:v>
      </x:c>
      <x:c r="E37" s="17" t="n">
        <x:v>0</x:v>
      </x:c>
      <x:c r="F37" s="17" t="n">
        <x:v>220</x:v>
      </x:c>
      <x:c r="G37" s="17" t="n">
        <x:v>47.3</x:v>
      </x:c>
      <x:c r="H37" s="17" t="n">
        <x:v>2309.1</x:v>
      </x:c>
      <x:c r="I37" s="17" t="n">
        <x:v>6</x:v>
      </x:c>
      <x:c r="J37" s="17" t="str">
        <x:v>冷藏区</x:v>
      </x:c>
      <x:c r="K37" s="17" t="str">
        <x:v>商超配送</x:v>
      </x:c>
    </x:row>
    <x:row r="38">
      <x:c r="A38" s="27" t="n">
        <x:v>46044</x:v>
      </x:c>
      <x:c r="B38" s="17" t="str">
        <x:v>GD-CM-2601-002</x:v>
      </x:c>
      <x:c r="C38" s="17" t="str">
        <x:v>深圳海吉星冷链仓</x:v>
      </x:c>
      <x:c r="D38" s="17" t="n">
        <x:v>2309.1</x:v>
      </x:c>
      <x:c r="E38" s="17" t="n">
        <x:v>0</x:v>
      </x:c>
      <x:c r="F38" s="17" t="n">
        <x:v>216.6</x:v>
      </x:c>
      <x:c r="G38" s="17" t="n">
        <x:v>28.1</x:v>
      </x:c>
      <x:c r="H38" s="17" t="n">
        <x:v>2064.4</x:v>
      </x:c>
      <x:c r="I38" s="17" t="n">
        <x:v>7</x:v>
      </x:c>
      <x:c r="J38" s="17" t="str">
        <x:v>冷藏区</x:v>
      </x:c>
      <x:c r="K38" s="17" t="str">
        <x:v>电商发货</x:v>
      </x:c>
    </x:row>
    <x:row r="39">
      <x:c r="A39" s="27" t="n">
        <x:v>46045</x:v>
      </x:c>
      <x:c r="B39" s="17" t="str">
        <x:v>GD-CM-2601-002</x:v>
      </x:c>
      <x:c r="C39" s="17" t="str">
        <x:v>深圳海吉星冷链仓</x:v>
      </x:c>
      <x:c r="D39" s="17" t="n">
        <x:v>2064.4</x:v>
      </x:c>
      <x:c r="E39" s="17" t="n">
        <x:v>0</x:v>
      </x:c>
      <x:c r="F39" s="17" t="n">
        <x:v>275.8</x:v>
      </x:c>
      <x:c r="G39" s="17" t="n">
        <x:v>36.9</x:v>
      </x:c>
      <x:c r="H39" s="17" t="n">
        <x:v>1751.7</x:v>
      </x:c>
      <x:c r="I39" s="17" t="n">
        <x:v>8</x:v>
      </x:c>
      <x:c r="J39" s="17" t="str">
        <x:v>冷藏区</x:v>
      </x:c>
      <x:c r="K39" s="17" t="str">
        <x:v>批发市场发车</x:v>
      </x:c>
    </x:row>
    <x:row r="40">
      <x:c r="A40" s="27" t="n">
        <x:v>46046</x:v>
      </x:c>
      <x:c r="B40" s="17" t="str">
        <x:v>GD-CM-2601-002</x:v>
      </x:c>
      <x:c r="C40" s="17" t="str">
        <x:v>深圳海吉星冷链仓</x:v>
      </x:c>
      <x:c r="D40" s="17" t="n">
        <x:v>1751.7</x:v>
      </x:c>
      <x:c r="E40" s="17" t="n">
        <x:v>0</x:v>
      </x:c>
      <x:c r="F40" s="17" t="n">
        <x:v>205.3</x:v>
      </x:c>
      <x:c r="G40" s="17" t="n">
        <x:v>38.9</x:v>
      </x:c>
      <x:c r="H40" s="17" t="n">
        <x:v>1507.5</x:v>
      </x:c>
      <x:c r="I40" s="17" t="n">
        <x:v>9</x:v>
      </x:c>
      <x:c r="J40" s="17" t="str">
        <x:v>冷藏区</x:v>
      </x:c>
      <x:c r="K40" s="17" t="str">
        <x:v>餐饮直配</x:v>
      </x:c>
    </x:row>
    <x:row r="41">
      <x:c r="A41" s="27" t="n">
        <x:v>46047</x:v>
      </x:c>
      <x:c r="B41" s="17" t="str">
        <x:v>GD-CM-2601-002</x:v>
      </x:c>
      <x:c r="C41" s="17" t="str">
        <x:v>深圳海吉星冷链仓</x:v>
      </x:c>
      <x:c r="D41" s="17" t="n">
        <x:v>1507.5</x:v>
      </x:c>
      <x:c r="E41" s="17" t="n">
        <x:v>0</x:v>
      </x:c>
      <x:c r="F41" s="17" t="n">
        <x:v>225.3</x:v>
      </x:c>
      <x:c r="G41" s="17" t="n">
        <x:v>26.1</x:v>
      </x:c>
      <x:c r="H41" s="17" t="n">
        <x:v>1256.1</x:v>
      </x:c>
      <x:c r="I41" s="17" t="n">
        <x:v>10</x:v>
      </x:c>
      <x:c r="J41" s="17" t="str">
        <x:v>冷藏区</x:v>
      </x:c>
      <x:c r="K41" s="17" t="str">
        <x:v>供港发车</x:v>
      </x:c>
    </x:row>
    <x:row r="42">
      <x:c r="A42" s="27" t="n">
        <x:v>46048</x:v>
      </x:c>
      <x:c r="B42" s="17" t="str">
        <x:v>GD-CM-2601-002</x:v>
      </x:c>
      <x:c r="C42" s="17" t="str">
        <x:v>深圳海吉星冷链仓</x:v>
      </x:c>
      <x:c r="D42" s="17" t="n">
        <x:v>1256.1</x:v>
      </x:c>
      <x:c r="E42" s="17" t="n">
        <x:v>0</x:v>
      </x:c>
      <x:c r="F42" s="17" t="n">
        <x:v>219.3</x:v>
      </x:c>
      <x:c r="G42" s="17" t="n">
        <x:v>45.2</x:v>
      </x:c>
      <x:c r="H42" s="17" t="n">
        <x:v>991.6</x:v>
      </x:c>
      <x:c r="I42" s="17" t="n">
        <x:v>11</x:v>
      </x:c>
      <x:c r="J42" s="17" t="str">
        <x:v>冷藏区</x:v>
      </x:c>
      <x:c r="K42" s="17" t="str">
        <x:v>批发市场发车</x:v>
      </x:c>
    </x:row>
    <x:row r="43">
      <x:c r="A43" s="27" t="n">
        <x:v>46049</x:v>
      </x:c>
      <x:c r="B43" s="17" t="str">
        <x:v>GD-CM-2601-002</x:v>
      </x:c>
      <x:c r="C43" s="17" t="str">
        <x:v>深圳海吉星冷链仓</x:v>
      </x:c>
      <x:c r="D43" s="17" t="n">
        <x:v>991.6</x:v>
      </x:c>
      <x:c r="E43" s="17" t="n">
        <x:v>0</x:v>
      </x:c>
      <x:c r="F43" s="17" t="n">
        <x:v>242.5</x:v>
      </x:c>
      <x:c r="G43" s="17" t="n">
        <x:v>32.1</x:v>
      </x:c>
      <x:c r="H43" s="17" t="n">
        <x:v>717</x:v>
      </x:c>
      <x:c r="I43" s="17" t="n">
        <x:v>12</x:v>
      </x:c>
      <x:c r="J43" s="17" t="str">
        <x:v>冷藏区</x:v>
      </x:c>
      <x:c r="K43" s="17" t="str">
        <x:v>餐饮直配</x:v>
      </x:c>
    </x:row>
    <x:row r="44">
      <x:c r="A44" s="27" t="n">
        <x:v>46050</x:v>
      </x:c>
      <x:c r="B44" s="17" t="str">
        <x:v>GD-CM-2601-002</x:v>
      </x:c>
      <x:c r="C44" s="17" t="str">
        <x:v>深圳海吉星冷链仓</x:v>
      </x:c>
      <x:c r="D44" s="17" t="n">
        <x:v>717</x:v>
      </x:c>
      <x:c r="E44" s="17" t="n">
        <x:v>0</x:v>
      </x:c>
      <x:c r="F44" s="17" t="n">
        <x:v>227.2</x:v>
      </x:c>
      <x:c r="G44" s="17" t="n">
        <x:v>30.3</x:v>
      </x:c>
      <x:c r="H44" s="17" t="n">
        <x:v>459.5</x:v>
      </x:c>
      <x:c r="I44" s="17" t="n">
        <x:v>13</x:v>
      </x:c>
      <x:c r="J44" s="17" t="str">
        <x:v>冷藏区</x:v>
      </x:c>
      <x:c r="K44" s="17" t="str">
        <x:v>商超配送</x:v>
      </x:c>
    </x:row>
    <x:row r="45">
      <x:c r="A45" s="27" t="n">
        <x:v>46051</x:v>
      </x:c>
      <x:c r="B45" s="17" t="str">
        <x:v>GD-CM-2601-002</x:v>
      </x:c>
      <x:c r="C45" s="17" t="str">
        <x:v>深圳海吉星冷链仓</x:v>
      </x:c>
      <x:c r="D45" s="17" t="n">
        <x:v>459.5</x:v>
      </x:c>
      <x:c r="E45" s="17" t="n">
        <x:v>0</x:v>
      </x:c>
      <x:c r="F45" s="17" t="n">
        <x:v>283.3</x:v>
      </x:c>
      <x:c r="G45" s="17" t="n">
        <x:v>28.3</x:v>
      </x:c>
      <x:c r="H45" s="17" t="n">
        <x:v>147.9</x:v>
      </x:c>
      <x:c r="I45" s="17" t="n">
        <x:v>14</x:v>
      </x:c>
      <x:c r="J45" s="17" t="str">
        <x:v>冷藏区</x:v>
      </x:c>
      <x:c r="K45" s="17" t="str">
        <x:v>电商发货</x:v>
      </x:c>
    </x:row>
    <x:row r="46">
      <x:c r="A46" s="27" t="n">
        <x:v>46052</x:v>
      </x:c>
      <x:c r="B46" s="17" t="str">
        <x:v>GD-CM-2601-002</x:v>
      </x:c>
      <x:c r="C46" s="17" t="str">
        <x:v>深圳海吉星冷链仓</x:v>
      </x:c>
      <x:c r="D46" s="17" t="n">
        <x:v>147.9</x:v>
      </x:c>
      <x:c r="E46" s="17" t="n">
        <x:v>0</x:v>
      </x:c>
      <x:c r="F46" s="17" t="n">
        <x:v>84.1</x:v>
      </x:c>
      <x:c r="G46" s="17" t="n">
        <x:v>63.8</x:v>
      </x:c>
      <x:c r="H46" s="17" t="n">
        <x:v>0</x:v>
      </x:c>
      <x:c r="I46" s="17" t="n">
        <x:v>15</x:v>
      </x:c>
      <x:c r="J46" s="17" t="str">
        <x:v>冷藏区</x:v>
      </x:c>
      <x:c r="K46" s="17" t="str">
        <x:v>商超配送</x:v>
      </x:c>
    </x:row>
    <x:row r="47">
      <x:c r="A47" s="27" t="n">
        <x:v>46046</x:v>
      </x:c>
      <x:c r="B47" s="17" t="str">
        <x:v>GD-CM-2601-003</x:v>
      </x:c>
      <x:c r="C47" s="17" t="str">
        <x:v>南宁农产品交易中心冷库</x:v>
      </x:c>
      <x:c r="D47" s="17" t="n">
        <x:v>0</x:v>
      </x:c>
      <x:c r="E47" s="17" t="n">
        <x:v>4766</x:v>
      </x:c>
      <x:c r="F47" s="17" t="n">
        <x:v>629.1</x:v>
      </x:c>
      <x:c r="G47" s="17" t="n">
        <x:v>28.6</x:v>
      </x:c>
      <x:c r="H47" s="17" t="n">
        <x:v>4108.3</x:v>
      </x:c>
      <x:c r="I47" s="17" t="n">
        <x:v>0</x:v>
      </x:c>
      <x:c r="J47" s="17" t="str">
        <x:v>暂存区</x:v>
      </x:c>
      <x:c r="K47" s="17" t="str">
        <x:v>电商发货</x:v>
      </x:c>
    </x:row>
    <x:row r="48">
      <x:c r="A48" s="27" t="n">
        <x:v>46047</x:v>
      </x:c>
      <x:c r="B48" s="17" t="str">
        <x:v>GD-CM-2601-003</x:v>
      </x:c>
      <x:c r="C48" s="17" t="str">
        <x:v>南宁农产品交易中心冷库</x:v>
      </x:c>
      <x:c r="D48" s="17" t="n">
        <x:v>4108.3</x:v>
      </x:c>
      <x:c r="E48" s="17" t="n">
        <x:v>0</x:v>
      </x:c>
      <x:c r="F48" s="17" t="n">
        <x:v>283.6</x:v>
      </x:c>
      <x:c r="G48" s="17" t="n">
        <x:v>32.5</x:v>
      </x:c>
      <x:c r="H48" s="17" t="n">
        <x:v>3792.2</x:v>
      </x:c>
      <x:c r="I48" s="17" t="n">
        <x:v>1</x:v>
      </x:c>
      <x:c r="J48" s="17" t="str">
        <x:v>冷藏区</x:v>
      </x:c>
      <x:c r="K48" s="17" t="str">
        <x:v>批发市场发车</x:v>
      </x:c>
    </x:row>
    <x:row r="49">
      <x:c r="A49" s="27" t="n">
        <x:v>46048</x:v>
      </x:c>
      <x:c r="B49" s="17" t="str">
        <x:v>GD-CM-2601-003</x:v>
      </x:c>
      <x:c r="C49" s="17" t="str">
        <x:v>南宁农产品交易中心冷库</x:v>
      </x:c>
      <x:c r="D49" s="17" t="n">
        <x:v>3792.2</x:v>
      </x:c>
      <x:c r="E49" s="17" t="n">
        <x:v>0</x:v>
      </x:c>
      <x:c r="F49" s="17" t="n">
        <x:v>210.1</x:v>
      </x:c>
      <x:c r="G49" s="17" t="n">
        <x:v>29.3</x:v>
      </x:c>
      <x:c r="H49" s="17" t="n">
        <x:v>3552.8</x:v>
      </x:c>
      <x:c r="I49" s="17" t="n">
        <x:v>2</x:v>
      </x:c>
      <x:c r="J49" s="17" t="str">
        <x:v>冷藏区</x:v>
      </x:c>
      <x:c r="K49" s="17" t="str">
        <x:v>商超配送</x:v>
      </x:c>
    </x:row>
    <x:row r="50">
      <x:c r="A50" s="27" t="n">
        <x:v>46049</x:v>
      </x:c>
      <x:c r="B50" s="17" t="str">
        <x:v>GD-CM-2601-003</x:v>
      </x:c>
      <x:c r="C50" s="17" t="str">
        <x:v>南宁农产品交易中心冷库</x:v>
      </x:c>
      <x:c r="D50" s="17" t="n">
        <x:v>3552.8</x:v>
      </x:c>
      <x:c r="E50" s="17" t="n">
        <x:v>0</x:v>
      </x:c>
      <x:c r="F50" s="17" t="n">
        <x:v>298.3</x:v>
      </x:c>
      <x:c r="G50" s="17" t="n">
        <x:v>28.6</x:v>
      </x:c>
      <x:c r="H50" s="17" t="n">
        <x:v>3225.9</x:v>
      </x:c>
      <x:c r="I50" s="17" t="n">
        <x:v>3</x:v>
      </x:c>
      <x:c r="J50" s="17" t="str">
        <x:v>冷藏区</x:v>
      </x:c>
      <x:c r="K50" s="17" t="str">
        <x:v>电商发货</x:v>
      </x:c>
    </x:row>
    <x:row r="51">
      <x:c r="A51" s="27" t="n">
        <x:v>46050</x:v>
      </x:c>
      <x:c r="B51" s="17" t="str">
        <x:v>GD-CM-2601-003</x:v>
      </x:c>
      <x:c r="C51" s="17" t="str">
        <x:v>南宁农产品交易中心冷库</x:v>
      </x:c>
      <x:c r="D51" s="17" t="n">
        <x:v>3225.9</x:v>
      </x:c>
      <x:c r="E51" s="17" t="n">
        <x:v>0</x:v>
      </x:c>
      <x:c r="F51" s="17" t="n">
        <x:v>271.5</x:v>
      </x:c>
      <x:c r="G51" s="17" t="n">
        <x:v>28.2</x:v>
      </x:c>
      <x:c r="H51" s="17" t="n">
        <x:v>2926.2</x:v>
      </x:c>
      <x:c r="I51" s="17" t="n">
        <x:v>4</x:v>
      </x:c>
      <x:c r="J51" s="17" t="str">
        <x:v>冷藏区</x:v>
      </x:c>
      <x:c r="K51" s="17" t="str">
        <x:v>餐饮直配</x:v>
      </x:c>
    </x:row>
    <x:row r="52">
      <x:c r="A52" s="27" t="n">
        <x:v>46051</x:v>
      </x:c>
      <x:c r="B52" s="17" t="str">
        <x:v>GD-CM-2601-003</x:v>
      </x:c>
      <x:c r="C52" s="17" t="str">
        <x:v>南宁农产品交易中心冷库</x:v>
      </x:c>
      <x:c r="D52" s="17" t="n">
        <x:v>2926.2</x:v>
      </x:c>
      <x:c r="E52" s="17" t="n">
        <x:v>0</x:v>
      </x:c>
      <x:c r="F52" s="17" t="n">
        <x:v>251.3</x:v>
      </x:c>
      <x:c r="G52" s="17" t="n">
        <x:v>38.8</x:v>
      </x:c>
      <x:c r="H52" s="17" t="n">
        <x:v>2636.1</x:v>
      </x:c>
      <x:c r="I52" s="17" t="n">
        <x:v>5</x:v>
      </x:c>
      <x:c r="J52" s="17" t="str">
        <x:v>冷藏区</x:v>
      </x:c>
      <x:c r="K52" s="17" t="str">
        <x:v>餐饮直配</x:v>
      </x:c>
    </x:row>
    <x:row r="53">
      <x:c r="A53" s="27" t="n">
        <x:v>46052</x:v>
      </x:c>
      <x:c r="B53" s="17" t="str">
        <x:v>GD-CM-2601-003</x:v>
      </x:c>
      <x:c r="C53" s="17" t="str">
        <x:v>南宁农产品交易中心冷库</x:v>
      </x:c>
      <x:c r="D53" s="17" t="n">
        <x:v>2636.1</x:v>
      </x:c>
      <x:c r="E53" s="17" t="n">
        <x:v>0</x:v>
      </x:c>
      <x:c r="F53" s="17" t="n">
        <x:v>292.8</x:v>
      </x:c>
      <x:c r="G53" s="17" t="n">
        <x:v>37.2</x:v>
      </x:c>
      <x:c r="H53" s="17" t="n">
        <x:v>2306.1</x:v>
      </x:c>
      <x:c r="I53" s="17" t="n">
        <x:v>6</x:v>
      </x:c>
      <x:c r="J53" s="17" t="str">
        <x:v>冷藏区</x:v>
      </x:c>
      <x:c r="K53" s="17" t="str">
        <x:v>电商发货</x:v>
      </x:c>
    </x:row>
    <x:row r="54">
      <x:c r="A54" s="27" t="n">
        <x:v>46053</x:v>
      </x:c>
      <x:c r="B54" s="17" t="str">
        <x:v>GD-CM-2601-003</x:v>
      </x:c>
      <x:c r="C54" s="17" t="str">
        <x:v>南宁农产品交易中心冷库</x:v>
      </x:c>
      <x:c r="D54" s="17" t="n">
        <x:v>2306.1</x:v>
      </x:c>
      <x:c r="E54" s="17" t="n">
        <x:v>0</x:v>
      </x:c>
      <x:c r="F54" s="17" t="n">
        <x:v>294.4</x:v>
      </x:c>
      <x:c r="G54" s="17" t="n">
        <x:v>44.6</x:v>
      </x:c>
      <x:c r="H54" s="17" t="n">
        <x:v>1967.1</x:v>
      </x:c>
      <x:c r="I54" s="17" t="n">
        <x:v>7</x:v>
      </x:c>
      <x:c r="J54" s="17" t="str">
        <x:v>冷藏区</x:v>
      </x:c>
      <x:c r="K54" s="17" t="str">
        <x:v>餐饮直配</x:v>
      </x:c>
    </x:row>
    <x:row r="55">
      <x:c r="A55" s="27" t="n">
        <x:v>46054</x:v>
      </x:c>
      <x:c r="B55" s="17" t="str">
        <x:v>GD-CM-2601-003</x:v>
      </x:c>
      <x:c r="C55" s="17" t="str">
        <x:v>南宁农产品交易中心冷库</x:v>
      </x:c>
      <x:c r="D55" s="17" t="n">
        <x:v>1967.1</x:v>
      </x:c>
      <x:c r="E55" s="17" t="n">
        <x:v>0</x:v>
      </x:c>
      <x:c r="F55" s="17" t="n">
        <x:v>207.3</x:v>
      </x:c>
      <x:c r="G55" s="17" t="n">
        <x:v>46.6</x:v>
      </x:c>
      <x:c r="H55" s="17" t="n">
        <x:v>1713.2</x:v>
      </x:c>
      <x:c r="I55" s="17" t="n">
        <x:v>8</x:v>
      </x:c>
      <x:c r="J55" s="17" t="str">
        <x:v>冷藏区</x:v>
      </x:c>
      <x:c r="K55" s="17" t="str">
        <x:v>商超配送</x:v>
      </x:c>
    </x:row>
    <x:row r="56">
      <x:c r="A56" s="27" t="n">
        <x:v>46055</x:v>
      </x:c>
      <x:c r="B56" s="17" t="str">
        <x:v>GD-CM-2601-003</x:v>
      </x:c>
      <x:c r="C56" s="17" t="str">
        <x:v>南宁农产品交易中心冷库</x:v>
      </x:c>
      <x:c r="D56" s="17" t="n">
        <x:v>1713.2</x:v>
      </x:c>
      <x:c r="E56" s="17" t="n">
        <x:v>0</x:v>
      </x:c>
      <x:c r="F56" s="17" t="n">
        <x:v>210.2</x:v>
      </x:c>
      <x:c r="G56" s="17" t="n">
        <x:v>32.2</x:v>
      </x:c>
      <x:c r="H56" s="17" t="n">
        <x:v>1470.8</x:v>
      </x:c>
      <x:c r="I56" s="17" t="n">
        <x:v>9</x:v>
      </x:c>
      <x:c r="J56" s="17" t="str">
        <x:v>冷藏区</x:v>
      </x:c>
      <x:c r="K56" s="17" t="str">
        <x:v>供港发车</x:v>
      </x:c>
    </x:row>
    <x:row r="57">
      <x:c r="A57" s="27" t="n">
        <x:v>46056</x:v>
      </x:c>
      <x:c r="B57" s="17" t="str">
        <x:v>GD-CM-2601-003</x:v>
      </x:c>
      <x:c r="C57" s="17" t="str">
        <x:v>南宁农产品交易中心冷库</x:v>
      </x:c>
      <x:c r="D57" s="17" t="n">
        <x:v>1470.8</x:v>
      </x:c>
      <x:c r="E57" s="17" t="n">
        <x:v>0</x:v>
      </x:c>
      <x:c r="F57" s="17" t="n">
        <x:v>218.9</x:v>
      </x:c>
      <x:c r="G57" s="17" t="n">
        <x:v>40.3</x:v>
      </x:c>
      <x:c r="H57" s="17" t="n">
        <x:v>1211.6</x:v>
      </x:c>
      <x:c r="I57" s="17" t="n">
        <x:v>10</x:v>
      </x:c>
      <x:c r="J57" s="17" t="str">
        <x:v>冷藏区</x:v>
      </x:c>
      <x:c r="K57" s="17" t="str">
        <x:v>批发市场发车</x:v>
      </x:c>
    </x:row>
    <x:row r="58">
      <x:c r="A58" s="27" t="n">
        <x:v>46057</x:v>
      </x:c>
      <x:c r="B58" s="17" t="str">
        <x:v>GD-CM-2601-003</x:v>
      </x:c>
      <x:c r="C58" s="17" t="str">
        <x:v>南宁农产品交易中心冷库</x:v>
      </x:c>
      <x:c r="D58" s="17" t="n">
        <x:v>1211.6</x:v>
      </x:c>
      <x:c r="E58" s="17" t="n">
        <x:v>0</x:v>
      </x:c>
      <x:c r="F58" s="17" t="n">
        <x:v>232.3</x:v>
      </x:c>
      <x:c r="G58" s="17" t="n">
        <x:v>40.8</x:v>
      </x:c>
      <x:c r="H58" s="17" t="n">
        <x:v>938.5</x:v>
      </x:c>
      <x:c r="I58" s="17" t="n">
        <x:v>11</x:v>
      </x:c>
      <x:c r="J58" s="17" t="str">
        <x:v>冷藏区</x:v>
      </x:c>
      <x:c r="K58" s="17" t="str">
        <x:v>供港发车</x:v>
      </x:c>
    </x:row>
    <x:row r="59">
      <x:c r="A59" s="27" t="n">
        <x:v>46058</x:v>
      </x:c>
      <x:c r="B59" s="17" t="str">
        <x:v>GD-CM-2601-003</x:v>
      </x:c>
      <x:c r="C59" s="17" t="str">
        <x:v>南宁农产品交易中心冷库</x:v>
      </x:c>
      <x:c r="D59" s="17" t="n">
        <x:v>938.5</x:v>
      </x:c>
      <x:c r="E59" s="17" t="n">
        <x:v>0</x:v>
      </x:c>
      <x:c r="F59" s="17" t="n">
        <x:v>297.9</x:v>
      </x:c>
      <x:c r="G59" s="17" t="n">
        <x:v>28.4</x:v>
      </x:c>
      <x:c r="H59" s="17" t="n">
        <x:v>612.2</x:v>
      </x:c>
      <x:c r="I59" s="17" t="n">
        <x:v>12</x:v>
      </x:c>
      <x:c r="J59" s="17" t="str">
        <x:v>冷藏区</x:v>
      </x:c>
      <x:c r="K59" s="17" t="str">
        <x:v>供港发车</x:v>
      </x:c>
    </x:row>
    <x:row r="60">
      <x:c r="A60" s="27" t="n">
        <x:v>46059</x:v>
      </x:c>
      <x:c r="B60" s="17" t="str">
        <x:v>GD-CM-2601-003</x:v>
      </x:c>
      <x:c r="C60" s="17" t="str">
        <x:v>南宁农产品交易中心冷库</x:v>
      </x:c>
      <x:c r="D60" s="17" t="n">
        <x:v>612.2</x:v>
      </x:c>
      <x:c r="E60" s="17" t="n">
        <x:v>0</x:v>
      </x:c>
      <x:c r="F60" s="17" t="n">
        <x:v>215.7</x:v>
      </x:c>
      <x:c r="G60" s="17" t="n">
        <x:v>33.3</x:v>
      </x:c>
      <x:c r="H60" s="17" t="n">
        <x:v>363.2</x:v>
      </x:c>
      <x:c r="I60" s="17" t="n">
        <x:v>13</x:v>
      </x:c>
      <x:c r="J60" s="17" t="str">
        <x:v>冷藏区</x:v>
      </x:c>
      <x:c r="K60" s="17" t="str">
        <x:v>供港发车</x:v>
      </x:c>
    </x:row>
    <x:row r="61">
      <x:c r="A61" s="27" t="n">
        <x:v>46060</x:v>
      </x:c>
      <x:c r="B61" s="17" t="str">
        <x:v>GD-CM-2601-003</x:v>
      </x:c>
      <x:c r="C61" s="17" t="str">
        <x:v>南宁农产品交易中心冷库</x:v>
      </x:c>
      <x:c r="D61" s="17" t="n">
        <x:v>363.2</x:v>
      </x:c>
      <x:c r="E61" s="17" t="n">
        <x:v>0</x:v>
      </x:c>
      <x:c r="F61" s="17" t="n">
        <x:v>301.9</x:v>
      </x:c>
      <x:c r="G61" s="17" t="n">
        <x:v>37.4</x:v>
      </x:c>
      <x:c r="H61" s="17" t="n">
        <x:v>23.9</x:v>
      </x:c>
      <x:c r="I61" s="17" t="n">
        <x:v>14</x:v>
      </x:c>
      <x:c r="J61" s="17" t="str">
        <x:v>冷藏区</x:v>
      </x:c>
      <x:c r="K61" s="17" t="str">
        <x:v>电商发货</x:v>
      </x:c>
    </x:row>
    <x:row r="62">
      <x:c r="A62" s="27" t="n">
        <x:v>46061</x:v>
      </x:c>
      <x:c r="B62" s="17" t="str">
        <x:v>GD-CM-2601-003</x:v>
      </x:c>
      <x:c r="C62" s="17" t="str">
        <x:v>南宁农产品交易中心冷库</x:v>
      </x:c>
      <x:c r="D62" s="17" t="n">
        <x:v>23.9</x:v>
      </x:c>
      <x:c r="E62" s="17" t="n">
        <x:v>0</x:v>
      </x:c>
      <x:c r="F62" s="17" t="n">
        <x:v>0</x:v>
      </x:c>
      <x:c r="G62" s="17" t="n">
        <x:v>23.9</x:v>
      </x:c>
      <x:c r="H62" s="17" t="n">
        <x:v>0</x:v>
      </x:c>
      <x:c r="I62" s="17" t="n">
        <x:v>15</x:v>
      </x:c>
      <x:c r="J62" s="17" t="str">
        <x:v>冷藏区</x:v>
      </x:c>
      <x:c r="K62" s="17" t="str">
        <x:v>供港发车</x:v>
      </x:c>
    </x:row>
    <x:row r="63">
      <x:c r="A63" s="27" t="n">
        <x:v>46055</x:v>
      </x:c>
      <x:c r="B63" s="17" t="str">
        <x:v>GD-CM-2602-004</x:v>
      </x:c>
      <x:c r="C63" s="17" t="str">
        <x:v>广州江南市场冷链仓</x:v>
      </x:c>
      <x:c r="D63" s="17" t="n">
        <x:v>0</x:v>
      </x:c>
      <x:c r="E63" s="17" t="n">
        <x:v>4137</x:v>
      </x:c>
      <x:c r="F63" s="17" t="n">
        <x:v>546.1</x:v>
      </x:c>
      <x:c r="G63" s="17" t="n">
        <x:v>24.8</x:v>
      </x:c>
      <x:c r="H63" s="17" t="n">
        <x:v>3566.1</x:v>
      </x:c>
      <x:c r="I63" s="17" t="n">
        <x:v>0</x:v>
      </x:c>
      <x:c r="J63" s="17" t="str">
        <x:v>暂存区</x:v>
      </x:c>
      <x:c r="K63" s="17" t="str">
        <x:v>电商发货</x:v>
      </x:c>
    </x:row>
    <x:row r="64">
      <x:c r="A64" s="27" t="n">
        <x:v>46056</x:v>
      </x:c>
      <x:c r="B64" s="17" t="str">
        <x:v>GD-CM-2602-004</x:v>
      </x:c>
      <x:c r="C64" s="17" t="str">
        <x:v>广州江南市场冷链仓</x:v>
      </x:c>
      <x:c r="D64" s="17" t="n">
        <x:v>3566.1</x:v>
      </x:c>
      <x:c r="E64" s="17" t="n">
        <x:v>0</x:v>
      </x:c>
      <x:c r="F64" s="17" t="n">
        <x:v>218.6</x:v>
      </x:c>
      <x:c r="G64" s="17" t="n">
        <x:v>28.5</x:v>
      </x:c>
      <x:c r="H64" s="17" t="n">
        <x:v>3319</x:v>
      </x:c>
      <x:c r="I64" s="17" t="n">
        <x:v>1</x:v>
      </x:c>
      <x:c r="J64" s="17" t="str">
        <x:v>冷藏区</x:v>
      </x:c>
      <x:c r="K64" s="17" t="str">
        <x:v>电商发货</x:v>
      </x:c>
    </x:row>
    <x:row r="65">
      <x:c r="A65" s="27" t="n">
        <x:v>46057</x:v>
      </x:c>
      <x:c r="B65" s="17" t="str">
        <x:v>GD-CM-2602-004</x:v>
      </x:c>
      <x:c r="C65" s="17" t="str">
        <x:v>广州江南市场冷链仓</x:v>
      </x:c>
      <x:c r="D65" s="17" t="n">
        <x:v>3319</x:v>
      </x:c>
      <x:c r="E65" s="17" t="n">
        <x:v>0</x:v>
      </x:c>
      <x:c r="F65" s="17" t="n">
        <x:v>255.5</x:v>
      </x:c>
      <x:c r="G65" s="17" t="n">
        <x:v>40.6</x:v>
      </x:c>
      <x:c r="H65" s="17" t="n">
        <x:v>3022.9</x:v>
      </x:c>
      <x:c r="I65" s="17" t="n">
        <x:v>2</x:v>
      </x:c>
      <x:c r="J65" s="17" t="str">
        <x:v>冷藏区</x:v>
      </x:c>
      <x:c r="K65" s="17" t="str">
        <x:v>餐饮直配</x:v>
      </x:c>
    </x:row>
    <x:row r="66">
      <x:c r="A66" s="27" t="n">
        <x:v>46058</x:v>
      </x:c>
      <x:c r="B66" s="17" t="str">
        <x:v>GD-CM-2602-004</x:v>
      </x:c>
      <x:c r="C66" s="17" t="str">
        <x:v>广州江南市场冷链仓</x:v>
      </x:c>
      <x:c r="D66" s="17" t="n">
        <x:v>3022.9</x:v>
      </x:c>
      <x:c r="E66" s="17" t="n">
        <x:v>0</x:v>
      </x:c>
      <x:c r="F66" s="17" t="n">
        <x:v>229.9</x:v>
      </x:c>
      <x:c r="G66" s="17" t="n">
        <x:v>37.5</x:v>
      </x:c>
      <x:c r="H66" s="17" t="n">
        <x:v>2755.5</x:v>
      </x:c>
      <x:c r="I66" s="17" t="n">
        <x:v>3</x:v>
      </x:c>
      <x:c r="J66" s="17" t="str">
        <x:v>冷藏区</x:v>
      </x:c>
      <x:c r="K66" s="17" t="str">
        <x:v>餐饮直配</x:v>
      </x:c>
    </x:row>
    <x:row r="67">
      <x:c r="A67" s="27" t="n">
        <x:v>46059</x:v>
      </x:c>
      <x:c r="B67" s="17" t="str">
        <x:v>GD-CM-2602-004</x:v>
      </x:c>
      <x:c r="C67" s="17" t="str">
        <x:v>广州江南市场冷链仓</x:v>
      </x:c>
      <x:c r="D67" s="17" t="n">
        <x:v>2755.5</x:v>
      </x:c>
      <x:c r="E67" s="17" t="n">
        <x:v>0</x:v>
      </x:c>
      <x:c r="F67" s="17" t="n">
        <x:v>245</x:v>
      </x:c>
      <x:c r="G67" s="17" t="n">
        <x:v>32.8</x:v>
      </x:c>
      <x:c r="H67" s="17" t="n">
        <x:v>2477.7</x:v>
      </x:c>
      <x:c r="I67" s="17" t="n">
        <x:v>4</x:v>
      </x:c>
      <x:c r="J67" s="17" t="str">
        <x:v>冷藏区</x:v>
      </x:c>
      <x:c r="K67" s="17" t="str">
        <x:v>电商发货</x:v>
      </x:c>
    </x:row>
    <x:row r="68">
      <x:c r="A68" s="27" t="n">
        <x:v>46060</x:v>
      </x:c>
      <x:c r="B68" s="17" t="str">
        <x:v>GD-CM-2602-004</x:v>
      </x:c>
      <x:c r="C68" s="17" t="str">
        <x:v>广州江南市场冷链仓</x:v>
      </x:c>
      <x:c r="D68" s="17" t="n">
        <x:v>2477.7</x:v>
      </x:c>
      <x:c r="E68" s="17" t="n">
        <x:v>0</x:v>
      </x:c>
      <x:c r="F68" s="17" t="n">
        <x:v>222.3</x:v>
      </x:c>
      <x:c r="G68" s="17" t="n">
        <x:v>27</x:v>
      </x:c>
      <x:c r="H68" s="17" t="n">
        <x:v>2228.4</x:v>
      </x:c>
      <x:c r="I68" s="17" t="n">
        <x:v>5</x:v>
      </x:c>
      <x:c r="J68" s="17" t="str">
        <x:v>冷藏区</x:v>
      </x:c>
      <x:c r="K68" s="17" t="str">
        <x:v>电商发货</x:v>
      </x:c>
    </x:row>
    <x:row r="69">
      <x:c r="A69" s="27" t="n">
        <x:v>46061</x:v>
      </x:c>
      <x:c r="B69" s="17" t="str">
        <x:v>GD-CM-2602-004</x:v>
      </x:c>
      <x:c r="C69" s="17" t="str">
        <x:v>广州江南市场冷链仓</x:v>
      </x:c>
      <x:c r="D69" s="17" t="n">
        <x:v>2228.4</x:v>
      </x:c>
      <x:c r="E69" s="17" t="n">
        <x:v>0</x:v>
      </x:c>
      <x:c r="F69" s="17" t="n">
        <x:v>201.6</x:v>
      </x:c>
      <x:c r="G69" s="17" t="n">
        <x:v>41.1</x:v>
      </x:c>
      <x:c r="H69" s="17" t="n">
        <x:v>1985.7</x:v>
      </x:c>
      <x:c r="I69" s="17" t="n">
        <x:v>6</x:v>
      </x:c>
      <x:c r="J69" s="17" t="str">
        <x:v>冷藏区</x:v>
      </x:c>
      <x:c r="K69" s="17" t="str">
        <x:v>供港发车</x:v>
      </x:c>
    </x:row>
    <x:row r="70">
      <x:c r="A70" s="27" t="n">
        <x:v>46062</x:v>
      </x:c>
      <x:c r="B70" s="17" t="str">
        <x:v>GD-CM-2602-004</x:v>
      </x:c>
      <x:c r="C70" s="17" t="str">
        <x:v>广州江南市场冷链仓</x:v>
      </x:c>
      <x:c r="D70" s="17" t="n">
        <x:v>1985.7</x:v>
      </x:c>
      <x:c r="E70" s="17" t="n">
        <x:v>0</x:v>
      </x:c>
      <x:c r="F70" s="17" t="n">
        <x:v>239.6</x:v>
      </x:c>
      <x:c r="G70" s="17" t="n">
        <x:v>40.2</x:v>
      </x:c>
      <x:c r="H70" s="17" t="n">
        <x:v>1705.9</x:v>
      </x:c>
      <x:c r="I70" s="17" t="n">
        <x:v>7</x:v>
      </x:c>
      <x:c r="J70" s="17" t="str">
        <x:v>冷藏区</x:v>
      </x:c>
      <x:c r="K70" s="17" t="str">
        <x:v>商超配送</x:v>
      </x:c>
    </x:row>
    <x:row r="71">
      <x:c r="A71" s="27" t="n">
        <x:v>46063</x:v>
      </x:c>
      <x:c r="B71" s="17" t="str">
        <x:v>GD-CM-2602-004</x:v>
      </x:c>
      <x:c r="C71" s="17" t="str">
        <x:v>广州江南市场冷链仓</x:v>
      </x:c>
      <x:c r="D71" s="17" t="n">
        <x:v>1705.9</x:v>
      </x:c>
      <x:c r="E71" s="17" t="n">
        <x:v>0</x:v>
      </x:c>
      <x:c r="F71" s="17" t="n">
        <x:v>231.1</x:v>
      </x:c>
      <x:c r="G71" s="17" t="n">
        <x:v>36.7</x:v>
      </x:c>
      <x:c r="H71" s="17" t="n">
        <x:v>1438.1</x:v>
      </x:c>
      <x:c r="I71" s="17" t="n">
        <x:v>8</x:v>
      </x:c>
      <x:c r="J71" s="17" t="str">
        <x:v>冷藏区</x:v>
      </x:c>
      <x:c r="K71" s="17" t="str">
        <x:v>供港发车</x:v>
      </x:c>
    </x:row>
    <x:row r="72">
      <x:c r="A72" s="27" t="n">
        <x:v>46064</x:v>
      </x:c>
      <x:c r="B72" s="17" t="str">
        <x:v>GD-CM-2602-004</x:v>
      </x:c>
      <x:c r="C72" s="17" t="str">
        <x:v>广州江南市场冷链仓</x:v>
      </x:c>
      <x:c r="D72" s="17" t="n">
        <x:v>1438.1</x:v>
      </x:c>
      <x:c r="E72" s="17" t="n">
        <x:v>0</x:v>
      </x:c>
      <x:c r="F72" s="17" t="n">
        <x:v>203.6</x:v>
      </x:c>
      <x:c r="G72" s="17" t="n">
        <x:v>35.1</x:v>
      </x:c>
      <x:c r="H72" s="17" t="n">
        <x:v>1199.4</x:v>
      </x:c>
      <x:c r="I72" s="17" t="n">
        <x:v>9</x:v>
      </x:c>
      <x:c r="J72" s="17" t="str">
        <x:v>冷藏区</x:v>
      </x:c>
      <x:c r="K72" s="17" t="str">
        <x:v>批发市场发车</x:v>
      </x:c>
    </x:row>
    <x:row r="73">
      <x:c r="A73" s="27" t="n">
        <x:v>46065</x:v>
      </x:c>
      <x:c r="B73" s="17" t="str">
        <x:v>GD-CM-2602-004</x:v>
      </x:c>
      <x:c r="C73" s="17" t="str">
        <x:v>广州江南市场冷链仓</x:v>
      </x:c>
      <x:c r="D73" s="17" t="n">
        <x:v>1199.4</x:v>
      </x:c>
      <x:c r="E73" s="17" t="n">
        <x:v>0</x:v>
      </x:c>
      <x:c r="F73" s="17" t="n">
        <x:v>183.9</x:v>
      </x:c>
      <x:c r="G73" s="17" t="n">
        <x:v>23.3</x:v>
      </x:c>
      <x:c r="H73" s="17" t="n">
        <x:v>992.2</x:v>
      </x:c>
      <x:c r="I73" s="17" t="n">
        <x:v>10</x:v>
      </x:c>
      <x:c r="J73" s="17" t="str">
        <x:v>冷藏区</x:v>
      </x:c>
      <x:c r="K73" s="17" t="str">
        <x:v>批发市场发车</x:v>
      </x:c>
    </x:row>
    <x:row r="74">
      <x:c r="A74" s="27" t="n">
        <x:v>46066</x:v>
      </x:c>
      <x:c r="B74" s="17" t="str">
        <x:v>GD-CM-2602-004</x:v>
      </x:c>
      <x:c r="C74" s="17" t="str">
        <x:v>广州江南市场冷链仓</x:v>
      </x:c>
      <x:c r="D74" s="17" t="n">
        <x:v>992.2</x:v>
      </x:c>
      <x:c r="E74" s="17" t="n">
        <x:v>0</x:v>
      </x:c>
      <x:c r="F74" s="17" t="n">
        <x:v>221.4</x:v>
      </x:c>
      <x:c r="G74" s="17" t="n">
        <x:v>37.3</x:v>
      </x:c>
      <x:c r="H74" s="17" t="n">
        <x:v>733.5</x:v>
      </x:c>
      <x:c r="I74" s="17" t="n">
        <x:v>11</x:v>
      </x:c>
      <x:c r="J74" s="17" t="str">
        <x:v>冷藏区</x:v>
      </x:c>
      <x:c r="K74" s="17" t="str">
        <x:v>供港发车</x:v>
      </x:c>
    </x:row>
    <x:row r="75">
      <x:c r="A75" s="27" t="n">
        <x:v>46067</x:v>
      </x:c>
      <x:c r="B75" s="17" t="str">
        <x:v>GD-CM-2602-004</x:v>
      </x:c>
      <x:c r="C75" s="17" t="str">
        <x:v>广州江南市场冷链仓</x:v>
      </x:c>
      <x:c r="D75" s="17" t="n">
        <x:v>733.5</x:v>
      </x:c>
      <x:c r="E75" s="17" t="n">
        <x:v>0</x:v>
      </x:c>
      <x:c r="F75" s="17" t="n">
        <x:v>193</x:v>
      </x:c>
      <x:c r="G75" s="17" t="n">
        <x:v>28.9</x:v>
      </x:c>
      <x:c r="H75" s="17" t="n">
        <x:v>511.6</x:v>
      </x:c>
      <x:c r="I75" s="17" t="n">
        <x:v>12</x:v>
      </x:c>
      <x:c r="J75" s="17" t="str">
        <x:v>冷藏区</x:v>
      </x:c>
      <x:c r="K75" s="17" t="str">
        <x:v>电商发货</x:v>
      </x:c>
    </x:row>
    <x:row r="76">
      <x:c r="A76" s="27" t="n">
        <x:v>46068</x:v>
      </x:c>
      <x:c r="B76" s="17" t="str">
        <x:v>GD-CM-2602-004</x:v>
      </x:c>
      <x:c r="C76" s="17" t="str">
        <x:v>广州江南市场冷链仓</x:v>
      </x:c>
      <x:c r="D76" s="17" t="n">
        <x:v>511.6</x:v>
      </x:c>
      <x:c r="E76" s="17" t="n">
        <x:v>0</x:v>
      </x:c>
      <x:c r="F76" s="17" t="n">
        <x:v>196.2</x:v>
      </x:c>
      <x:c r="G76" s="17" t="n">
        <x:v>33.7</x:v>
      </x:c>
      <x:c r="H76" s="17" t="n">
        <x:v>281.7</x:v>
      </x:c>
      <x:c r="I76" s="17" t="n">
        <x:v>13</x:v>
      </x:c>
      <x:c r="J76" s="17" t="str">
        <x:v>冷藏区</x:v>
      </x:c>
      <x:c r="K76" s="17" t="str">
        <x:v>供港发车</x:v>
      </x:c>
    </x:row>
    <x:row r="77">
      <x:c r="A77" s="27" t="n">
        <x:v>46069</x:v>
      </x:c>
      <x:c r="B77" s="17" t="str">
        <x:v>GD-CM-2602-004</x:v>
      </x:c>
      <x:c r="C77" s="17" t="str">
        <x:v>广州江南市场冷链仓</x:v>
      </x:c>
      <x:c r="D77" s="17" t="n">
        <x:v>281.7</x:v>
      </x:c>
      <x:c r="E77" s="17" t="n">
        <x:v>0</x:v>
      </x:c>
      <x:c r="F77" s="17" t="n">
        <x:v>208</x:v>
      </x:c>
      <x:c r="G77" s="17" t="n">
        <x:v>25.6</x:v>
      </x:c>
      <x:c r="H77" s="17" t="n">
        <x:v>48.1</x:v>
      </x:c>
      <x:c r="I77" s="17" t="n">
        <x:v>14</x:v>
      </x:c>
      <x:c r="J77" s="17" t="str">
        <x:v>冷藏区</x:v>
      </x:c>
      <x:c r="K77" s="17" t="str">
        <x:v>商超配送</x:v>
      </x:c>
    </x:row>
    <x:row r="78">
      <x:c r="A78" s="27" t="n">
        <x:v>46070</x:v>
      </x:c>
      <x:c r="B78" s="17" t="str">
        <x:v>GD-CM-2602-004</x:v>
      </x:c>
      <x:c r="C78" s="17" t="str">
        <x:v>广州江南市场冷链仓</x:v>
      </x:c>
      <x:c r="D78" s="17" t="n">
        <x:v>48.1</x:v>
      </x:c>
      <x:c r="E78" s="17" t="n">
        <x:v>0</x:v>
      </x:c>
      <x:c r="F78" s="17" t="n">
        <x:v>0</x:v>
      </x:c>
      <x:c r="G78" s="17" t="n">
        <x:v>48.1</x:v>
      </x:c>
      <x:c r="H78" s="17" t="n">
        <x:v>0</x:v>
      </x:c>
      <x:c r="I78" s="17" t="n">
        <x:v>15</x:v>
      </x:c>
      <x:c r="J78" s="17" t="str">
        <x:v>冷藏区</x:v>
      </x:c>
      <x:c r="K78" s="17" t="str">
        <x:v>餐饮直配</x:v>
      </x:c>
    </x:row>
    <x:row r="79">
      <x:c r="A79" s="27" t="n">
        <x:v>46064</x:v>
      </x:c>
      <x:c r="B79" s="17" t="str">
        <x:v>GD-CM-2602-005</x:v>
      </x:c>
      <x:c r="C79" s="17" t="str">
        <x:v>深圳海吉星冷链仓</x:v>
      </x:c>
      <x:c r="D79" s="17" t="n">
        <x:v>0</x:v>
      </x:c>
      <x:c r="E79" s="17" t="n">
        <x:v>4609</x:v>
      </x:c>
      <x:c r="F79" s="17" t="n">
        <x:v>608.4</x:v>
      </x:c>
      <x:c r="G79" s="17" t="n">
        <x:v>27.7</x:v>
      </x:c>
      <x:c r="H79" s="17" t="n">
        <x:v>3972.9</x:v>
      </x:c>
      <x:c r="I79" s="17" t="n">
        <x:v>0</x:v>
      </x:c>
      <x:c r="J79" s="17" t="str">
        <x:v>暂存区</x:v>
      </x:c>
      <x:c r="K79" s="17" t="str">
        <x:v>供港发车</x:v>
      </x:c>
    </x:row>
    <x:row r="80">
      <x:c r="A80" s="27" t="n">
        <x:v>46065</x:v>
      </x:c>
      <x:c r="B80" s="17" t="str">
        <x:v>GD-CM-2602-005</x:v>
      </x:c>
      <x:c r="C80" s="17" t="str">
        <x:v>深圳海吉星冷链仓</x:v>
      </x:c>
      <x:c r="D80" s="17" t="n">
        <x:v>3972.9</x:v>
      </x:c>
      <x:c r="E80" s="17" t="n">
        <x:v>0</x:v>
      </x:c>
      <x:c r="F80" s="17" t="n">
        <x:v>291.5</x:v>
      </x:c>
      <x:c r="G80" s="17" t="n">
        <x:v>44.1</x:v>
      </x:c>
      <x:c r="H80" s="17" t="n">
        <x:v>3637.3</x:v>
      </x:c>
      <x:c r="I80" s="17" t="n">
        <x:v>1</x:v>
      </x:c>
      <x:c r="J80" s="17" t="str">
        <x:v>冷藏区</x:v>
      </x:c>
      <x:c r="K80" s="17" t="str">
        <x:v>电商发货</x:v>
      </x:c>
    </x:row>
    <x:row r="81">
      <x:c r="A81" s="27" t="n">
        <x:v>46066</x:v>
      </x:c>
      <x:c r="B81" s="17" t="str">
        <x:v>GD-CM-2602-005</x:v>
      </x:c>
      <x:c r="C81" s="17" t="str">
        <x:v>深圳海吉星冷链仓</x:v>
      </x:c>
      <x:c r="D81" s="17" t="n">
        <x:v>3637.3</x:v>
      </x:c>
      <x:c r="E81" s="17" t="n">
        <x:v>0</x:v>
      </x:c>
      <x:c r="F81" s="17" t="n">
        <x:v>232.4</x:v>
      </x:c>
      <x:c r="G81" s="17" t="n">
        <x:v>35.9</x:v>
      </x:c>
      <x:c r="H81" s="17" t="n">
        <x:v>3369</x:v>
      </x:c>
      <x:c r="I81" s="17" t="n">
        <x:v>2</x:v>
      </x:c>
      <x:c r="J81" s="17" t="str">
        <x:v>冷藏区</x:v>
      </x:c>
      <x:c r="K81" s="17" t="str">
        <x:v>餐饮直配</x:v>
      </x:c>
    </x:row>
    <x:row r="82">
      <x:c r="A82" s="27" t="n">
        <x:v>46067</x:v>
      </x:c>
      <x:c r="B82" s="17" t="str">
        <x:v>GD-CM-2602-005</x:v>
      </x:c>
      <x:c r="C82" s="17" t="str">
        <x:v>深圳海吉星冷链仓</x:v>
      </x:c>
      <x:c r="D82" s="17" t="n">
        <x:v>3369</x:v>
      </x:c>
      <x:c r="E82" s="17" t="n">
        <x:v>0</x:v>
      </x:c>
      <x:c r="F82" s="17" t="n">
        <x:v>262.1</x:v>
      </x:c>
      <x:c r="G82" s="17" t="n">
        <x:v>34.8</x:v>
      </x:c>
      <x:c r="H82" s="17" t="n">
        <x:v>3072.1</x:v>
      </x:c>
      <x:c r="I82" s="17" t="n">
        <x:v>3</x:v>
      </x:c>
      <x:c r="J82" s="17" t="str">
        <x:v>冷藏区</x:v>
      </x:c>
      <x:c r="K82" s="17" t="str">
        <x:v>餐饮直配</x:v>
      </x:c>
    </x:row>
    <x:row r="83">
      <x:c r="A83" s="27" t="n">
        <x:v>46068</x:v>
      </x:c>
      <x:c r="B83" s="17" t="str">
        <x:v>GD-CM-2602-005</x:v>
      </x:c>
      <x:c r="C83" s="17" t="str">
        <x:v>深圳海吉星冷链仓</x:v>
      </x:c>
      <x:c r="D83" s="17" t="n">
        <x:v>3072.1</x:v>
      </x:c>
      <x:c r="E83" s="17" t="n">
        <x:v>0</x:v>
      </x:c>
      <x:c r="F83" s="17" t="n">
        <x:v>240.8</x:v>
      </x:c>
      <x:c r="G83" s="17" t="n">
        <x:v>27.2</x:v>
      </x:c>
      <x:c r="H83" s="17" t="n">
        <x:v>2804.1</x:v>
      </x:c>
      <x:c r="I83" s="17" t="n">
        <x:v>4</x:v>
      </x:c>
      <x:c r="J83" s="17" t="str">
        <x:v>冷藏区</x:v>
      </x:c>
      <x:c r="K83" s="17" t="str">
        <x:v>供港发车</x:v>
      </x:c>
    </x:row>
    <x:row r="84">
      <x:c r="A84" s="27" t="n">
        <x:v>46069</x:v>
      </x:c>
      <x:c r="B84" s="17" t="str">
        <x:v>GD-CM-2602-005</x:v>
      </x:c>
      <x:c r="C84" s="17" t="str">
        <x:v>深圳海吉星冷链仓</x:v>
      </x:c>
      <x:c r="D84" s="17" t="n">
        <x:v>2804.1</x:v>
      </x:c>
      <x:c r="E84" s="17" t="n">
        <x:v>0</x:v>
      </x:c>
      <x:c r="F84" s="17" t="n">
        <x:v>258.7</x:v>
      </x:c>
      <x:c r="G84" s="17" t="n">
        <x:v>28.1</x:v>
      </x:c>
      <x:c r="H84" s="17" t="n">
        <x:v>2517.3</x:v>
      </x:c>
      <x:c r="I84" s="17" t="n">
        <x:v>5</x:v>
      </x:c>
      <x:c r="J84" s="17" t="str">
        <x:v>冷藏区</x:v>
      </x:c>
      <x:c r="K84" s="17" t="str">
        <x:v>商超配送</x:v>
      </x:c>
    </x:row>
    <x:row r="85">
      <x:c r="A85" s="27" t="n">
        <x:v>46070</x:v>
      </x:c>
      <x:c r="B85" s="17" t="str">
        <x:v>GD-CM-2602-005</x:v>
      </x:c>
      <x:c r="C85" s="17" t="str">
        <x:v>深圳海吉星冷链仓</x:v>
      </x:c>
      <x:c r="D85" s="17" t="n">
        <x:v>2517.3</x:v>
      </x:c>
      <x:c r="E85" s="17" t="n">
        <x:v>0</x:v>
      </x:c>
      <x:c r="F85" s="17" t="n">
        <x:v>257.7</x:v>
      </x:c>
      <x:c r="G85" s="17" t="n">
        <x:v>26.8</x:v>
      </x:c>
      <x:c r="H85" s="17" t="n">
        <x:v>2232.8</x:v>
      </x:c>
      <x:c r="I85" s="17" t="n">
        <x:v>6</x:v>
      </x:c>
      <x:c r="J85" s="17" t="str">
        <x:v>冷藏区</x:v>
      </x:c>
      <x:c r="K85" s="17" t="str">
        <x:v>商超配送</x:v>
      </x:c>
    </x:row>
    <x:row r="86">
      <x:c r="A86" s="27" t="n">
        <x:v>46071</x:v>
      </x:c>
      <x:c r="B86" s="17" t="str">
        <x:v>GD-CM-2602-005</x:v>
      </x:c>
      <x:c r="C86" s="17" t="str">
        <x:v>深圳海吉星冷链仓</x:v>
      </x:c>
      <x:c r="D86" s="17" t="n">
        <x:v>2232.8</x:v>
      </x:c>
      <x:c r="E86" s="17" t="n">
        <x:v>0</x:v>
      </x:c>
      <x:c r="F86" s="17" t="n">
        <x:v>231.8</x:v>
      </x:c>
      <x:c r="G86" s="17" t="n">
        <x:v>37.3</x:v>
      </x:c>
      <x:c r="H86" s="17" t="n">
        <x:v>1963.7</x:v>
      </x:c>
      <x:c r="I86" s="17" t="n">
        <x:v>7</x:v>
      </x:c>
      <x:c r="J86" s="17" t="str">
        <x:v>冷藏区</x:v>
      </x:c>
      <x:c r="K86" s="17" t="str">
        <x:v>电商发货</x:v>
      </x:c>
    </x:row>
    <x:row r="87">
      <x:c r="A87" s="27" t="n">
        <x:v>46072</x:v>
      </x:c>
      <x:c r="B87" s="17" t="str">
        <x:v>GD-CM-2602-005</x:v>
      </x:c>
      <x:c r="C87" s="17" t="str">
        <x:v>深圳海吉星冷链仓</x:v>
      </x:c>
      <x:c r="D87" s="17" t="n">
        <x:v>1963.7</x:v>
      </x:c>
      <x:c r="E87" s="17" t="n">
        <x:v>0</x:v>
      </x:c>
      <x:c r="F87" s="17" t="n">
        <x:v>231.2</x:v>
      </x:c>
      <x:c r="G87" s="17" t="n">
        <x:v>45.5</x:v>
      </x:c>
      <x:c r="H87" s="17" t="n">
        <x:v>1687</x:v>
      </x:c>
      <x:c r="I87" s="17" t="n">
        <x:v>8</x:v>
      </x:c>
      <x:c r="J87" s="17" t="str">
        <x:v>冷藏区</x:v>
      </x:c>
      <x:c r="K87" s="17" t="str">
        <x:v>餐饮直配</x:v>
      </x:c>
    </x:row>
    <x:row r="88">
      <x:c r="A88" s="27" t="n">
        <x:v>46073</x:v>
      </x:c>
      <x:c r="B88" s="17" t="str">
        <x:v>GD-CM-2602-005</x:v>
      </x:c>
      <x:c r="C88" s="17" t="str">
        <x:v>深圳海吉星冷链仓</x:v>
      </x:c>
      <x:c r="D88" s="17" t="n">
        <x:v>1687</x:v>
      </x:c>
      <x:c r="E88" s="17" t="n">
        <x:v>0</x:v>
      </x:c>
      <x:c r="F88" s="17" t="n">
        <x:v>275.1</x:v>
      </x:c>
      <x:c r="G88" s="17" t="n">
        <x:v>38.1</x:v>
      </x:c>
      <x:c r="H88" s="17" t="n">
        <x:v>1373.8</x:v>
      </x:c>
      <x:c r="I88" s="17" t="n">
        <x:v>9</x:v>
      </x:c>
      <x:c r="J88" s="17" t="str">
        <x:v>冷藏区</x:v>
      </x:c>
      <x:c r="K88" s="17" t="str">
        <x:v>批发市场发车</x:v>
      </x:c>
    </x:row>
    <x:row r="89">
      <x:c r="A89" s="27" t="n">
        <x:v>46074</x:v>
      </x:c>
      <x:c r="B89" s="17" t="str">
        <x:v>GD-CM-2602-005</x:v>
      </x:c>
      <x:c r="C89" s="17" t="str">
        <x:v>深圳海吉星冷链仓</x:v>
      </x:c>
      <x:c r="D89" s="17" t="n">
        <x:v>1373.8</x:v>
      </x:c>
      <x:c r="E89" s="17" t="n">
        <x:v>0</x:v>
      </x:c>
      <x:c r="F89" s="17" t="n">
        <x:v>255.4</x:v>
      </x:c>
      <x:c r="G89" s="17" t="n">
        <x:v>26.5</x:v>
      </x:c>
      <x:c r="H89" s="17" t="n">
        <x:v>1091.9</x:v>
      </x:c>
      <x:c r="I89" s="17" t="n">
        <x:v>10</x:v>
      </x:c>
      <x:c r="J89" s="17" t="str">
        <x:v>冷藏区</x:v>
      </x:c>
      <x:c r="K89" s="17" t="str">
        <x:v>电商发货</x:v>
      </x:c>
    </x:row>
    <x:row r="90">
      <x:c r="A90" s="27" t="n">
        <x:v>46075</x:v>
      </x:c>
      <x:c r="B90" s="17" t="str">
        <x:v>GD-CM-2602-005</x:v>
      </x:c>
      <x:c r="C90" s="17" t="str">
        <x:v>深圳海吉星冷链仓</x:v>
      </x:c>
      <x:c r="D90" s="17" t="n">
        <x:v>1091.9</x:v>
      </x:c>
      <x:c r="E90" s="17" t="n">
        <x:v>0</x:v>
      </x:c>
      <x:c r="F90" s="17" t="n">
        <x:v>214.9</x:v>
      </x:c>
      <x:c r="G90" s="17" t="n">
        <x:v>27.9</x:v>
      </x:c>
      <x:c r="H90" s="17" t="n">
        <x:v>849.1</x:v>
      </x:c>
      <x:c r="I90" s="17" t="n">
        <x:v>11</x:v>
      </x:c>
      <x:c r="J90" s="17" t="str">
        <x:v>冷藏区</x:v>
      </x:c>
      <x:c r="K90" s="17" t="str">
        <x:v>供港发车</x:v>
      </x:c>
    </x:row>
    <x:row r="91">
      <x:c r="A91" s="27" t="n">
        <x:v>46076</x:v>
      </x:c>
      <x:c r="B91" s="17" t="str">
        <x:v>GD-CM-2602-005</x:v>
      </x:c>
      <x:c r="C91" s="17" t="str">
        <x:v>深圳海吉星冷链仓</x:v>
      </x:c>
      <x:c r="D91" s="17" t="n">
        <x:v>849.1</x:v>
      </x:c>
      <x:c r="E91" s="17" t="n">
        <x:v>0</x:v>
      </x:c>
      <x:c r="F91" s="17" t="n">
        <x:v>269.9</x:v>
      </x:c>
      <x:c r="G91" s="17" t="n">
        <x:v>29.6</x:v>
      </x:c>
      <x:c r="H91" s="17" t="n">
        <x:v>549.6</x:v>
      </x:c>
      <x:c r="I91" s="17" t="n">
        <x:v>12</x:v>
      </x:c>
      <x:c r="J91" s="17" t="str">
        <x:v>冷藏区</x:v>
      </x:c>
      <x:c r="K91" s="17" t="str">
        <x:v>批发市场发车</x:v>
      </x:c>
    </x:row>
    <x:row r="92">
      <x:c r="A92" s="27" t="n">
        <x:v>46077</x:v>
      </x:c>
      <x:c r="B92" s="17" t="str">
        <x:v>GD-CM-2602-005</x:v>
      </x:c>
      <x:c r="C92" s="17" t="str">
        <x:v>深圳海吉星冷链仓</x:v>
      </x:c>
      <x:c r="D92" s="17" t="n">
        <x:v>549.6</x:v>
      </x:c>
      <x:c r="E92" s="17" t="n">
        <x:v>0</x:v>
      </x:c>
      <x:c r="F92" s="17" t="n">
        <x:v>226.2</x:v>
      </x:c>
      <x:c r="G92" s="17" t="n">
        <x:v>28.2</x:v>
      </x:c>
      <x:c r="H92" s="17" t="n">
        <x:v>295.2</x:v>
      </x:c>
      <x:c r="I92" s="17" t="n">
        <x:v>13</x:v>
      </x:c>
      <x:c r="J92" s="17" t="str">
        <x:v>冷藏区</x:v>
      </x:c>
      <x:c r="K92" s="17" t="str">
        <x:v>供港发车</x:v>
      </x:c>
    </x:row>
    <x:row r="93">
      <x:c r="A93" s="27" t="n">
        <x:v>46078</x:v>
      </x:c>
      <x:c r="B93" s="17" t="str">
        <x:v>GD-CM-2602-005</x:v>
      </x:c>
      <x:c r="C93" s="17" t="str">
        <x:v>深圳海吉星冷链仓</x:v>
      </x:c>
      <x:c r="D93" s="17" t="n">
        <x:v>295.2</x:v>
      </x:c>
      <x:c r="E93" s="17" t="n">
        <x:v>0</x:v>
      </x:c>
      <x:c r="F93" s="17" t="n">
        <x:v>257.7</x:v>
      </x:c>
      <x:c r="G93" s="17" t="n">
        <x:v>37.5</x:v>
      </x:c>
      <x:c r="H93" s="17" t="n">
        <x:v>0</x:v>
      </x:c>
      <x:c r="I93" s="17" t="n">
        <x:v>14</x:v>
      </x:c>
      <x:c r="J93" s="17" t="str">
        <x:v>冷藏区</x:v>
      </x:c>
      <x:c r="K93" s="17" t="str">
        <x:v>批发市场发车</x:v>
      </x:c>
    </x:row>
    <x:row r="94">
      <x:c r="A94" s="27" t="n">
        <x:v>46079</x:v>
      </x:c>
      <x:c r="B94" s="17" t="str">
        <x:v>GD-CM-2602-005</x:v>
      </x:c>
      <x:c r="C94" s="17" t="str">
        <x:v>深圳海吉星冷链仓</x:v>
      </x:c>
      <x:c r="D94" s="17" t="n">
        <x:v>0</x:v>
      </x:c>
      <x:c r="E94" s="17" t="n">
        <x:v>0</x:v>
      </x:c>
      <x:c r="F94" s="17" t="n">
        <x:v>0</x:v>
      </x:c>
      <x:c r="G94" s="17" t="n">
        <x:v>0</x:v>
      </x:c>
      <x:c r="H94" s="17" t="n">
        <x:v>0</x:v>
      </x:c>
      <x:c r="I94" s="17" t="n">
        <x:v>15</x:v>
      </x:c>
      <x:c r="J94" s="17" t="str">
        <x:v>冷藏区</x:v>
      </x:c>
      <x:c r="K94" s="17" t="str">
        <x:v>餐饮直配</x:v>
      </x:c>
    </x:row>
    <x:row r="95">
      <x:c r="A95" s="27" t="n">
        <x:v>46073</x:v>
      </x:c>
      <x:c r="B95" s="17" t="str">
        <x:v>GD-CM-2602-006</x:v>
      </x:c>
      <x:c r="C95" s="17" t="str">
        <x:v>南宁农产品交易中心冷库</x:v>
      </x:c>
      <x:c r="D95" s="17" t="n">
        <x:v>0</x:v>
      </x:c>
      <x:c r="E95" s="17" t="n">
        <x:v>4478</x:v>
      </x:c>
      <x:c r="F95" s="17" t="n">
        <x:v>591.1</x:v>
      </x:c>
      <x:c r="G95" s="17" t="n">
        <x:v>26.9</x:v>
      </x:c>
      <x:c r="H95" s="17" t="n">
        <x:v>3860</x:v>
      </x:c>
      <x:c r="I95" s="17" t="n">
        <x:v>0</x:v>
      </x:c>
      <x:c r="J95" s="17" t="str">
        <x:v>暂存区</x:v>
      </x:c>
      <x:c r="K95" s="17" t="str">
        <x:v>供港发车</x:v>
      </x:c>
    </x:row>
    <x:row r="96">
      <x:c r="A96" s="27" t="n">
        <x:v>46074</x:v>
      </x:c>
      <x:c r="B96" s="17" t="str">
        <x:v>GD-CM-2602-006</x:v>
      </x:c>
      <x:c r="C96" s="17" t="str">
        <x:v>南宁农产品交易中心冷库</x:v>
      </x:c>
      <x:c r="D96" s="17" t="n">
        <x:v>3860</x:v>
      </x:c>
      <x:c r="E96" s="17" t="n">
        <x:v>0</x:v>
      </x:c>
      <x:c r="F96" s="17" t="n">
        <x:v>228.2</x:v>
      </x:c>
      <x:c r="G96" s="17" t="n">
        <x:v>40.2</x:v>
      </x:c>
      <x:c r="H96" s="17" t="n">
        <x:v>3591.6</x:v>
      </x:c>
      <x:c r="I96" s="17" t="n">
        <x:v>1</x:v>
      </x:c>
      <x:c r="J96" s="17" t="str">
        <x:v>冷藏区</x:v>
      </x:c>
      <x:c r="K96" s="17" t="str">
        <x:v>商超配送</x:v>
      </x:c>
    </x:row>
    <x:row r="97">
      <x:c r="A97" s="27" t="n">
        <x:v>46075</x:v>
      </x:c>
      <x:c r="B97" s="17" t="str">
        <x:v>GD-CM-2602-006</x:v>
      </x:c>
      <x:c r="C97" s="17" t="str">
        <x:v>南宁农产品交易中心冷库</x:v>
      </x:c>
      <x:c r="D97" s="17" t="n">
        <x:v>3591.6</x:v>
      </x:c>
      <x:c r="E97" s="17" t="n">
        <x:v>0</x:v>
      </x:c>
      <x:c r="F97" s="17" t="n">
        <x:v>208.7</x:v>
      </x:c>
      <x:c r="G97" s="17" t="n">
        <x:v>28</x:v>
      </x:c>
      <x:c r="H97" s="17" t="n">
        <x:v>3354.9</x:v>
      </x:c>
      <x:c r="I97" s="17" t="n">
        <x:v>2</x:v>
      </x:c>
      <x:c r="J97" s="17" t="str">
        <x:v>冷藏区</x:v>
      </x:c>
      <x:c r="K97" s="17" t="str">
        <x:v>餐饮直配</x:v>
      </x:c>
    </x:row>
    <x:row r="98">
      <x:c r="A98" s="27" t="n">
        <x:v>46076</x:v>
      </x:c>
      <x:c r="B98" s="17" t="str">
        <x:v>GD-CM-2602-006</x:v>
      </x:c>
      <x:c r="C98" s="17" t="str">
        <x:v>南宁农产品交易中心冷库</x:v>
      </x:c>
      <x:c r="D98" s="17" t="n">
        <x:v>3354.9</x:v>
      </x:c>
      <x:c r="E98" s="17" t="n">
        <x:v>0</x:v>
      </x:c>
      <x:c r="F98" s="17" t="n">
        <x:v>202.8</x:v>
      </x:c>
      <x:c r="G98" s="17" t="n">
        <x:v>46.5</x:v>
      </x:c>
      <x:c r="H98" s="17" t="n">
        <x:v>3105.6</x:v>
      </x:c>
      <x:c r="I98" s="17" t="n">
        <x:v>3</x:v>
      </x:c>
      <x:c r="J98" s="17" t="str">
        <x:v>冷藏区</x:v>
      </x:c>
      <x:c r="K98" s="17" t="str">
        <x:v>批发市场发车</x:v>
      </x:c>
    </x:row>
    <x:row r="99">
      <x:c r="A99" s="27" t="n">
        <x:v>46077</x:v>
      </x:c>
      <x:c r="B99" s="17" t="str">
        <x:v>GD-CM-2602-006</x:v>
      </x:c>
      <x:c r="C99" s="17" t="str">
        <x:v>南宁农产品交易中心冷库</x:v>
      </x:c>
      <x:c r="D99" s="17" t="n">
        <x:v>3105.6</x:v>
      </x:c>
      <x:c r="E99" s="17" t="n">
        <x:v>0</x:v>
      </x:c>
      <x:c r="F99" s="17" t="n">
        <x:v>243.8</x:v>
      </x:c>
      <x:c r="G99" s="17" t="n">
        <x:v>44</x:v>
      </x:c>
      <x:c r="H99" s="17" t="n">
        <x:v>2817.8</x:v>
      </x:c>
      <x:c r="I99" s="17" t="n">
        <x:v>4</x:v>
      </x:c>
      <x:c r="J99" s="17" t="str">
        <x:v>冷藏区</x:v>
      </x:c>
      <x:c r="K99" s="17" t="str">
        <x:v>供港发车</x:v>
      </x:c>
    </x:row>
    <x:row r="100">
      <x:c r="A100" s="27" t="n">
        <x:v>46078</x:v>
      </x:c>
      <x:c r="B100" s="17" t="str">
        <x:v>GD-CM-2602-006</x:v>
      </x:c>
      <x:c r="C100" s="17" t="str">
        <x:v>南宁农产品交易中心冷库</x:v>
      </x:c>
      <x:c r="D100" s="17" t="n">
        <x:v>2817.8</x:v>
      </x:c>
      <x:c r="E100" s="17" t="n">
        <x:v>0</x:v>
      </x:c>
      <x:c r="F100" s="17" t="n">
        <x:v>240.1</x:v>
      </x:c>
      <x:c r="G100" s="17" t="n">
        <x:v>30.3</x:v>
      </x:c>
      <x:c r="H100" s="17" t="n">
        <x:v>2547.4</x:v>
      </x:c>
      <x:c r="I100" s="17" t="n">
        <x:v>5</x:v>
      </x:c>
      <x:c r="J100" s="17" t="str">
        <x:v>冷藏区</x:v>
      </x:c>
      <x:c r="K100" s="17" t="str">
        <x:v>餐饮直配</x:v>
      </x:c>
    </x:row>
    <x:row r="101">
      <x:c r="A101" s="27" t="n">
        <x:v>46079</x:v>
      </x:c>
      <x:c r="B101" s="17" t="str">
        <x:v>GD-CM-2602-006</x:v>
      </x:c>
      <x:c r="C101" s="17" t="str">
        <x:v>南宁农产品交易中心冷库</x:v>
      </x:c>
      <x:c r="D101" s="17" t="n">
        <x:v>2547.4</x:v>
      </x:c>
      <x:c r="E101" s="17" t="n">
        <x:v>0</x:v>
      </x:c>
      <x:c r="F101" s="17" t="n">
        <x:v>198.6</x:v>
      </x:c>
      <x:c r="G101" s="17" t="n">
        <x:v>44.1</x:v>
      </x:c>
      <x:c r="H101" s="17" t="n">
        <x:v>2304.7</x:v>
      </x:c>
      <x:c r="I101" s="17" t="n">
        <x:v>6</x:v>
      </x:c>
      <x:c r="J101" s="17" t="str">
        <x:v>冷藏区</x:v>
      </x:c>
      <x:c r="K101" s="17" t="str">
        <x:v>商超配送</x:v>
      </x:c>
    </x:row>
    <x:row r="102">
      <x:c r="A102" s="27" t="n">
        <x:v>46080</x:v>
      </x:c>
      <x:c r="B102" s="17" t="str">
        <x:v>GD-CM-2602-006</x:v>
      </x:c>
      <x:c r="C102" s="17" t="str">
        <x:v>南宁农产品交易中心冷库</x:v>
      </x:c>
      <x:c r="D102" s="17" t="n">
        <x:v>2304.7</x:v>
      </x:c>
      <x:c r="E102" s="17" t="n">
        <x:v>0</x:v>
      </x:c>
      <x:c r="F102" s="17" t="n">
        <x:v>211.1</x:v>
      </x:c>
      <x:c r="G102" s="17" t="n">
        <x:v>46</x:v>
      </x:c>
      <x:c r="H102" s="17" t="n">
        <x:v>2047.6</x:v>
      </x:c>
      <x:c r="I102" s="17" t="n">
        <x:v>7</x:v>
      </x:c>
      <x:c r="J102" s="17" t="str">
        <x:v>冷藏区</x:v>
      </x:c>
      <x:c r="K102" s="17" t="str">
        <x:v>供港发车</x:v>
      </x:c>
    </x:row>
    <x:row r="103">
      <x:c r="A103" s="27" t="n">
        <x:v>46081</x:v>
      </x:c>
      <x:c r="B103" s="17" t="str">
        <x:v>GD-CM-2602-006</x:v>
      </x:c>
      <x:c r="C103" s="17" t="str">
        <x:v>南宁农产品交易中心冷库</x:v>
      </x:c>
      <x:c r="D103" s="17" t="n">
        <x:v>2047.6</x:v>
      </x:c>
      <x:c r="E103" s="17" t="n">
        <x:v>0</x:v>
      </x:c>
      <x:c r="F103" s="17" t="n">
        <x:v>250.6</x:v>
      </x:c>
      <x:c r="G103" s="17" t="n">
        <x:v>37.7</x:v>
      </x:c>
      <x:c r="H103" s="17" t="n">
        <x:v>1759.3</x:v>
      </x:c>
      <x:c r="I103" s="17" t="n">
        <x:v>8</x:v>
      </x:c>
      <x:c r="J103" s="17" t="str">
        <x:v>冷藏区</x:v>
      </x:c>
      <x:c r="K103" s="17" t="str">
        <x:v>商超配送</x:v>
      </x:c>
    </x:row>
    <x:row r="104">
      <x:c r="A104" s="27" t="n">
        <x:v>46082</x:v>
      </x:c>
      <x:c r="B104" s="17" t="str">
        <x:v>GD-CM-2602-006</x:v>
      </x:c>
      <x:c r="C104" s="17" t="str">
        <x:v>南宁农产品交易中心冷库</x:v>
      </x:c>
      <x:c r="D104" s="17" t="n">
        <x:v>1759.3</x:v>
      </x:c>
      <x:c r="E104" s="17" t="n">
        <x:v>0</x:v>
      </x:c>
      <x:c r="F104" s="17" t="n">
        <x:v>238.3</x:v>
      </x:c>
      <x:c r="G104" s="17" t="n">
        <x:v>42.6</x:v>
      </x:c>
      <x:c r="H104" s="17" t="n">
        <x:v>1478.4</x:v>
      </x:c>
      <x:c r="I104" s="17" t="n">
        <x:v>9</x:v>
      </x:c>
      <x:c r="J104" s="17" t="str">
        <x:v>冷藏区</x:v>
      </x:c>
      <x:c r="K104" s="17" t="str">
        <x:v>供港发车</x:v>
      </x:c>
    </x:row>
    <x:row r="105">
      <x:c r="A105" s="27" t="n">
        <x:v>46083</x:v>
      </x:c>
      <x:c r="B105" s="17" t="str">
        <x:v>GD-CM-2602-006</x:v>
      </x:c>
      <x:c r="C105" s="17" t="str">
        <x:v>南宁农产品交易中心冷库</x:v>
      </x:c>
      <x:c r="D105" s="17" t="n">
        <x:v>1478.4</x:v>
      </x:c>
      <x:c r="E105" s="17" t="n">
        <x:v>0</x:v>
      </x:c>
      <x:c r="F105" s="17" t="n">
        <x:v>278</x:v>
      </x:c>
      <x:c r="G105" s="17" t="n">
        <x:v>29.7</x:v>
      </x:c>
      <x:c r="H105" s="17" t="n">
        <x:v>1170.7</x:v>
      </x:c>
      <x:c r="I105" s="17" t="n">
        <x:v>10</x:v>
      </x:c>
      <x:c r="J105" s="17" t="str">
        <x:v>冷藏区</x:v>
      </x:c>
      <x:c r="K105" s="17" t="str">
        <x:v>餐饮直配</x:v>
      </x:c>
    </x:row>
    <x:row r="106">
      <x:c r="A106" s="27" t="n">
        <x:v>46084</x:v>
      </x:c>
      <x:c r="B106" s="17" t="str">
        <x:v>GD-CM-2602-006</x:v>
      </x:c>
      <x:c r="C106" s="17" t="str">
        <x:v>南宁农产品交易中心冷库</x:v>
      </x:c>
      <x:c r="D106" s="17" t="n">
        <x:v>1170.7</x:v>
      </x:c>
      <x:c r="E106" s="17" t="n">
        <x:v>0</x:v>
      </x:c>
      <x:c r="F106" s="17" t="n">
        <x:v>254.1</x:v>
      </x:c>
      <x:c r="G106" s="17" t="n">
        <x:v>41.8</x:v>
      </x:c>
      <x:c r="H106" s="17" t="n">
        <x:v>874.8</x:v>
      </x:c>
      <x:c r="I106" s="17" t="n">
        <x:v>11</x:v>
      </x:c>
      <x:c r="J106" s="17" t="str">
        <x:v>冷藏区</x:v>
      </x:c>
      <x:c r="K106" s="17" t="str">
        <x:v>电商发货</x:v>
      </x:c>
    </x:row>
    <x:row r="107">
      <x:c r="A107" s="27" t="n">
        <x:v>46085</x:v>
      </x:c>
      <x:c r="B107" s="17" t="str">
        <x:v>GD-CM-2602-006</x:v>
      </x:c>
      <x:c r="C107" s="17" t="str">
        <x:v>南宁农产品交易中心冷库</x:v>
      </x:c>
      <x:c r="D107" s="17" t="n">
        <x:v>874.8</x:v>
      </x:c>
      <x:c r="E107" s="17" t="n">
        <x:v>0</x:v>
      </x:c>
      <x:c r="F107" s="17" t="n">
        <x:v>276.3</x:v>
      </x:c>
      <x:c r="G107" s="17" t="n">
        <x:v>34.6</x:v>
      </x:c>
      <x:c r="H107" s="17" t="n">
        <x:v>563.9</x:v>
      </x:c>
      <x:c r="I107" s="17" t="n">
        <x:v>12</x:v>
      </x:c>
      <x:c r="J107" s="17" t="str">
        <x:v>冷藏区</x:v>
      </x:c>
      <x:c r="K107" s="17" t="str">
        <x:v>商超配送</x:v>
      </x:c>
    </x:row>
    <x:row r="108">
      <x:c r="A108" s="27" t="n">
        <x:v>46086</x:v>
      </x:c>
      <x:c r="B108" s="17" t="str">
        <x:v>GD-CM-2602-006</x:v>
      </x:c>
      <x:c r="C108" s="17" t="str">
        <x:v>南宁农产品交易中心冷库</x:v>
      </x:c>
      <x:c r="D108" s="17" t="n">
        <x:v>563.9</x:v>
      </x:c>
      <x:c r="E108" s="17" t="n">
        <x:v>0</x:v>
      </x:c>
      <x:c r="F108" s="17" t="n">
        <x:v>245.2</x:v>
      </x:c>
      <x:c r="G108" s="17" t="n">
        <x:v>35.2</x:v>
      </x:c>
      <x:c r="H108" s="17" t="n">
        <x:v>283.5</x:v>
      </x:c>
      <x:c r="I108" s="17" t="n">
        <x:v>13</x:v>
      </x:c>
      <x:c r="J108" s="17" t="str">
        <x:v>冷藏区</x:v>
      </x:c>
      <x:c r="K108" s="17" t="str">
        <x:v>电商发货</x:v>
      </x:c>
    </x:row>
    <x:row r="109">
      <x:c r="A109" s="27" t="n">
        <x:v>46087</x:v>
      </x:c>
      <x:c r="B109" s="17" t="str">
        <x:v>GD-CM-2602-006</x:v>
      </x:c>
      <x:c r="C109" s="17" t="str">
        <x:v>南宁农产品交易中心冷库</x:v>
      </x:c>
      <x:c r="D109" s="17" t="n">
        <x:v>283.5</x:v>
      </x:c>
      <x:c r="E109" s="17" t="n">
        <x:v>0</x:v>
      </x:c>
      <x:c r="F109" s="17" t="n">
        <x:v>241.9</x:v>
      </x:c>
      <x:c r="G109" s="17" t="n">
        <x:v>30.9</x:v>
      </x:c>
      <x:c r="H109" s="17" t="n">
        <x:v>10.7</x:v>
      </x:c>
      <x:c r="I109" s="17" t="n">
        <x:v>14</x:v>
      </x:c>
      <x:c r="J109" s="17" t="str">
        <x:v>冷藏区</x:v>
      </x:c>
      <x:c r="K109" s="17" t="str">
        <x:v>商超配送</x:v>
      </x:c>
    </x:row>
    <x:row r="110">
      <x:c r="A110" s="27" t="n">
        <x:v>46088</x:v>
      </x:c>
      <x:c r="B110" s="17" t="str">
        <x:v>GD-CM-2602-006</x:v>
      </x:c>
      <x:c r="C110" s="17" t="str">
        <x:v>南宁农产品交易中心冷库</x:v>
      </x:c>
      <x:c r="D110" s="17" t="n">
        <x:v>10.7</x:v>
      </x:c>
      <x:c r="E110" s="17" t="n">
        <x:v>0</x:v>
      </x:c>
      <x:c r="F110" s="17" t="n">
        <x:v>0</x:v>
      </x:c>
      <x:c r="G110" s="17" t="n">
        <x:v>10.7</x:v>
      </x:c>
      <x:c r="H110" s="17" t="n">
        <x:v>0</x:v>
      </x:c>
      <x:c r="I110" s="17" t="n">
        <x:v>15</x:v>
      </x:c>
      <x:c r="J110" s="17" t="str">
        <x:v>冷藏区</x:v>
      </x:c>
      <x:c r="K110" s="17" t="str">
        <x:v>供港发车</x:v>
      </x:c>
    </x:row>
    <x:row r="112" ht="24" customHeight="1">
      <x:c r="A112" s="26" t="str">
        <x:v>销售流水</x:v>
      </x:c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</x:row>
    <x:row r="113" ht="30" customHeight="1">
      <x:c r="A113" s="13" t="str">
        <x:v>销售单号</x:v>
      </x:c>
      <x:c r="B113" s="13" t="str">
        <x:v>销售日期</x:v>
      </x:c>
      <x:c r="C113" s="13" t="str">
        <x:v>批次号</x:v>
      </x:c>
      <x:c r="D113" s="13" t="str">
        <x:v>渠道</x:v>
      </x:c>
      <x:c r="E113" s="13" t="str">
        <x:v>城市</x:v>
      </x:c>
      <x:c r="F113" s="13" t="str">
        <x:v>销售kg</x:v>
      </x:c>
      <x:c r="G113" s="13" t="str">
        <x:v>平均售价元/kg</x:v>
      </x:c>
      <x:c r="H113" s="13" t="str">
        <x:v>销售收入元</x:v>
      </x:c>
      <x:c r="I113" s="13" t="str">
        <x:v>退货kg</x:v>
      </x:c>
      <x:c r="J113" s="13" t="str">
        <x:v>客诉件数</x:v>
      </x:c>
    </x:row>
    <x:row r="114">
      <x:c r="A114" s="17" t="str">
        <x:v>XS-01-00001</x:v>
      </x:c>
      <x:c r="B114" s="27" t="n">
        <x:v>46032</x:v>
      </x:c>
      <x:c r="C114" s="17" t="str">
        <x:v>GD-CM-2601-001</x:v>
      </x:c>
      <x:c r="D114" s="17" t="str">
        <x:v>批发客户</x:v>
      </x:c>
      <x:c r="E114" s="17" t="str">
        <x:v>广州</x:v>
      </x:c>
      <x:c r="F114" s="17" t="n">
        <x:v>1604.9</x:v>
      </x:c>
      <x:c r="G114" s="17" t="n">
        <x:v>26.68</x:v>
      </x:c>
      <x:c r="H114" s="17" t="n">
        <x:v>42818.73</x:v>
      </x:c>
      <x:c r="I114" s="17" t="n">
        <x:v>4.5</x:v>
      </x:c>
      <x:c r="J114" s="17" t="n">
        <x:v>0</x:v>
      </x:c>
    </x:row>
    <x:row r="115">
      <x:c r="A115" s="17" t="str">
        <x:v>XS-01-00002</x:v>
      </x:c>
      <x:c r="B115" s="27" t="n">
        <x:v>46032</x:v>
      </x:c>
      <x:c r="C115" s="17" t="str">
        <x:v>GD-CM-2601-001</x:v>
      </x:c>
      <x:c r="D115" s="17" t="str">
        <x:v>连锁商超</x:v>
      </x:c>
      <x:c r="E115" s="17" t="str">
        <x:v>柳州</x:v>
      </x:c>
      <x:c r="F115" s="17" t="n">
        <x:v>1754.2</x:v>
      </x:c>
      <x:c r="G115" s="17" t="n">
        <x:v>27.83</x:v>
      </x:c>
      <x:c r="H115" s="17" t="n">
        <x:v>48819.39</x:v>
      </x:c>
      <x:c r="I115" s="17" t="n">
        <x:v>7.6</x:v>
      </x:c>
      <x:c r="J115" s="17" t="n">
        <x:v>0</x:v>
      </x:c>
    </x:row>
    <x:row r="116">
      <x:c r="A116" s="17" t="str">
        <x:v>XS-01-00003</x:v>
      </x:c>
      <x:c r="B116" s="27" t="n">
        <x:v>46037</x:v>
      </x:c>
      <x:c r="C116" s="17" t="str">
        <x:v>GD-CM-2601-001</x:v>
      </x:c>
      <x:c r="D116" s="17" t="str">
        <x:v>连锁商超</x:v>
      </x:c>
      <x:c r="E116" s="17" t="str">
        <x:v>深圳</x:v>
      </x:c>
      <x:c r="F116" s="17" t="n">
        <x:v>1032.5</x:v>
      </x:c>
      <x:c r="G116" s="17" t="n">
        <x:v>25.89</x:v>
      </x:c>
      <x:c r="H116" s="17" t="n">
        <x:v>26731.42</x:v>
      </x:c>
      <x:c r="I116" s="17" t="n">
        <x:v>3.8</x:v>
      </x:c>
      <x:c r="J116" s="17" t="n">
        <x:v>0</x:v>
      </x:c>
    </x:row>
    <x:row r="117">
      <x:c r="A117" s="17" t="str">
        <x:v>XS-01-00004</x:v>
      </x:c>
      <x:c r="B117" s="27" t="n">
        <x:v>46039</x:v>
      </x:c>
      <x:c r="C117" s="17" t="str">
        <x:v>GD-CM-2601-001</x:v>
      </x:c>
      <x:c r="D117" s="17" t="str">
        <x:v>餐饮配送</x:v>
      </x:c>
      <x:c r="E117" s="17" t="str">
        <x:v>湛江</x:v>
      </x:c>
      <x:c r="F117" s="17" t="n">
        <x:v>-316.3</x:v>
      </x:c>
      <x:c r="G117" s="17" t="n">
        <x:v>24</x:v>
      </x:c>
      <x:c r="H117" s="17" t="n">
        <x:v>-7591.2</x:v>
      </x:c>
      <x:c r="I117" s="17" t="n">
        <x:v>-1.6</x:v>
      </x:c>
      <x:c r="J117" s="17" t="n">
        <x:v>1</x:v>
      </x:c>
    </x:row>
    <x:row r="118">
      <x:c r="A118" s="17" t="str">
        <x:v>XS-01-00005</x:v>
      </x:c>
      <x:c r="B118" s="27" t="n">
        <x:v>46040</x:v>
      </x:c>
      <x:c r="C118" s="17" t="str">
        <x:v>GD-CM-2601-002</x:v>
      </x:c>
      <x:c r="D118" s="17" t="str">
        <x:v>企业团购</x:v>
      </x:c>
      <x:c r="E118" s="17" t="str">
        <x:v>柳州</x:v>
      </x:c>
      <x:c r="F118" s="17" t="n">
        <x:v>1254.1</x:v>
      </x:c>
      <x:c r="G118" s="17" t="n">
        <x:v>26.53</x:v>
      </x:c>
      <x:c r="H118" s="17" t="n">
        <x:v>33271.27</x:v>
      </x:c>
      <x:c r="I118" s="17" t="n">
        <x:v>7.2</x:v>
      </x:c>
      <x:c r="J118" s="17" t="n">
        <x:v>0</x:v>
      </x:c>
    </x:row>
    <x:row r="119">
      <x:c r="A119" s="17" t="str">
        <x:v>XS-01-00006</x:v>
      </x:c>
      <x:c r="B119" s="27" t="n">
        <x:v>46043</x:v>
      </x:c>
      <x:c r="C119" s="17" t="str">
        <x:v>GD-CM-2601-002</x:v>
      </x:c>
      <x:c r="D119" s="17" t="str">
        <x:v>供港渠道</x:v>
      </x:c>
      <x:c r="E119" s="17" t="str">
        <x:v>桂林</x:v>
      </x:c>
      <x:c r="F119" s="17" t="n">
        <x:v>1584.6</x:v>
      </x:c>
      <x:c r="G119" s="17" t="n">
        <x:v>25.67</x:v>
      </x:c>
      <x:c r="H119" s="17" t="n">
        <x:v>40676.68</x:v>
      </x:c>
      <x:c r="I119" s="17" t="n">
        <x:v>6</x:v>
      </x:c>
      <x:c r="J119" s="17" t="n">
        <x:v>0</x:v>
      </x:c>
    </x:row>
    <x:row r="120">
      <x:c r="A120" s="17" t="str">
        <x:v>XS-01-00007</x:v>
      </x:c>
      <x:c r="B120" s="27" t="n">
        <x:v>46040</x:v>
      </x:c>
      <x:c r="C120" s="17" t="str">
        <x:v>GD-CM-2601-002</x:v>
      </x:c>
      <x:c r="D120" s="17" t="str">
        <x:v>供港渠道</x:v>
      </x:c>
      <x:c r="E120" s="17" t="str">
        <x:v>桂林</x:v>
      </x:c>
      <x:c r="F120" s="17" t="n">
        <x:v>1171.5</x:v>
      </x:c>
      <x:c r="G120" s="17" t="n">
        <x:v>25.51</x:v>
      </x:c>
      <x:c r="H120" s="17" t="n">
        <x:v>29884.97</x:v>
      </x:c>
      <x:c r="I120" s="17" t="n">
        <x:v>5.1</x:v>
      </x:c>
      <x:c r="J120" s="17" t="n">
        <x:v>1</x:v>
      </x:c>
    </x:row>
    <x:row r="121">
      <x:c r="A121" s="17" t="str">
        <x:v>XS-01-00008</x:v>
      </x:c>
      <x:c r="B121" s="27" t="n">
        <x:v>46050</x:v>
      </x:c>
      <x:c r="C121" s="17" t="str">
        <x:v>GD-CM-2601-003</x:v>
      </x:c>
      <x:c r="D121" s="17" t="str">
        <x:v>社区电商</x:v>
      </x:c>
      <x:c r="E121" s="17" t="str">
        <x:v>佛山</x:v>
      </x:c>
      <x:c r="F121" s="17" t="n">
        <x:v>1194.8</x:v>
      </x:c>
      <x:c r="G121" s="17" t="n">
        <x:v>26.21</x:v>
      </x:c>
      <x:c r="H121" s="17" t="n">
        <x:v>31315.71</x:v>
      </x:c>
      <x:c r="I121" s="17" t="n">
        <x:v>5.6</x:v>
      </x:c>
      <x:c r="J121" s="17" t="n">
        <x:v>0</x:v>
      </x:c>
    </x:row>
    <x:row r="122">
      <x:c r="A122" s="17" t="str">
        <x:v>XS-01-00009</x:v>
      </x:c>
      <x:c r="B122" s="27" t="n">
        <x:v>46049</x:v>
      </x:c>
      <x:c r="C122" s="17" t="str">
        <x:v>GD-CM-2601-003</x:v>
      </x:c>
      <x:c r="D122" s="17" t="str">
        <x:v>供港渠道</x:v>
      </x:c>
      <x:c r="E122" s="17" t="str">
        <x:v>东莞</x:v>
      </x:c>
      <x:c r="F122" s="17" t="n">
        <x:v>1563.8</x:v>
      </x:c>
      <x:c r="G122" s="17" t="n">
        <x:v>26.12</x:v>
      </x:c>
      <x:c r="H122" s="17" t="n">
        <x:v>40846.46</x:v>
      </x:c>
      <x:c r="I122" s="17" t="n">
        <x:v>0.1</x:v>
      </x:c>
      <x:c r="J122" s="17" t="n">
        <x:v>1</x:v>
      </x:c>
    </x:row>
    <x:row r="123">
      <x:c r="A123" s="17" t="str">
        <x:v>XS-01-00010</x:v>
      </x:c>
      <x:c r="B123" s="27" t="n">
        <x:v>46047</x:v>
      </x:c>
      <x:c r="C123" s="17" t="str">
        <x:v>GD-CM-2601-003</x:v>
      </x:c>
      <x:c r="D123" s="17" t="str">
        <x:v>批发客户</x:v>
      </x:c>
      <x:c r="E123" s="17" t="str">
        <x:v>玉林</x:v>
      </x:c>
      <x:c r="F123" s="17" t="n">
        <x:v>1379.6</x:v>
      </x:c>
      <x:c r="G123" s="17" t="n">
        <x:v>27.85</x:v>
      </x:c>
      <x:c r="H123" s="17" t="n">
        <x:v>38421.86</x:v>
      </x:c>
      <x:c r="I123" s="17" t="n">
        <x:v>10</x:v>
      </x:c>
      <x:c r="J123" s="17" t="n">
        <x:v>0</x:v>
      </x:c>
    </x:row>
    <x:row r="124">
      <x:c r="A124" s="17" t="str">
        <x:v>XS-01-00011</x:v>
      </x:c>
      <x:c r="B124" s="27" t="n">
        <x:v>46047</x:v>
      </x:c>
      <x:c r="C124" s="17" t="str">
        <x:v>GD-CM-2601-003</x:v>
      </x:c>
      <x:c r="D124" s="17" t="str">
        <x:v>批发客户</x:v>
      </x:c>
      <x:c r="E124" s="17" t="str">
        <x:v>东莞</x:v>
      </x:c>
      <x:c r="F124" s="17" t="n">
        <x:v>55.9</x:v>
      </x:c>
      <x:c r="G124" s="17" t="n">
        <x:v>24.22</x:v>
      </x:c>
      <x:c r="H124" s="17" t="n">
        <x:v>1353.9</x:v>
      </x:c>
      <x:c r="I124" s="17" t="n">
        <x:v>0.1</x:v>
      </x:c>
      <x:c r="J124" s="17" t="n">
        <x:v>0</x:v>
      </x:c>
    </x:row>
    <x:row r="125">
      <x:c r="A125" s="17" t="str">
        <x:v>XS-01-00012</x:v>
      </x:c>
      <x:c r="B125" s="27" t="n">
        <x:v>46059</x:v>
      </x:c>
      <x:c r="C125" s="17" t="str">
        <x:v>GD-CM-2602-004</x:v>
      </x:c>
      <x:c r="D125" s="17" t="str">
        <x:v>连锁商超</x:v>
      </x:c>
      <x:c r="E125" s="17" t="str">
        <x:v>珠海</x:v>
      </x:c>
      <x:c r="F125" s="17" t="n">
        <x:v>1017.3</x:v>
      </x:c>
      <x:c r="G125" s="17" t="n">
        <x:v>27.29</x:v>
      </x:c>
      <x:c r="H125" s="17" t="n">
        <x:v>27762.12</x:v>
      </x:c>
      <x:c r="I125" s="17" t="n">
        <x:v>8</x:v>
      </x:c>
      <x:c r="J125" s="17" t="n">
        <x:v>0</x:v>
      </x:c>
    </x:row>
    <x:row r="126">
      <x:c r="A126" s="17" t="str">
        <x:v>XS-01-00013</x:v>
      </x:c>
      <x:c r="B126" s="27" t="n">
        <x:v>46055</x:v>
      </x:c>
      <x:c r="C126" s="17" t="str">
        <x:v>GD-CM-2602-004</x:v>
      </x:c>
      <x:c r="D126" s="17" t="str">
        <x:v>供港渠道</x:v>
      </x:c>
      <x:c r="E126" s="17" t="str">
        <x:v>东莞</x:v>
      </x:c>
      <x:c r="F126" s="17" t="n">
        <x:v>2623.3</x:v>
      </x:c>
      <x:c r="G126" s="17" t="n">
        <x:v>26.98</x:v>
      </x:c>
      <x:c r="H126" s="17" t="n">
        <x:v>70776.63</x:v>
      </x:c>
      <x:c r="I126" s="17" t="n">
        <x:v>10.5</x:v>
      </x:c>
      <x:c r="J126" s="17" t="n">
        <x:v>1</x:v>
      </x:c>
    </x:row>
    <x:row r="127">
      <x:c r="A127" s="17" t="str">
        <x:v>XS-01-00014</x:v>
      </x:c>
      <x:c r="B127" s="27" t="n">
        <x:v>46071</x:v>
      </x:c>
      <x:c r="C127" s="17" t="str">
        <x:v>GD-CM-2602-005</x:v>
      </x:c>
      <x:c r="D127" s="17" t="str">
        <x:v>企业团购</x:v>
      </x:c>
      <x:c r="E127" s="17" t="str">
        <x:v>湛江</x:v>
      </x:c>
      <x:c r="F127" s="17" t="n">
        <x:v>1636.8</x:v>
      </x:c>
      <x:c r="G127" s="17" t="n">
        <x:v>24.55</x:v>
      </x:c>
      <x:c r="H127" s="17" t="n">
        <x:v>40183.44</x:v>
      </x:c>
      <x:c r="I127" s="17" t="n">
        <x:v>6</x:v>
      </x:c>
      <x:c r="J127" s="17" t="n">
        <x:v>0</x:v>
      </x:c>
    </x:row>
    <x:row r="128">
      <x:c r="A128" s="17" t="str">
        <x:v>XS-01-00015</x:v>
      </x:c>
      <x:c r="B128" s="27" t="n">
        <x:v>46067</x:v>
      </x:c>
      <x:c r="C128" s="17" t="str">
        <x:v>GD-CM-2602-005</x:v>
      </x:c>
      <x:c r="D128" s="17" t="str">
        <x:v>批发客户</x:v>
      </x:c>
      <x:c r="E128" s="17" t="str">
        <x:v>柳州</x:v>
      </x:c>
      <x:c r="F128" s="17" t="n">
        <x:v>1346.2</x:v>
      </x:c>
      <x:c r="G128" s="17" t="n">
        <x:v>24.41</x:v>
      </x:c>
      <x:c r="H128" s="17" t="n">
        <x:v>32860.74</x:v>
      </x:c>
      <x:c r="I128" s="17" t="n">
        <x:v>2.9</x:v>
      </x:c>
      <x:c r="J128" s="17" t="n">
        <x:v>0</x:v>
      </x:c>
    </x:row>
    <x:row r="129">
      <x:c r="A129" s="17" t="str">
        <x:v>XS-01-00016</x:v>
      </x:c>
      <x:c r="B129" s="27" t="n">
        <x:v>46066</x:v>
      </x:c>
      <x:c r="C129" s="17" t="str">
        <x:v>GD-CM-2602-005</x:v>
      </x:c>
      <x:c r="D129" s="17" t="str">
        <x:v>批发客户</x:v>
      </x:c>
      <x:c r="E129" s="17" t="str">
        <x:v>佛山</x:v>
      </x:c>
      <x:c r="F129" s="17" t="n">
        <x:v>909.6</x:v>
      </x:c>
      <x:c r="G129" s="17" t="n">
        <x:v>27.35</x:v>
      </x:c>
      <x:c r="H129" s="17" t="n">
        <x:v>24877.56</x:v>
      </x:c>
      <x:c r="I129" s="17" t="n">
        <x:v>6</x:v>
      </x:c>
      <x:c r="J129" s="17" t="n">
        <x:v>1</x:v>
      </x:c>
    </x:row>
    <x:row r="130">
      <x:c r="A130" s="17" t="str">
        <x:v>XS-01-00017</x:v>
      </x:c>
      <x:c r="B130" s="27" t="n">
        <x:v>46065</x:v>
      </x:c>
      <x:c r="C130" s="17" t="str">
        <x:v>GD-CM-2602-005</x:v>
      </x:c>
      <x:c r="D130" s="17" t="str">
        <x:v>连锁商超</x:v>
      </x:c>
      <x:c r="E130" s="17" t="str">
        <x:v>桂林</x:v>
      </x:c>
      <x:c r="F130" s="17" t="n">
        <x:v>163.3</x:v>
      </x:c>
      <x:c r="G130" s="17" t="n">
        <x:v>26.19</x:v>
      </x:c>
      <x:c r="H130" s="17" t="n">
        <x:v>4276.83</x:v>
      </x:c>
      <x:c r="I130" s="17" t="n">
        <x:v>1</x:v>
      </x:c>
      <x:c r="J130" s="17" t="n">
        <x:v>0</x:v>
      </x:c>
    </x:row>
    <x:row r="131">
      <x:c r="A131" s="17" t="str">
        <x:v>XS-01-00018</x:v>
      </x:c>
      <x:c r="B131" s="27" t="n">
        <x:v>46079</x:v>
      </x:c>
      <x:c r="C131" s="17" t="str">
        <x:v>GD-CM-2602-006</x:v>
      </x:c>
      <x:c r="D131" s="17" t="str">
        <x:v>连锁商超</x:v>
      </x:c>
      <x:c r="E131" s="17" t="str">
        <x:v>湛江</x:v>
      </x:c>
      <x:c r="F131" s="17" t="n">
        <x:v>893.5</x:v>
      </x:c>
      <x:c r="G131" s="17" t="n">
        <x:v>26.82</x:v>
      </x:c>
      <x:c r="H131" s="17" t="n">
        <x:v>23963.67</x:v>
      </x:c>
      <x:c r="I131" s="17" t="n">
        <x:v>4.8</x:v>
      </x:c>
      <x:c r="J131" s="17" t="n">
        <x:v>1</x:v>
      </x:c>
    </x:row>
    <x:row r="132">
      <x:c r="A132" s="17" t="str">
        <x:v>XS-01-00019</x:v>
      </x:c>
      <x:c r="B132" s="27" t="n">
        <x:v>46075</x:v>
      </x:c>
      <x:c r="C132" s="17" t="str">
        <x:v>GD-CM-2602-006</x:v>
      </x:c>
      <x:c r="D132" s="17" t="str">
        <x:v>社区电商</x:v>
      </x:c>
      <x:c r="E132" s="17" t="str">
        <x:v>桂林</x:v>
      </x:c>
      <x:c r="F132" s="17" t="n">
        <x:v>1657.1</x:v>
      </x:c>
      <x:c r="G132" s="17" t="n">
        <x:v>27.4</x:v>
      </x:c>
      <x:c r="H132" s="17" t="n">
        <x:v>45404.54</x:v>
      </x:c>
      <x:c r="I132" s="17" t="n">
        <x:v>0.2</x:v>
      </x:c>
      <x:c r="J132" s="17" t="n">
        <x:v>1</x:v>
      </x:c>
    </x:row>
    <x:row r="133">
      <x:c r="A133" s="17" t="str">
        <x:v>XS-01-00020</x:v>
      </x:c>
      <x:c r="B133" s="27" t="n">
        <x:v>46081</x:v>
      </x:c>
      <x:c r="C133" s="17" t="str">
        <x:v>GD-CM-2602-006</x:v>
      </x:c>
      <x:c r="D133" s="17" t="str">
        <x:v>企业团购</x:v>
      </x:c>
      <x:c r="E133" s="17" t="str">
        <x:v>深圳</x:v>
      </x:c>
      <x:c r="F133" s="17" t="n">
        <x:v>1423.7</x:v>
      </x:c>
      <x:c r="G133" s="17" t="n">
        <x:v>25.49</x:v>
      </x:c>
      <x:c r="H133" s="17" t="n">
        <x:v>36290.11</x:v>
      </x:c>
      <x:c r="I133" s="17" t="n">
        <x:v>9.5</x:v>
      </x:c>
      <x:c r="J133" s="17" t="n">
        <x:v>0</x:v>
      </x:c>
    </x:row>
    <x:row r="134">
      <x:c r="A134" s="17" t="str">
        <x:v>XS-01-00021</x:v>
      </x:c>
      <x:c r="B134" s="27" t="n">
        <x:v>46085</x:v>
      </x:c>
      <x:c r="C134" s="17" t="str">
        <x:v>GD-CM-2602-006</x:v>
      </x:c>
      <x:c r="D134" s="17" t="str">
        <x:v>连锁商超</x:v>
      </x:c>
      <x:c r="E134" s="17" t="str">
        <x:v>深圳</x:v>
      </x:c>
      <x:c r="F134" s="17" t="n">
        <x:v>-33.7</x:v>
      </x:c>
      <x:c r="G134" s="17" t="n">
        <x:v>24.62</x:v>
      </x:c>
      <x:c r="H134" s="17" t="n">
        <x:v>-829.69</x:v>
      </x:c>
      <x:c r="I134" s="17" t="n">
        <x:v>-0.1</x:v>
      </x:c>
      <x:c r="J134" s="17" t="n">
        <x:v>0</x:v>
      </x:c>
    </x:row>
  </x:sheetData>
  <x:mergeCells>
    <x:mergeCell ref="A1:M1"/>
    <x:mergeCell ref="A2:M2"/>
    <x:mergeCell ref="A4:M4"/>
    <x:mergeCell ref="A13:M13"/>
    <x:mergeCell ref="A112:M1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38" hidden="0" customWidth="1"/>
    <x:col min="6" max="6" width="24" hidden="0" customWidth="1"/>
  </x:cols>
  <x:sheetData>
    <x:row r="1" ht="30" customHeight="1">
      <x:c r="A1" s="3" t="str">
        <x:v>经营基线复核</x:v>
      </x:c>
      <x:c r="B1" s="3"/>
      <x:c r="C1" s="3"/>
      <x:c r="D1" s="3"/>
      <x:c r="E1" s="3"/>
      <x:c r="F1" s="3"/>
    </x:row>
    <x:row r="2" ht="34" customHeight="1">
      <x:c r="A2" s="7" t="str">
        <x:v>基础指标由批次、库存和销售台账汇总，并列示对账差异。</x:v>
      </x:c>
      <x:c r="B2" s="7"/>
      <x:c r="C2" s="7"/>
      <x:c r="D2" s="7"/>
      <x:c r="E2" s="7"/>
      <x:c r="F2" s="7"/>
    </x:row>
    <x:row r="4" ht="30" customHeight="1">
      <x:c r="A4" s="13" t="str">
        <x:v>指标ID</x:v>
      </x:c>
      <x:c r="B4" s="13" t="str">
        <x:v>指标</x:v>
      </x:c>
      <x:c r="C4" s="13" t="str">
        <x:v>数值</x:v>
      </x:c>
      <x:c r="D4" s="13" t="str">
        <x:v>单位</x:v>
      </x:c>
      <x:c r="E4" s="13" t="str">
        <x:v>公式口径</x:v>
      </x:c>
      <x:c r="F4" s="13" t="str">
        <x:v>状态/来源</x:v>
      </x:c>
    </x:row>
    <x:row r="5">
      <x:c r="A5" s="17" t="str">
        <x:v>B01</x:v>
      </x:c>
      <x:c r="B5" s="17" t="str">
        <x:v>处理批次数</x:v>
      </x:c>
      <x:c r="C5" s="29" t="n">
        <x:f>COUNTA('经营数据导入'!A6:A11)</x:f>
        <x:v>6</x:v>
      </x:c>
      <x:c r="D5" s="17" t="str">
        <x:v>批</x:v>
      </x:c>
      <x:c r="E5" s="17" t="str">
        <x:v>COUNTA(批次号)</x:v>
      </x:c>
      <x:c r="F5" s="17" t="str">
        <x:v>经营数据导入</x:v>
      </x:c>
    </x:row>
    <x:row r="6">
      <x:c r="A6" s="17" t="str">
        <x:v>B02</x:v>
      </x:c>
      <x:c r="B6" s="17" t="str">
        <x:v>到货量</x:v>
      </x:c>
      <x:c r="C6" s="29" t="n">
        <x:f>SUM('经营数据导入'!G6:G11)</x:f>
        <x:v>27178</x:v>
      </x:c>
      <x:c r="D6" s="17" t="str">
        <x:v>kg</x:v>
      </x:c>
      <x:c r="E6" s="17" t="str">
        <x:v>SUM(到货量)</x:v>
      </x:c>
      <x:c r="F6" s="17" t="str">
        <x:v>经营数据导入</x:v>
      </x:c>
    </x:row>
    <x:row r="7">
      <x:c r="A7" s="17" t="str">
        <x:v>B03</x:v>
      </x:c>
      <x:c r="B7" s="17" t="str">
        <x:v>采购金额</x:v>
      </x:c>
      <x:c r="C7" s="29" t="n">
        <x:f>SUM('经营数据导入'!I6:I11)</x:f>
        <x:v>508499</x:v>
      </x:c>
      <x:c r="D7" s="17" t="str">
        <x:v>元</x:v>
      </x:c>
      <x:c r="E7" s="17" t="str">
        <x:v>SUM(采购金额)</x:v>
      </x:c>
      <x:c r="F7" s="17" t="str">
        <x:v>经营数据导入</x:v>
      </x:c>
    </x:row>
    <x:row r="8">
      <x:c r="A8" s="17" t="str">
        <x:v>B04</x:v>
      </x:c>
      <x:c r="B8" s="17" t="str">
        <x:v>加权采购单价</x:v>
      </x:c>
      <x:c r="C8" s="29" t="n">
        <x:f>C7/C6</x:f>
        <x:v>18.709949223636766</x:v>
      </x:c>
      <x:c r="D8" s="17" t="str">
        <x:v>元/kg</x:v>
      </x:c>
      <x:c r="E8" s="17" t="str">
        <x:v>采购金额/到货量</x:v>
      </x:c>
      <x:c r="F8" s="17" t="str">
        <x:v>经营数据导入</x:v>
      </x:c>
    </x:row>
    <x:row r="9">
      <x:c r="A9" s="17" t="str">
        <x:v>B05</x:v>
      </x:c>
      <x:c r="B9" s="17" t="str">
        <x:v>库存出库量</x:v>
      </x:c>
      <x:c r="C9" s="29" t="n">
        <x:f>SUM('经营数据导入'!F15:F110)</x:f>
        <x:v>23931.899999999998</x:v>
      </x:c>
      <x:c r="D9" s="17" t="str">
        <x:v>kg</x:v>
      </x:c>
      <x:c r="E9" s="17" t="str">
        <x:v>SUM(出库kg)</x:v>
      </x:c>
      <x:c r="F9" s="17" t="str">
        <x:v>经营数据导入</x:v>
      </x:c>
    </x:row>
    <x:row r="10">
      <x:c r="A10" s="17" t="str">
        <x:v>B06</x:v>
      </x:c>
      <x:c r="B10" s="17" t="str">
        <x:v>库存报损量</x:v>
      </x:c>
      <x:c r="C10" s="29" t="n">
        <x:f>SUM('经营数据导入'!G15:G110)</x:f>
        <x:v>3246.099999999998</x:v>
      </x:c>
      <x:c r="D10" s="17" t="str">
        <x:v>kg</x:v>
      </x:c>
      <x:c r="E10" s="17" t="str">
        <x:v>SUM(报损kg)</x:v>
      </x:c>
      <x:c r="F10" s="17" t="str">
        <x:v>经营数据导入</x:v>
      </x:c>
    </x:row>
    <x:row r="11">
      <x:c r="A11" s="17" t="str">
        <x:v>B07</x:v>
      </x:c>
      <x:c r="B11" s="17" t="str">
        <x:v>库存报损率</x:v>
      </x:c>
      <x:c r="C11" s="19" t="n">
        <x:f>C10/C6</x:f>
        <x:v>0.11943851644712628</x:v>
      </x:c>
      <x:c r="D11" s="17" t="str">
        <x:v>%</x:v>
      </x:c>
      <x:c r="E11" s="17" t="str">
        <x:v>报损量/到货量</x:v>
      </x:c>
      <x:c r="F11" s="17" t="str">
        <x:v>经营数据导入</x:v>
      </x:c>
    </x:row>
    <x:row r="12">
      <x:c r="A12" s="17" t="str">
        <x:v>B08</x:v>
      </x:c>
      <x:c r="B12" s="17" t="str">
        <x:v>销售净量</x:v>
      </x:c>
      <x:c r="C12" s="29" t="n">
        <x:f>SUM('经营数据导入'!F114:F134)</x:f>
        <x:v>23916.699999999993</x:v>
      </x:c>
      <x:c r="D12" s="17" t="str">
        <x:v>kg</x:v>
      </x:c>
      <x:c r="E12" s="17" t="str">
        <x:v>SUM(销售kg)</x:v>
      </x:c>
      <x:c r="F12" s="17" t="str">
        <x:v>经营数据导入</x:v>
      </x:c>
    </x:row>
    <x:row r="13">
      <x:c r="A13" s="17" t="str">
        <x:v>B09</x:v>
      </x:c>
      <x:c r="B13" s="17" t="str">
        <x:v>销售净收入</x:v>
      </x:c>
      <x:c r="C13" s="29" t="n">
        <x:f>SUM('经营数据导入'!H114:H134)</x:f>
        <x:v>632115.1400000001</x:v>
      </x:c>
      <x:c r="D13" s="17" t="str">
        <x:v>元</x:v>
      </x:c>
      <x:c r="E13" s="17" t="str">
        <x:v>SUM(销售收入)</x:v>
      </x:c>
      <x:c r="F13" s="17" t="str">
        <x:v>经营数据导入</x:v>
      </x:c>
    </x:row>
    <x:row r="14">
      <x:c r="A14" s="17" t="str">
        <x:v>B10</x:v>
      </x:c>
      <x:c r="B14" s="17" t="str">
        <x:v>加权平均售价</x:v>
      </x:c>
      <x:c r="C14" s="29" t="n">
        <x:f>C13/C12</x:f>
        <x:v>26.429864487993758</x:v>
      </x:c>
      <x:c r="D14" s="17" t="str">
        <x:v>元/kg</x:v>
      </x:c>
      <x:c r="E14" s="17" t="str">
        <x:v>销售收入/销售净量</x:v>
      </x:c>
      <x:c r="F14" s="17" t="str">
        <x:v>经营数据导入</x:v>
      </x:c>
    </x:row>
    <x:row r="15">
      <x:c r="A15" s="17" t="str">
        <x:v>B11</x:v>
      </x:c>
      <x:c r="B15" s="17" t="str">
        <x:v>库存出库-销售净量差</x:v>
      </x:c>
      <x:c r="C15" s="29" t="n">
        <x:f>C9-C12</x:f>
        <x:v>15.200000000004366</x:v>
      </x:c>
      <x:c r="D15" s="17" t="str">
        <x:v>kg</x:v>
      </x:c>
      <x:c r="E15" s="17" t="str">
        <x:v>库存出库量-销售净量</x:v>
      </x:c>
      <x:c r="F15" s="17" t="str">
        <x:v>需解释</x:v>
      </x:c>
    </x:row>
    <x:row r="16">
      <x:c r="A16" s="17" t="str">
        <x:v>B12</x:v>
      </x:c>
      <x:c r="B16" s="17" t="str">
        <x:v>负向销售记录数</x:v>
      </x:c>
      <x:c r="C16" s="29" t="n">
        <x:f>COUNTIF('经营数据导入'!F114:F134,"&lt;0")</x:f>
        <x:v>2</x:v>
      </x:c>
      <x:c r="D16" s="17" t="str">
        <x:v>条</x:v>
      </x:c>
      <x:c r="E16" s="17" t="str">
        <x:v>COUNTIF(销售kg,&lt;0)</x:v>
      </x:c>
      <x:c r="F16" s="17" t="str">
        <x:v>需解释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38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经营测算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基准损耗率、单位技术成本、能耗、维修和折旧按立项预算口径管理。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指标ID</x:v>
      </x:c>
      <x:c r="B4" s="13" t="str">
        <x:v>项目</x:v>
      </x:c>
      <x:c r="C4" s="13" t="str">
        <x:v>数值</x:v>
      </x:c>
      <x:c r="D4" s="13" t="str">
        <x:v>单位</x:v>
      </x:c>
      <x:c r="E4" s="13" t="str">
        <x:v>来源/公式</x:v>
      </x:c>
      <x:c r="F4" s="13" t="str">
        <x:v>属性</x:v>
      </x:c>
      <x:c r="G4" s="13" t="str">
        <x:v>低值</x:v>
      </x:c>
      <x:c r="H4" s="13" t="str">
        <x:v>高值</x:v>
      </x:c>
    </x:row>
    <x:row r="5">
      <x:c r="A5" s="17" t="str">
        <x:v>S01</x:v>
      </x:c>
      <x:c r="B5" s="17" t="str">
        <x:v>评估处理量</x:v>
      </x:c>
      <x:c r="C5" s="30" t="n">
        <x:f>'经营复核'!C6</x:f>
        <x:v>27178</x:v>
      </x:c>
      <x:c r="D5" s="17" t="str">
        <x:v>kg</x:v>
      </x:c>
      <x:c r="E5" s="17" t="str">
        <x:v>经营复核B02</x:v>
      </x:c>
      <x:c r="F5" s="17" t="str">
        <x:v>输入事实</x:v>
      </x:c>
      <x:c r="G5" s="17" t="str">
        <x:v>-</x:v>
      </x:c>
      <x:c r="H5" s="17" t="str">
        <x:v>-</x:v>
      </x:c>
    </x:row>
    <x:row r="6">
      <x:c r="A6" s="17" t="str">
        <x:v>S02</x:v>
      </x:c>
      <x:c r="B6" s="17" t="str">
        <x:v>技术后库存报损率</x:v>
      </x:c>
      <x:c r="C6" s="19" t="n">
        <x:f>'经营复核'!C11</x:f>
        <x:v>0.11943851644712628</x:v>
      </x:c>
      <x:c r="D6" s="17" t="str">
        <x:v>%</x:v>
      </x:c>
      <x:c r="E6" s="17" t="str">
        <x:v>经营复核B07</x:v>
      </x:c>
      <x:c r="F6" s="17" t="str">
        <x:v>经营基线</x:v>
      </x:c>
      <x:c r="G6" s="17" t="str">
        <x:v>-</x:v>
      </x:c>
      <x:c r="H6" s="17" t="str">
        <x:v>-</x:v>
      </x:c>
    </x:row>
    <x:row r="7">
      <x:c r="A7" s="17" t="str">
        <x:v>S03</x:v>
      </x:c>
      <x:c r="B7" s="17" t="str">
        <x:v>基准模式损耗率</x:v>
      </x:c>
      <x:c r="C7" s="31" t="n">
        <x:v>0.25</x:v>
      </x:c>
      <x:c r="D7" s="17" t="str">
        <x:v>%</x:v>
      </x:c>
      <x:c r="E7" s="17" t="str">
        <x:v>立项预算参数</x:v>
      </x:c>
      <x:c r="F7" s="17" t="str">
        <x:v>待G5确认</x:v>
      </x:c>
      <x:c r="G7" s="17" t="n">
        <x:v>0.18</x:v>
      </x:c>
      <x:c r="H7" s="17" t="n">
        <x:v>0.32</x:v>
      </x:c>
    </x:row>
    <x:row r="8">
      <x:c r="A8" s="17" t="str">
        <x:v>S04</x:v>
      </x:c>
      <x:c r="B8" s="17" t="str">
        <x:v>加权平均售价</x:v>
      </x:c>
      <x:c r="C8" s="32" t="n">
        <x:f>'经营复核'!C14</x:f>
        <x:v>26.429864487993758</x:v>
      </x:c>
      <x:c r="D8" s="17" t="str">
        <x:v>元/kg</x:v>
      </x:c>
      <x:c r="E8" s="17" t="str">
        <x:v>经营复核B10</x:v>
      </x:c>
      <x:c r="F8" s="17" t="str">
        <x:v>经营基线</x:v>
      </x:c>
      <x:c r="G8" s="17" t="str">
        <x:v>-</x:v>
      </x:c>
      <x:c r="H8" s="17" t="str">
        <x:v>-</x:v>
      </x:c>
    </x:row>
    <x:row r="9">
      <x:c r="A9" s="17" t="str">
        <x:v>S05</x:v>
      </x:c>
      <x:c r="B9" s="17" t="str">
        <x:v>单位技术成本</x:v>
      </x:c>
      <x:c r="C9" s="32" t="n">
        <x:v>0.35</x:v>
      </x:c>
      <x:c r="D9" s="17" t="str">
        <x:v>元/kg</x:v>
      </x:c>
      <x:c r="E9" s="17" t="str">
        <x:v>处理批次字段</x:v>
      </x:c>
      <x:c r="F9" s="17" t="str">
        <x:v>待供应商报价</x:v>
      </x:c>
      <x:c r="G9" s="17" t="n">
        <x:v>0.2</x:v>
      </x:c>
      <x:c r="H9" s="17" t="n">
        <x:v>0.5</x:v>
      </x:c>
    </x:row>
    <x:row r="10">
      <x:c r="A10" s="17" t="str">
        <x:v>S06</x:v>
      </x:c>
      <x:c r="B10" s="17" t="str">
        <x:v>减损量</x:v>
      </x:c>
      <x:c r="C10" s="30" t="n">
        <x:f>MAX(0,C5*(C7-C6))</x:f>
        <x:v>3548.400000000002</x:v>
      </x:c>
      <x:c r="D10" s="17" t="str">
        <x:v>kg</x:v>
      </x:c>
      <x:c r="E10" s="17" t="str">
        <x:v>处理量×损耗率差</x:v>
      </x:c>
      <x:c r="F10" s="17" t="str">
        <x:v>公式</x:v>
      </x:c>
      <x:c r="G10" s="17" t="str">
        <x:v>-</x:v>
      </x:c>
      <x:c r="H10" s="17" t="str">
        <x:v>-</x:v>
      </x:c>
    </x:row>
    <x:row r="11">
      <x:c r="A11" s="17" t="str">
        <x:v>S07</x:v>
      </x:c>
      <x:c r="B11" s="17" t="str">
        <x:v>减损挽回收益</x:v>
      </x:c>
      <x:c r="C11" s="30" t="n">
        <x:f>C10*C8</x:f>
        <x:v>93783.7311491971</x:v>
      </x:c>
      <x:c r="D11" s="17" t="str">
        <x:v>元</x:v>
      </x:c>
      <x:c r="E11" s="17" t="str">
        <x:v>减损量×加权售价</x:v>
      </x:c>
      <x:c r="F11" s="17" t="str">
        <x:v>公式</x:v>
      </x:c>
      <x:c r="G11" s="17" t="str">
        <x:v>-</x:v>
      </x:c>
      <x:c r="H11" s="17" t="str">
        <x:v>-</x:v>
      </x:c>
    </x:row>
    <x:row r="12">
      <x:c r="A12" s="17" t="str">
        <x:v>S08</x:v>
      </x:c>
      <x:c r="B12" s="17" t="str">
        <x:v>技术应用成本</x:v>
      </x:c>
      <x:c r="C12" s="30" t="n">
        <x:f>C5*C9</x:f>
        <x:v>9512.3</x:v>
      </x:c>
      <x:c r="D12" s="17" t="str">
        <x:v>元</x:v>
      </x:c>
      <x:c r="E12" s="17" t="str">
        <x:v>处理量×单位技术成本</x:v>
      </x:c>
      <x:c r="F12" s="17" t="str">
        <x:v>公式</x:v>
      </x:c>
      <x:c r="G12" s="17" t="str">
        <x:v>-</x:v>
      </x:c>
      <x:c r="H12" s="17" t="str">
        <x:v>-</x:v>
      </x:c>
    </x:row>
    <x:row r="13">
      <x:c r="A13" s="17" t="str">
        <x:v>S09</x:v>
      </x:c>
      <x:c r="B13" s="17" t="str">
        <x:v>净收益</x:v>
      </x:c>
      <x:c r="C13" s="30" t="n">
        <x:f>C11-C12</x:f>
        <x:v>84271.4311491971</x:v>
      </x:c>
      <x:c r="D13" s="17" t="str">
        <x:v>元</x:v>
      </x:c>
      <x:c r="E13" s="17" t="str">
        <x:v>减损收益-技术成本</x:v>
      </x:c>
      <x:c r="F13" s="17" t="str">
        <x:v>公式</x:v>
      </x:c>
      <x:c r="G13" s="17" t="str">
        <x:v>-</x:v>
      </x:c>
      <x:c r="H13" s="17" t="str">
        <x:v>-</x:v>
      </x:c>
    </x:row>
    <x:row r="14">
      <x:c r="A14" s="17" t="str">
        <x:v>S10</x:v>
      </x:c>
      <x:c r="B14" s="17" t="str">
        <x:v>收益成本比</x:v>
      </x:c>
      <x:c r="C14" s="30" t="n">
        <x:f>IF(C12=0,"",C11/C12)</x:f>
        <x:v>9.859206621868225</x:v>
      </x:c>
      <x:c r="D14" s="17" t="str">
        <x:v>-</x:v>
      </x:c>
      <x:c r="E14" s="17" t="str">
        <x:v>减损收益/技术成本</x:v>
      </x:c>
      <x:c r="F14" s="17" t="str">
        <x:v>公式</x:v>
      </x:c>
      <x:c r="G14" s="17" t="str">
        <x:v>-</x:v>
      </x:c>
      <x:c r="H14" s="17" t="str">
        <x:v>-</x:v>
      </x:c>
    </x:row>
    <x:row r="17" ht="24" customHeight="1">
      <x:c r="A17" s="26" t="str">
        <x:v>敏感性矩阵：净收益（元）</x:v>
      </x:c>
      <x:c r="B17" s="26"/>
      <x:c r="C17" s="26"/>
      <x:c r="D17" s="26"/>
      <x:c r="E17" s="26"/>
    </x:row>
    <x:row r="18">
      <x:c r="A18" s="10" t="str">
        <x:v>传统损耗率\单位成本</x:v>
      </x:c>
      <x:c r="B18" s="34" t="n">
        <x:v>0.2</x:v>
      </x:c>
      <x:c r="C18" s="34" t="n">
        <x:v>0.35</x:v>
      </x:c>
      <x:c r="D18" s="34" t="n">
        <x:v>0.5</x:v>
      </x:c>
      <x:c r="E18" s="10" t="str">
        <x:v>说明</x:v>
      </x:c>
    </x:row>
    <x:row r="19">
      <x:c r="A19" s="36" t="n">
        <x:v>0.18</x:v>
      </x:c>
      <x:c r="B19" s="37" t="n">
        <x:f>MAX(0,$C$5*($A19-$C$6))*$C$8-$C$5*B$18</x:f>
        <x:v>38066.3711553685</x:v>
      </x:c>
      <x:c r="C19" s="37" t="n">
        <x:f>MAX(0,$C$5*($A19-$C$6))*$C$8-$C$5*C$18</x:f>
        <x:v>33989.6711553685</x:v>
      </x:c>
      <x:c r="D19" s="37" t="n">
        <x:f>MAX(0,$C$5*($A19-$C$6))*$C$8-$C$5*D$18</x:f>
        <x:v>29912.971155368497</x:v>
      </x:c>
      <x:c r="E19" s="20" t="str">
        <x:v>投资审批采用最新报价、同口径对照和试运行记录</x:v>
      </x:c>
    </x:row>
    <x:row r="20">
      <x:c r="A20" s="36" t="n">
        <x:v>0.25</x:v>
      </x:c>
      <x:c r="B20" s="37" t="n">
        <x:f>MAX(0,$C$5*($A20-$C$6))*$C$8-$C$5*B$18</x:f>
        <x:v>88348.1311491971</x:v>
      </x:c>
      <x:c r="C20" s="37" t="n">
        <x:f>MAX(0,$C$5*($A20-$C$6))*$C$8-$C$5*C$18</x:f>
        <x:v>84271.4311491971</x:v>
      </x:c>
      <x:c r="D20" s="37" t="n">
        <x:f>MAX(0,$C$5*($A20-$C$6))*$C$8-$C$5*D$18</x:f>
        <x:v>80194.7311491971</x:v>
      </x:c>
      <x:c r="E20" s="20" t="str">
        <x:v>投资审批采用最新报价、同口径对照和试运行记录</x:v>
      </x:c>
    </x:row>
    <x:row r="21">
      <x:c r="A21" s="36" t="n">
        <x:v>0.32</x:v>
      </x:c>
      <x:c r="B21" s="37" t="n">
        <x:f>MAX(0,$C$5*($A21-$C$6))*$C$8-$C$5*B$18</x:f>
        <x:v>138629.8911430257</x:v>
      </x:c>
      <x:c r="C21" s="37" t="n">
        <x:f>MAX(0,$C$5*($A21-$C$6))*$C$8-$C$5*C$18</x:f>
        <x:v>134553.19114302573</x:v>
      </x:c>
      <x:c r="D21" s="37" t="n">
        <x:f>MAX(0,$C$5*($A21-$C$6))*$C$8-$C$5*D$18</x:f>
        <x:v>130476.49114302572</x:v>
      </x:c>
      <x:c r="E21" s="20" t="str">
        <x:v>投资审批采用最新报价、同口径对照和试运行记录</x:v>
      </x:c>
    </x:row>
  </x:sheetData>
  <x:mergeCells>
    <x:mergeCell ref="A1:H1"/>
    <x:mergeCell ref="A2:H2"/>
    <x:mergeCell ref="A17:E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12" hidden="0" customWidth="1"/>
    <x:col min="5" max="5" width="44" hidden="0" customWidth="1"/>
    <x:col min="6" max="6" width="20" hidden="0" customWidth="1"/>
  </x:cols>
  <x:sheetData>
    <x:row r="1" ht="30" customHeight="1">
      <x:c r="A1" s="3" t="str">
        <x:v>草莓静磁场多基地验证项目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小试基线、确证设计、阶段门和经营门槛汇总。</x:v>
      </x:c>
      <x:c r="B2" s="7"/>
      <x:c r="C2" s="7"/>
      <x:c r="D2" s="7"/>
      <x:c r="E2" s="7"/>
      <x:c r="F2" s="7"/>
      <x:c r="G2" s="7"/>
      <x:c r="H2" s="7"/>
    </x:row>
    <x:row r="4">
      <x:c r="A4" s="51" t="str">
        <x:v>立项建议：进入多基地确证验证准备期。首批启动以G1设计冻结和G2设备方法放行为条件；量产定型在跨产季复现、第三方复核、商业冷库验证和经营门槛完成后提交决策。</x:v>
      </x:c>
      <x:c r="B4" s="52"/>
      <x:c r="C4" s="52"/>
      <x:c r="D4" s="52"/>
      <x:c r="E4" s="52"/>
      <x:c r="F4" s="52"/>
      <x:c r="G4" s="52"/>
      <x:c r="H4" s="53"/>
    </x:row>
    <x:row r="5">
      <x:c r="A5" s="54"/>
      <x:c r="B5" s="55"/>
      <x:c r="C5" s="55"/>
      <x:c r="D5" s="55"/>
      <x:c r="E5" s="55"/>
      <x:c r="F5" s="55"/>
      <x:c r="G5" s="55"/>
      <x:c r="H5" s="56"/>
    </x:row>
    <x:row r="7" ht="30" customHeight="1">
      <x:c r="A7" s="13" t="str">
        <x:v>指标ID</x:v>
      </x:c>
      <x:c r="B7" s="13" t="str">
        <x:v>关键指标</x:v>
      </x:c>
      <x:c r="C7" s="13" t="str">
        <x:v>数值/结论</x:v>
      </x:c>
      <x:c r="D7" s="13" t="str">
        <x:v>单位</x:v>
      </x:c>
      <x:c r="E7" s="13" t="str">
        <x:v>来源/公式</x:v>
      </x:c>
      <x:c r="F7" s="13" t="str">
        <x:v>证据层级</x:v>
      </x:c>
    </x:row>
    <x:row r="8">
      <x:c r="A8" s="17" t="str">
        <x:v>K01</x:v>
      </x:c>
      <x:c r="B8" s="17" t="str">
        <x:v>15 d硬度 CR</x:v>
      </x:c>
      <x:c r="C8" s="57" t="n">
        <x:f>'时点对比'!F10</x:f>
        <x:v>3</x:v>
      </x:c>
      <x:c r="D8" s="17" t="str">
        <x:v>N</x:v>
      </x:c>
      <x:c r="E8" s="17" t="str">
        <x:v>时点对比</x:v>
      </x:c>
      <x:c r="F8" s="17" t="str">
        <x:v>数据支持</x:v>
      </x:c>
    </x:row>
    <x:row r="9">
      <x:c r="A9" s="17" t="str">
        <x:v>K02</x:v>
      </x:c>
      <x:c r="B9" s="17" t="str">
        <x:v>15 d硬度 MF</x:v>
      </x:c>
      <x:c r="C9" s="57" t="n">
        <x:f>'时点对比'!G10</x:f>
        <x:v>16.233333333333334</x:v>
      </x:c>
      <x:c r="D9" s="17" t="str">
        <x:v>N</x:v>
      </x:c>
      <x:c r="E9" s="17" t="str">
        <x:v>时点对比</x:v>
      </x:c>
      <x:c r="F9" s="17" t="str">
        <x:v>数据支持</x:v>
      </x:c>
    </x:row>
    <x:row r="10">
      <x:c r="A10" s="17" t="str">
        <x:v>K03</x:v>
      </x:c>
      <x:c r="B10" s="17" t="str">
        <x:v>硬度下降幅度减缓</x:v>
      </x:c>
      <x:c r="C10" s="19" t="n">
        <x:f>((('时点对比'!F5-'时点对比'!F10)-('时点对比'!G5-'时点对比'!G10))/('时点对比'!F5-'时点对比'!F10))</x:f>
        <x:v>0.16337448559670784</x:v>
      </x:c>
      <x:c r="D10" s="17" t="str">
        <x:v>%</x:v>
      </x:c>
      <x:c r="E10" s="17" t="str">
        <x:v>[(CR0-CR15)-(MF0-MF15)]/(CR0-CR15)</x:v>
      </x:c>
      <x:c r="F10" s="17" t="str">
        <x:v>数据支持</x:v>
      </x:c>
    </x:row>
    <x:row r="11">
      <x:c r="A11" s="17" t="str">
        <x:v>K04</x:v>
      </x:c>
      <x:c r="B11" s="17" t="str">
        <x:v>15 d失重率相对降低</x:v>
      </x:c>
      <x:c r="C11" s="19" t="n">
        <x:f>('时点对比'!F16-'时点对比'!G16)/'时点对比'!F16</x:f>
        <x:v>0.5740402193784279</x:v>
      </x:c>
      <x:c r="D11" s="17" t="str">
        <x:v>%</x:v>
      </x:c>
      <x:c r="E11" s="17" t="str">
        <x:v>(CR-MF)/CR</x:v>
      </x:c>
      <x:c r="F11" s="17" t="str">
        <x:v>数据支持</x:v>
      </x:c>
    </x:row>
    <x:row r="12">
      <x:c r="A12" s="17" t="str">
        <x:v>K05</x:v>
      </x:c>
      <x:c r="B12" s="17" t="str">
        <x:v>15 d ΔE相对降低</x:v>
      </x:c>
      <x:c r="C12" s="19" t="n">
        <x:f>('时点对比'!F46-'时点对比'!G46)/'时点对比'!F46</x:f>
        <x:v>0.4125</x:v>
      </x:c>
      <x:c r="D12" s="17" t="str">
        <x:v>%</x:v>
      </x:c>
      <x:c r="E12" s="17" t="str">
        <x:v>(CR-MF)/CR</x:v>
      </x:c>
      <x:c r="F12" s="17" t="str">
        <x:v>数据支持</x:v>
      </x:c>
    </x:row>
    <x:row r="13">
      <x:c r="A13" s="17" t="str">
        <x:v>K06</x:v>
      </x:c>
      <x:c r="B13" s="17" t="str">
        <x:v>15 d WSP相对降低</x:v>
      </x:c>
      <x:c r="C13" s="19" t="n">
        <x:f>('时点对比'!F22-'时点对比'!G22)/'时点对比'!F22</x:f>
        <x:v>0.23809523809523808</x:v>
      </x:c>
      <x:c r="D13" s="17" t="str">
        <x:v>%</x:v>
      </x:c>
      <x:c r="E13" s="17" t="str">
        <x:v>(CR-MF)/CR</x:v>
      </x:c>
      <x:c r="F13" s="17" t="str">
        <x:v>数据支持</x:v>
      </x:c>
    </x:row>
    <x:row r="14">
      <x:c r="A14" s="17" t="str">
        <x:v>K07</x:v>
      </x:c>
      <x:c r="B14" s="17" t="str">
        <x:v>15 d PG相对降低</x:v>
      </x:c>
      <x:c r="C14" s="19" t="n">
        <x:f>('时点对比'!F28-'时点对比'!G28)/'时点对比'!F28</x:f>
        <x:v>0.3538461538461538</x:v>
      </x:c>
      <x:c r="D14" s="17" t="str">
        <x:v>%</x:v>
      </x:c>
      <x:c r="E14" s="17" t="str">
        <x:v>(CR-MF)/CR</x:v>
      </x:c>
      <x:c r="F14" s="17" t="str">
        <x:v>数据支持</x:v>
      </x:c>
    </x:row>
    <x:row r="15">
      <x:c r="A15" s="17" t="str">
        <x:v>K08</x:v>
      </x:c>
      <x:c r="B15" s="17" t="str">
        <x:v>预算净收益</x:v>
      </x:c>
      <x:c r="C15" s="58" t="n">
        <x:f>'经营测算'!C13</x:f>
        <x:v>84271.4311491971</x:v>
      </x:c>
      <x:c r="D15" s="17" t="str">
        <x:v>元</x:v>
      </x:c>
      <x:c r="E15" s="17" t="str">
        <x:v>经营测算</x:v>
      </x:c>
      <x:c r="F15" s="17" t="str">
        <x:v>立项预算</x:v>
      </x:c>
    </x:row>
    <x:row r="16">
      <x:c r="A16" s="17" t="str">
        <x:v>K09</x:v>
      </x:c>
      <x:c r="B16" s="17" t="str">
        <x:v>预算收益成本比</x:v>
      </x:c>
      <x:c r="C16" s="57" t="n">
        <x:f>'经营测算'!C14</x:f>
        <x:v>9.859206621868225</x:v>
      </x:c>
      <x:c r="D16" s="17" t="str">
        <x:v>-</x:v>
      </x:c>
      <x:c r="E16" s="17" t="str">
        <x:v>经营测算</x:v>
      </x:c>
      <x:c r="F16" s="17" t="str">
        <x:v>立项预算</x:v>
      </x:c>
    </x:row>
    <x:row r="17">
      <x:c r="A17" s="17" t="str">
        <x:v>K10</x:v>
      </x:c>
      <x:c r="B17" s="17" t="str">
        <x:v>当前建议</x:v>
      </x:c>
      <x:c r="C17" s="17" t="str">
        <x:v>完成G1/G2后启动首批</x:v>
      </x:c>
      <x:c r="D17" s="17" t="str">
        <x:v>-</x:v>
      </x:c>
      <x:c r="E17" s="17" t="str">
        <x:v>阶段门G1-G2</x:v>
      </x:c>
      <x:c r="F17" s="17" t="str">
        <x:v>准备期</x:v>
      </x:c>
    </x:row>
  </x:sheetData>
  <x:mergeCells>
    <x:mergeCell ref="A1:H1"/>
    <x:mergeCell ref="A2:H2"/>
    <x:mergeCell ref="A4:H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42" hidden="0" customWidth="1"/>
    <x:col min="4" max="4" width="30" hidden="0" customWidth="1"/>
    <x:col min="5" max="5" width="18" hidden="0" customWidth="1"/>
    <x:col min="6" max="6" width="48" hidden="0" customWidth="1"/>
    <x:col min="7" max="7" width="14" hidden="0" customWidth="1"/>
  </x:cols>
  <x:sheetData>
    <x:row r="1" ht="30" customHeight="1">
      <x:c r="A1" s="3" t="str">
        <x:v>口径冲突与风险闭环</x:v>
      </x:c>
      <x:c r="B1" s="3"/>
      <x:c r="C1" s="3"/>
      <x:c r="D1" s="3"/>
      <x:c r="E1" s="3"/>
      <x:c r="F1" s="3"/>
      <x:c r="G1" s="3"/>
    </x:row>
    <x:row r="2" ht="34" customHeight="1">
      <x:c r="A2" s="7" t="str">
        <x:v>小试口径、确证口径和经营口径分别登记，并纳入责任与关闭时限。</x:v>
      </x:c>
      <x:c r="B2" s="7"/>
      <x:c r="C2" s="7"/>
      <x:c r="D2" s="7"/>
      <x:c r="E2" s="7"/>
      <x:c r="F2" s="7"/>
      <x:c r="G2" s="7"/>
    </x:row>
    <x:row r="4" ht="24" customHeight="1">
      <x:c r="A4" s="26" t="str">
        <x:v>重点口径冲突</x:v>
      </x:c>
      <x:c r="B4" s="26"/>
      <x:c r="C4" s="26"/>
      <x:c r="D4" s="26"/>
      <x:c r="E4" s="26"/>
      <x:c r="F4" s="26"/>
      <x:c r="G4" s="26"/>
    </x:row>
    <x:row r="5" ht="30" customHeight="1">
      <x:c r="A5" s="13" t="str">
        <x:v>冲突ID</x:v>
      </x:c>
      <x:c r="B5" s="13" t="str">
        <x:v>主题</x:v>
      </x:c>
      <x:c r="C5" s="13" t="str">
        <x:v>现有口径</x:v>
      </x:c>
      <x:c r="D5" s="13" t="str">
        <x:v>复核口径</x:v>
      </x:c>
      <x:c r="E5" s="13" t="str">
        <x:v>处理规则</x:v>
      </x:c>
      <x:c r="F5" s="13" t="str">
        <x:v>等级</x:v>
      </x:c>
      <x:c r="G5" s="13" t="str">
        <x:v>状态</x:v>
      </x:c>
    </x:row>
    <x:row r="6">
      <x:c r="A6" s="17" t="str">
        <x:v>C01</x:v>
      </x:c>
      <x:c r="B6" s="17" t="str">
        <x:v>硬度损失降低</x:v>
      </x:c>
      <x:c r="C6" s="17" t="str">
        <x:v>既有报告写55.76%</x:v>
      </x:c>
      <x:c r="D6" s="17" t="str">
        <x:v>按组均值计算硬度下降幅度减缓16.34%；15 d端点MF比CR高441.11%</x:v>
      </x:c>
      <x:c r="E6" s="17" t="str">
        <x:v>报告同时呈现端点差和下降幅度减缓，并给公式</x:v>
      </x:c>
      <x:c r="F6" s="17" t="str">
        <x:v>高</x:v>
      </x:c>
      <x:c r="G6" s="17" t="str">
        <x:v>采用复核口径</x:v>
      </x:c>
    </x:row>
    <x:row r="7">
      <x:c r="A7" s="17" t="str">
        <x:v>C02</x:v>
      </x:c>
      <x:c r="B7" s="17" t="str">
        <x:v>失重率降低</x:v>
      </x:c>
      <x:c r="C7" s="17" t="str">
        <x:v>既有报告57.14%</x:v>
      </x:c>
      <x:c r="D7" s="17" t="str">
        <x:v>按三重复均值计算57.40%</x:v>
      </x:c>
      <x:c r="E7" s="17" t="str">
        <x:v>统一使用组均值，保留两位小数</x:v>
      </x:c>
      <x:c r="F7" s="17" t="str">
        <x:v>中</x:v>
      </x:c>
      <x:c r="G7" s="17" t="str">
        <x:v>采用复核口径</x:v>
      </x:c>
    </x:row>
    <x:row r="8">
      <x:c r="A8" s="17" t="str">
        <x:v>C03</x:v>
      </x:c>
      <x:c r="B8" s="17" t="str">
        <x:v>ΔE降低</x:v>
      </x:c>
      <x:c r="C8" s="17" t="str">
        <x:v>既有报告41.12%</x:v>
      </x:c>
      <x:c r="D8" s="17" t="str">
        <x:v>按三重复均值计算41.25%</x:v>
      </x:c>
      <x:c r="E8" s="17" t="str">
        <x:v>统一使用组均值</x:v>
      </x:c>
      <x:c r="F8" s="17" t="str">
        <x:v>中</x:v>
      </x:c>
      <x:c r="G8" s="17" t="str">
        <x:v>采用复核口径</x:v>
      </x:c>
    </x:row>
    <x:row r="9">
      <x:c r="A9" s="17" t="str">
        <x:v>C04</x:v>
      </x:c>
      <x:c r="B9" s="17" t="str">
        <x:v>PG降低</x:v>
      </x:c>
      <x:c r="C9" s="17" t="str">
        <x:v>既有报告“降低1.55倍”</x:v>
      </x:c>
      <x:c r="D9" s="17" t="str">
        <x:v>15 d CR/MF=1.55；MF相对CR低35.38%</x:v>
      </x:c>
      <x:c r="E9" s="17" t="str">
        <x:v>改写为比值与相对差</x:v>
      </x:c>
      <x:c r="F9" s="17" t="str">
        <x:v>高</x:v>
      </x:c>
      <x:c r="G9" s="17" t="str">
        <x:v>采用复核口径</x:v>
      </x:c>
    </x:row>
    <x:row r="10">
      <x:c r="A10" s="17" t="str">
        <x:v>C05</x:v>
      </x:c>
      <x:c r="B10" s="17" t="str">
        <x:v>扩展机制指标</x:v>
      </x:c>
      <x:c r="C10" s="17" t="str">
        <x:v>既有报告含PME、PL、EG、自由水、TEM</x:v>
      </x:c>
      <x:c r="D10" s="17" t="str">
        <x:v>小试源表仅含PG和WSP</x:v>
      </x:c>
      <x:c r="E10" s="17" t="str">
        <x:v>确证阶段按预注册方法新增PME、PL和水分状态检测</x:v>
      </x:c>
      <x:c r="F10" s="17" t="str">
        <x:v>高</x:v>
      </x:c>
      <x:c r="G10" s="17" t="str">
        <x:v>纳入确证方案</x:v>
      </x:c>
    </x:row>
    <x:row r="11">
      <x:c r="A11" s="17" t="str">
        <x:v>C06</x:v>
      </x:c>
      <x:c r="B11" s="17" t="str">
        <x:v>技术后损耗率</x:v>
      </x:c>
      <x:c r="C11" s="17" t="str">
        <x:v>既有报告称12%来自实验推算</x:v>
      </x:c>
      <x:c r="D11" s="17" t="str">
        <x:v>经营台账汇总为11.94%；实验15 d失重率为7.77%</x:v>
      </x:c>
      <x:c r="E11" s="17" t="str">
        <x:v>分别按库存和理化口径核算</x:v>
      </x:c>
      <x:c r="F11" s="17" t="str">
        <x:v>高</x:v>
      </x:c>
      <x:c r="G11" s="17" t="str">
        <x:v>采用复核口径</x:v>
      </x:c>
    </x:row>
    <x:row r="12">
      <x:c r="A12" s="17" t="str">
        <x:v>C07</x:v>
      </x:c>
      <x:c r="B12" s="17" t="str">
        <x:v>基准模式损耗率</x:v>
      </x:c>
      <x:c r="C12" s="17" t="str">
        <x:v>25%</x:v>
      </x:c>
      <x:c r="D12" s="17" t="str">
        <x:v>立项预算参数</x:v>
      </x:c>
      <x:c r="E12" s="17" t="str">
        <x:v>纳入18%-32%敏感性矩阵</x:v>
      </x:c>
      <x:c r="F12" s="17" t="str">
        <x:v>高</x:v>
      </x:c>
      <x:c r="G12" s="17" t="str">
        <x:v>采用复核口径</x:v>
      </x:c>
    </x:row>
    <x:row r="13">
      <x:c r="A13" s="17" t="str">
        <x:v>C08</x:v>
      </x:c>
      <x:c r="B13" s="17" t="str">
        <x:v>销售负向记录</x:v>
      </x:c>
      <x:c r="C13" s="17" t="str">
        <x:v>2条记录数量/收入为负</x:v>
      </x:c>
      <x:c r="D13" s="17" t="str">
        <x:v>用途未说明</x:v>
      </x:c>
      <x:c r="E13" s="17" t="str">
        <x:v>保留并进入风险台账，试点前核实</x:v>
      </x:c>
      <x:c r="F13" s="17" t="str">
        <x:v>高</x:v>
      </x:c>
      <x:c r="G13" s="17" t="str">
        <x:v>采用复核口径</x:v>
      </x:c>
    </x:row>
    <x:row r="14">
      <x:c r="A14" s="17" t="str">
        <x:v>C09</x:v>
      </x:c>
      <x:c r="B14" s="17" t="str">
        <x:v>库存出库与销售净量</x:v>
      </x:c>
      <x:c r="C14" s="17" t="str">
        <x:v>23931.9 kg vs 23916.7 kg</x:v>
      </x:c>
      <x:c r="D14" s="17" t="str">
        <x:v>差额15.2 kg</x:v>
      </x:c>
      <x:c r="E14" s="17" t="str">
        <x:v>不强行对平；列为G0待确认</x:v>
      </x:c>
      <x:c r="F14" s="17" t="str">
        <x:v>高</x:v>
      </x:c>
      <x:c r="G14" s="17" t="str">
        <x:v>采用复核口径</x:v>
      </x:c>
    </x:row>
    <x:row r="15">
      <x:c r="A15" s="17" t="str">
        <x:v>C10</x:v>
      </x:c>
      <x:c r="B15" s="17" t="str">
        <x:v>ΔE复算</x:v>
      </x:c>
      <x:c r="C15" s="17" t="str">
        <x:v>仅有L*、a*和已提供ΔE</x:v>
      </x:c>
      <x:c r="D15" s="17" t="str">
        <x:v>缺b*及基准色坐标</x:v>
      </x:c>
      <x:c r="E15" s="17" t="str">
        <x:v>把ΔE作为直接输入指标</x:v>
      </x:c>
      <x:c r="F15" s="17" t="str">
        <x:v>中</x:v>
      </x:c>
      <x:c r="G15" s="17" t="str">
        <x:v>采用复核口径</x:v>
      </x:c>
    </x:row>
    <x:row r="17" ht="24" customHeight="1">
      <x:c r="A17" s="26" t="str">
        <x:v>重点风险</x:v>
      </x:c>
      <x:c r="B17" s="26"/>
      <x:c r="C17" s="26"/>
      <x:c r="D17" s="26"/>
      <x:c r="E17" s="26"/>
      <x:c r="F17" s="26"/>
      <x:c r="G17" s="26"/>
    </x:row>
    <x:row r="18" ht="30" customHeight="1">
      <x:c r="A18" s="13" t="str">
        <x:v>风险ID</x:v>
      </x:c>
      <x:c r="B18" s="13" t="str">
        <x:v>类别</x:v>
      </x:c>
      <x:c r="C18" s="13" t="str">
        <x:v>风险</x:v>
      </x:c>
      <x:c r="D18" s="13" t="str">
        <x:v>影响</x:v>
      </x:c>
      <x:c r="E18" s="13" t="str">
        <x:v>责任接口</x:v>
      </x:c>
      <x:c r="F18" s="13" t="str">
        <x:v>缓解措施</x:v>
      </x:c>
      <x:c r="G18" s="13" t="str">
        <x:v>状态</x:v>
      </x:c>
    </x:row>
    <x:row r="19">
      <x:c r="A19" s="17" t="str">
        <x:v>R01</x:v>
      </x:c>
      <x:c r="B19" s="17" t="str">
        <x:v>设计</x:v>
      </x:c>
      <x:c r="C19" s="17" t="str">
        <x:v>小试未形成批次级随机化和盲法记录</x:v>
      </x:c>
      <x:c r="D19" s="17" t="str">
        <x:v>小试效应需独立确证</x:v>
      </x:c>
      <x:c r="E19" s="17" t="str">
        <x:v>研发/统计</x:v>
      </x:c>
      <x:c r="F19" s="17" t="str">
        <x:v>确证阶段执行分层区组随机、三级盲码和唯一样本ID</x:v>
      </x:c>
      <x:c r="G19" s="17" t="str">
        <x:v>计划中</x:v>
      </x:c>
    </x:row>
    <x:row r="20">
      <x:c r="A20" s="17" t="str">
        <x:v>R02</x:v>
      </x:c>
      <x:c r="B20" s="17" t="str">
        <x:v>测量</x:v>
      </x:c>
      <x:c r="C20" s="17" t="str">
        <x:v>小试缺少温度与磁场均匀性日志</x:v>
      </x:c>
      <x:c r="D20" s="17" t="str">
        <x:v>环境偏差无法量化</x:v>
      </x:c>
      <x:c r="E20" s="17" t="str">
        <x:v>研发/设备</x:v>
      </x:c>
      <x:c r="F20" s="17" t="str">
        <x:v>完成108点测场并连续记录温湿度、开关机和故障</x:v>
      </x:c>
      <x:c r="G20" s="17" t="str">
        <x:v>计划中</x:v>
      </x:c>
    </x:row>
    <x:row r="21">
      <x:c r="A21" s="17" t="str">
        <x:v>R03</x:v>
      </x:c>
      <x:c r="B21" s="17" t="str">
        <x:v>颜色</x:v>
      </x:c>
      <x:c r="C21" s="17" t="str">
        <x:v>小试缺b*与参考色坐标</x:v>
      </x:c>
      <x:c r="D21" s="17" t="str">
        <x:v>ΔE无法按完整色坐标复核</x:v>
      </x:c>
      <x:c r="E21" s="17" t="str">
        <x:v>质量/统计</x:v>
      </x:c>
      <x:c r="F21" s="17" t="str">
        <x:v>确证阶段保存原始L*a*b*和基准色</x:v>
      </x:c>
      <x:c r="G21" s="17" t="str">
        <x:v>计划中</x:v>
      </x:c>
    </x:row>
    <x:row r="22">
      <x:c r="A22" s="17" t="str">
        <x:v>R04</x:v>
      </x:c>
      <x:c r="B22" s="17" t="str">
        <x:v>机制</x:v>
      </x:c>
      <x:c r="C22" s="17" t="str">
        <x:v>确证阶段新增机制端点尚待方法确认</x:v>
      </x:c>
      <x:c r="D22" s="17" t="str">
        <x:v>方法差异可能增加异质性</x:v>
      </x:c>
      <x:c r="E22" s="17" t="str">
        <x:v>研发</x:v>
      </x:c>
      <x:c r="F22" s="17" t="str">
        <x:v>统一试剂批次、方法版本和跨实验室质控</x:v>
      </x:c>
      <x:c r="G22" s="17" t="str">
        <x:v>计划中</x:v>
      </x:c>
    </x:row>
    <x:row r="23">
      <x:c r="A23" s="17" t="str">
        <x:v>R05</x:v>
      </x:c>
      <x:c r="B23" s="17" t="str">
        <x:v>经营</x:v>
      </x:c>
      <x:c r="C23" s="17" t="str">
        <x:v>基准模式损耗率待同口径确认</x:v>
      </x:c>
      <x:c r="D23" s="17" t="str">
        <x:v>收益测算对基线敏感</x:v>
      </x:c>
      <x:c r="E23" s="17" t="str">
        <x:v>财务/运营</x:v>
      </x:c>
      <x:c r="F23" s="17" t="str">
        <x:v>用同批次对照或历史台账建立基线</x:v>
      </x:c>
      <x:c r="G23" s="17" t="str">
        <x:v>计划中</x:v>
      </x:c>
    </x:row>
    <x:row r="24">
      <x:c r="A24" s="17" t="str">
        <x:v>R06</x:v>
      </x:c>
      <x:c r="B24" s="17" t="str">
        <x:v>经营</x:v>
      </x:c>
      <x:c r="C24" s="17" t="str">
        <x:v>2条销售负向记录用途待核</x:v>
      </x:c>
      <x:c r="D24" s="17" t="str">
        <x:v>收入与销量口径可能偏差</x:v>
      </x:c>
      <x:c r="E24" s="17" t="str">
        <x:v>财务</x:v>
      </x:c>
      <x:c r="F24" s="17" t="str">
        <x:v>补充单据类型与原始凭证编号</x:v>
      </x:c>
      <x:c r="G24" s="17" t="str">
        <x:v>开放</x:v>
      </x:c>
    </x:row>
    <x:row r="25">
      <x:c r="A25" s="17" t="str">
        <x:v>R07</x:v>
      </x:c>
      <x:c r="B25" s="17" t="str">
        <x:v>对账</x:v>
      </x:c>
      <x:c r="C25" s="17" t="str">
        <x:v>库存出库与销售净量相差15.2 kg</x:v>
      </x:c>
      <x:c r="D25" s="17" t="str">
        <x:v>经营闭环不完整</x:v>
      </x:c>
      <x:c r="E25" s="17" t="str">
        <x:v>仓储/财务</x:v>
      </x:c>
      <x:c r="F25" s="17" t="str">
        <x:v>查明样品、在途、漏单或舍入来源</x:v>
      </x:c>
      <x:c r="G25" s="17" t="str">
        <x:v>开放</x:v>
      </x:c>
    </x:row>
    <x:row r="26">
      <x:c r="A26" s="17" t="str">
        <x:v>R08</x:v>
      </x:c>
      <x:c r="B26" s="17" t="str">
        <x:v>外推</x:v>
      </x:c>
      <x:c r="C26" s="17" t="str">
        <x:v>小试来自单一品种和单一冷藏条件</x:v>
      </x:c>
      <x:c r="D26" s="17" t="str">
        <x:v>跨基地效应可能衰减</x:v>
      </x:c>
      <x:c r="E26" s="17" t="str">
        <x:v>研发/运营</x:v>
      </x:c>
      <x:c r="F26" s="17" t="str">
        <x:v>执行4基地×2品种×2产季×2批次确证</x:v>
      </x:c>
      <x:c r="G26" s="17" t="str">
        <x:v>计划中</x:v>
      </x:c>
    </x:row>
    <x:row r="27">
      <x:c r="A27" s="17" t="str">
        <x:v>R09</x:v>
      </x:c>
      <x:c r="B27" s="17" t="str">
        <x:v>设备</x:v>
      </x:c>
      <x:c r="C27" s="17" t="str">
        <x:v>四基地设备需完成同版锁定和合规确认</x:v>
      </x:c>
      <x:c r="D27" s="17" t="str">
        <x:v>运行差异可能影响效应</x:v>
      </x:c>
      <x:c r="E27" s="17" t="str">
        <x:v>质量/设备</x:v>
      </x:c>
      <x:c r="F27" s="17" t="str">
        <x:v>完成测场、温升、EMC、能耗和校准放行</x:v>
      </x:c>
      <x:c r="G27" s="17" t="str">
        <x:v>计划中</x:v>
      </x:c>
    </x:row>
    <x:row r="28">
      <x:c r="A28" s="17" t="str">
        <x:v>R10</x:v>
      </x:c>
      <x:c r="B28" s="17" t="str">
        <x:v>运输</x:v>
      </x:c>
      <x:c r="C28" s="17" t="str">
        <x:v>不同路线振动和温度负荷差异</x:v>
      </x:c>
      <x:c r="D28" s="17" t="str">
        <x:v>运输压力可能改变腐烂和硬度</x:v>
      </x:c>
      <x:c r="E28" s="17" t="str">
        <x:v>运营/物流</x:v>
      </x:c>
      <x:c r="F28" s="17" t="str">
        <x:v>连续记录温度与振动并纳入协变量和压力分析</x:v>
      </x:c>
      <x:c r="G28" s="17" t="str">
        <x:v>计划中</x:v>
      </x:c>
    </x:row>
    <x:row r="29">
      <x:c r="A29" s="17" t="str">
        <x:v>R11</x:v>
      </x:c>
      <x:c r="B29" s="17" t="str">
        <x:v>样本</x:v>
      </x:c>
      <x:c r="C29" s="17" t="str">
        <x:v>批次损耗或主要终点有效率不足</x:v>
      </x:c>
      <x:c r="D29" s="17" t="str">
        <x:v>检验效能下降</x:v>
      </x:c>
      <x:c r="E29" s="17" t="str">
        <x:v>质量/统计</x:v>
      </x:c>
      <x:c r="F29" s="17" t="str">
        <x:v>预留15%批次损耗和每单元2枚样品，低于85%触发RCA</x:v>
      </x:c>
      <x:c r="G29" s="17" t="str">
        <x:v>计划中</x:v>
      </x:c>
    </x:row>
    <x:row r="30">
      <x:c r="A30" s="17" t="str">
        <x:v>R12</x:v>
      </x:c>
      <x:c r="B30" s="17" t="str">
        <x:v>统计</x:v>
      </x:c>
      <x:c r="C30" s="17" t="str">
        <x:v>多终点、多时点增加假阳性风险</x:v>
      </x:c>
      <x:c r="D30" s="17" t="str">
        <x:v>支持性结论偏高</x:v>
      </x:c>
      <x:c r="E30" s="17" t="str">
        <x:v>统计</x:v>
      </x:c>
      <x:c r="F30" s="17" t="str">
        <x:v>主要终点优先，次要终点采用Holm校正并报告95%CI</x:v>
      </x:c>
      <x:c r="G30" s="17" t="str">
        <x:v>计划中</x:v>
      </x:c>
    </x:row>
    <x:row r="31">
      <x:c r="A31" s="17" t="str">
        <x:v>R13</x:v>
      </x:c>
      <x:c r="B31" s="17" t="str">
        <x:v>第三方</x:v>
      </x:c>
      <x:c r="C31" s="17" t="str">
        <x:v>独立复核方法与项目实验室可能不一致</x:v>
      </x:c>
      <x:c r="D31" s="17" t="str">
        <x:v>复核结果可比性下降</x:v>
      </x:c>
      <x:c r="E31" s="17" t="str">
        <x:v>质量</x:v>
      </x:c>
      <x:c r="F31" s="17" t="str">
        <x:v>首批前完成方法比对和样品分装规则</x:v>
      </x:c>
      <x:c r="G31" s="17" t="str">
        <x:v>计划中</x:v>
      </x:c>
    </x:row>
    <x:row r="32">
      <x:c r="A32" s="17" t="str">
        <x:v>R14</x:v>
      </x:c>
      <x:c r="B32" s="17" t="str">
        <x:v>经营</x:v>
      </x:c>
      <x:c r="C32" s="17" t="str">
        <x:v>能耗、维修和折旧对BCR影响较大</x:v>
      </x:c>
      <x:c r="D32" s="17" t="str">
        <x:v>投资回收期波动</x:v>
      </x:c>
      <x:c r="E32" s="17" t="str">
        <x:v>财务/设备</x:v>
      </x:c>
      <x:c r="F32" s="17" t="str">
        <x:v>按批记录能耗并用报价、维修工时和折旧政策复核</x:v>
      </x:c>
      <x:c r="G32" s="17" t="str">
        <x:v>计划中</x:v>
      </x:c>
    </x:row>
    <x:row r="33">
      <x:c r="A33" s="17" t="str">
        <x:v>R15</x:v>
      </x:c>
      <x:c r="B33" s="17" t="str">
        <x:v>治理</x:v>
      </x:c>
      <x:c r="C33" s="17" t="str">
        <x:v>关键批次失败未及时闭环</x:v>
      </x:c>
      <x:c r="D33" s="17" t="str">
        <x:v>问题在后续批次重复</x:v>
      </x:c>
      <x:c r="E33" s="17" t="str">
        <x:v>项目办公室</x:v>
      </x:c>
      <x:c r="F33" s="17" t="str">
        <x:v>按时限调查，关闭证据通过后恢复</x:v>
      </x:c>
      <x:c r="G33" s="17" t="str">
        <x:v>计划中</x:v>
      </x:c>
    </x:row>
  </x:sheetData>
  <x:mergeCells>
    <x:mergeCell ref="A1:G1"/>
    <x:mergeCell ref="A2:G2"/>
    <x:mergeCell ref="A4:G4"/>
    <x:mergeCell ref="A17:G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48" hidden="0" customWidth="1"/>
    <x:col min="5" max="5" width="42" hidden="0" customWidth="1"/>
    <x:col min="6" max="6" width="30" hidden="0" customWidth="1"/>
  </x:cols>
  <x:sheetData>
    <x:row r="1" ht="30" customHeight="1">
      <x:c r="A1" s="3" t="str">
        <x:v>验证阶段门状态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阶段门按立项、设计、设备、确证、转化和投资顺序审批。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阶段门</x:v>
      </x:c>
      <x:c r="B4" s="13" t="str">
        <x:v>目标</x:v>
      </x:c>
      <x:c r="C4" s="13" t="str">
        <x:v>当前状态</x:v>
      </x:c>
      <x:c r="D4" s="13" t="str">
        <x:v>证据</x:v>
      </x:c>
      <x:c r="E4" s="13" t="str">
        <x:v>下一步</x:v>
      </x:c>
      <x:c r="F4" s="13" t="str">
        <x:v>决策限制</x:v>
      </x:c>
    </x:row>
    <x:row r="5">
      <x:c r="A5" s="17" t="str">
        <x:v>G0</x:v>
      </x:c>
      <x:c r="B5" s="17" t="str">
        <x:v>立项与数据核对</x:v>
      </x:c>
      <x:c r="C5" s="59" t="str">
        <x:v>有条件通过</x:v>
      </x:c>
      <x:c r="D5" s="17" t="str">
        <x:v>小试原始指标已定位；负向销售记录和15.2 kg差额待凭证核对</x:v>
      </x:c>
      <x:c r="E5" s="17" t="str">
        <x:v>完成财务和仓储签字</x:v>
      </x:c>
      <x:c r="F5" s="17" t="str">
        <x:v>G1前关闭</x:v>
      </x:c>
    </x:row>
    <x:row r="6">
      <x:c r="A6" s="17" t="str">
        <x:v>G1</x:v>
      </x:c>
      <x:c r="B6" s="17" t="str">
        <x:v>设计冻结</x:v>
      </x:c>
      <x:c r="C6" s="59" t="str">
        <x:v>待审</x:v>
      </x:c>
      <x:c r="D6" s="17" t="str">
        <x:v>预注册、32批次覆盖、样本量、随机化和SAP已编制</x:v>
      </x:c>
      <x:c r="E6" s="17" t="str">
        <x:v>统计、研发、质量联合评审</x:v>
      </x:c>
      <x:c r="F6" s="17" t="str">
        <x:v>通过后进入G2</x:v>
      </x:c>
    </x:row>
    <x:row r="7">
      <x:c r="A7" s="17" t="str">
        <x:v>G2</x:v>
      </x:c>
      <x:c r="B7" s="17" t="str">
        <x:v>设备与方法放行</x:v>
      </x:c>
      <x:c r="C7" s="59" t="str">
        <x:v>待执行</x:v>
      </x:c>
      <x:c r="D7" s="17" t="str">
        <x:v>四台设备、108点测场、环境采集和方法QC已列计划</x:v>
      </x:c>
      <x:c r="E7" s="17" t="str">
        <x:v>完成IQ/OQ与人员培训</x:v>
      </x:c>
      <x:c r="F7" s="17" t="str">
        <x:v>全部放行后启动首批</x:v>
      </x:c>
    </x:row>
    <x:row r="8">
      <x:c r="A8" s="17" t="str">
        <x:v>G3</x:v>
      </x:c>
      <x:c r="B8" s="17" t="str">
        <x:v>确证与独立复核</x:v>
      </x:c>
      <x:c r="C8" s="59" t="str">
        <x:v>待执行</x:v>
      </x:c>
      <x:c r="D8" s="17" t="str">
        <x:v>4基地×2品种×2产季×2批次，共32批</x:v>
      </x:c>
      <x:c r="E8" s="17" t="str">
        <x:v>完成混合模型、第三方复核和RCA</x:v>
      </x:c>
      <x:c r="F8" s="17" t="str">
        <x:v>决定补批/限定/继续</x:v>
      </x:c>
    </x:row>
    <x:row r="9">
      <x:c r="A9" s="17" t="str">
        <x:v>G4</x:v>
      </x:c>
      <x:c r="B9" s="17" t="str">
        <x:v>商业冷库转化</x:v>
      </x:c>
      <x:c r="C9" s="59" t="str">
        <x:v>待执行</x:v>
      </x:c>
      <x:c r="D9" s="17" t="str">
        <x:v>运输压力、货架期、放行率和部署SOP已设门槛</x:v>
      </x:c>
      <x:c r="E9" s="17" t="str">
        <x:v>商业冷库试运行</x:v>
      </x:c>
      <x:c r="F9" s="17" t="str">
        <x:v>决定转化范围</x:v>
      </x:c>
    </x:row>
    <x:row r="10">
      <x:c r="A10" s="17" t="str">
        <x:v>G5</x:v>
      </x:c>
      <x:c r="B10" s="17" t="str">
        <x:v>经营与投资决策</x:v>
      </x:c>
      <x:c r="C10" s="59" t="str">
        <x:v>待执行</x:v>
      </x:c>
      <x:c r="D10" s="17" t="str">
        <x:v>报损改善、BCR和回收期门槛已定义</x:v>
      </x:c>
      <x:c r="E10" s="17" t="str">
        <x:v>按同口径台账和完整成本复核</x:v>
      </x:c>
      <x:c r="F10" s="17" t="str">
        <x:v>部署/限定/停止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10" hidden="0" customWidth="1"/>
    <x:col min="5" max="5" width="24" hidden="0" customWidth="1"/>
    <x:col min="6" max="6" width="24" hidden="0" customWidth="1"/>
    <x:col min="7" max="7" width="14" hidden="0" customWidth="1"/>
  </x:cols>
  <x:sheetData>
    <x:row r="1" ht="30" customHeight="1">
      <x:c r="A1" s="3" t="str">
        <x:v>跨产物一致性核对</x:v>
      </x:c>
      <x:c r="B1" s="3"/>
      <x:c r="C1" s="3"/>
      <x:c r="D1" s="3"/>
      <x:c r="E1" s="3"/>
      <x:c r="F1" s="3"/>
      <x:c r="G1" s="3"/>
    </x:row>
    <x:row r="2" ht="34" customHeight="1">
      <x:c r="A2" s="7" t="str">
        <x:v>关键数字从底稿单元格单一取数，报告使用相同口径和舍入精度。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核对ID</x:v>
      </x:c>
      <x:c r="B4" s="13" t="str">
        <x:v>主题</x:v>
      </x:c>
      <x:c r="C4" s="13" t="str">
        <x:v>底稿值</x:v>
      </x:c>
      <x:c r="D4" s="13" t="str">
        <x:v>单位</x:v>
      </x:c>
      <x:c r="E4" s="13" t="str">
        <x:v>单一来源</x:v>
      </x:c>
      <x:c r="F4" s="13" t="str">
        <x:v>报告位置</x:v>
      </x:c>
      <x:c r="G4" s="13" t="str">
        <x:v>状态</x:v>
      </x:c>
    </x:row>
    <x:row r="5">
      <x:c r="A5" s="17" t="str">
        <x:v>X01</x:v>
      </x:c>
      <x:c r="B5" s="17" t="str">
        <x:v>15 d CR硬度</x:v>
      </x:c>
      <x:c r="C5" s="57" t="n">
        <x:f>'结论面板'!C8</x:f>
        <x:v>3</x:v>
      </x:c>
      <x:c r="D5" s="17" t="str">
        <x:v>N</x:v>
      </x:c>
      <x:c r="E5" s="17" t="str">
        <x:v>结论面板C8</x:v>
      </x:c>
      <x:c r="F5" s="17" t="str">
        <x:v>报告表4-1</x:v>
      </x:c>
      <x:c r="G5" s="17" t="str">
        <x:v>一致</x:v>
      </x:c>
    </x:row>
    <x:row r="6">
      <x:c r="A6" s="17" t="str">
        <x:v>X02</x:v>
      </x:c>
      <x:c r="B6" s="17" t="str">
        <x:v>15 d MF硬度</x:v>
      </x:c>
      <x:c r="C6" s="57" t="n">
        <x:f>'结论面板'!C9</x:f>
        <x:v>16.233333333333334</x:v>
      </x:c>
      <x:c r="D6" s="17" t="str">
        <x:v>N</x:v>
      </x:c>
      <x:c r="E6" s="17" t="str">
        <x:v>结论面板C9</x:v>
      </x:c>
      <x:c r="F6" s="17" t="str">
        <x:v>报告表4-1</x:v>
      </x:c>
      <x:c r="G6" s="17" t="str">
        <x:v>一致</x:v>
      </x:c>
    </x:row>
    <x:row r="7">
      <x:c r="A7" s="17" t="str">
        <x:v>X03</x:v>
      </x:c>
      <x:c r="B7" s="17" t="str">
        <x:v>硬度下降幅度减缓</x:v>
      </x:c>
      <x:c r="C7" s="19" t="n">
        <x:f>'结论面板'!C10</x:f>
        <x:v>0.16337448559670784</x:v>
      </x:c>
      <x:c r="D7" s="17" t="str">
        <x:v>%</x:v>
      </x:c>
      <x:c r="E7" s="17" t="str">
        <x:v>结论面板C10</x:v>
      </x:c>
      <x:c r="F7" s="17" t="str">
        <x:v>报告正文</x:v>
      </x:c>
      <x:c r="G7" s="17" t="str">
        <x:v>一致</x:v>
      </x:c>
    </x:row>
    <x:row r="8">
      <x:c r="A8" s="17" t="str">
        <x:v>X04</x:v>
      </x:c>
      <x:c r="B8" s="17" t="str">
        <x:v>失重率相对降低</x:v>
      </x:c>
      <x:c r="C8" s="19" t="n">
        <x:f>'结论面板'!C11</x:f>
        <x:v>0.5740402193784279</x:v>
      </x:c>
      <x:c r="D8" s="17" t="str">
        <x:v>%</x:v>
      </x:c>
      <x:c r="E8" s="17" t="str">
        <x:v>结论面板C11</x:v>
      </x:c>
      <x:c r="F8" s="17" t="str">
        <x:v>报告正文</x:v>
      </x:c>
      <x:c r="G8" s="17" t="str">
        <x:v>一致</x:v>
      </x:c>
    </x:row>
    <x:row r="9">
      <x:c r="A9" s="17" t="str">
        <x:v>X05</x:v>
      </x:c>
      <x:c r="B9" s="17" t="str">
        <x:v>ΔE相对降低</x:v>
      </x:c>
      <x:c r="C9" s="19" t="n">
        <x:f>'结论面板'!C12</x:f>
        <x:v>0.4125</x:v>
      </x:c>
      <x:c r="D9" s="17" t="str">
        <x:v>%</x:v>
      </x:c>
      <x:c r="E9" s="17" t="str">
        <x:v>结论面板C12</x:v>
      </x:c>
      <x:c r="F9" s="17" t="str">
        <x:v>报告正文</x:v>
      </x:c>
      <x:c r="G9" s="17" t="str">
        <x:v>一致</x:v>
      </x:c>
    </x:row>
    <x:row r="10">
      <x:c r="A10" s="17" t="str">
        <x:v>X06</x:v>
      </x:c>
      <x:c r="B10" s="17" t="str">
        <x:v>WSP相对降低</x:v>
      </x:c>
      <x:c r="C10" s="19" t="n">
        <x:f>'结论面板'!C13</x:f>
        <x:v>0.23809523809523808</x:v>
      </x:c>
      <x:c r="D10" s="17" t="str">
        <x:v>%</x:v>
      </x:c>
      <x:c r="E10" s="17" t="str">
        <x:v>结论面板C13</x:v>
      </x:c>
      <x:c r="F10" s="17" t="str">
        <x:v>报告正文</x:v>
      </x:c>
      <x:c r="G10" s="17" t="str">
        <x:v>一致</x:v>
      </x:c>
    </x:row>
    <x:row r="11">
      <x:c r="A11" s="17" t="str">
        <x:v>X07</x:v>
      </x:c>
      <x:c r="B11" s="17" t="str">
        <x:v>PG相对降低</x:v>
      </x:c>
      <x:c r="C11" s="19" t="n">
        <x:f>'结论面板'!C14</x:f>
        <x:v>0.3538461538461538</x:v>
      </x:c>
      <x:c r="D11" s="17" t="str">
        <x:v>%</x:v>
      </x:c>
      <x:c r="E11" s="17" t="str">
        <x:v>结论面板C14</x:v>
      </x:c>
      <x:c r="F11" s="17" t="str">
        <x:v>报告正文</x:v>
      </x:c>
      <x:c r="G11" s="17" t="str">
        <x:v>一致</x:v>
      </x:c>
    </x:row>
    <x:row r="12">
      <x:c r="A12" s="17" t="str">
        <x:v>X08</x:v>
      </x:c>
      <x:c r="B12" s="17" t="str">
        <x:v>预算净收益</x:v>
      </x:c>
      <x:c r="C12" s="58" t="n">
        <x:f>'结论面板'!C15</x:f>
        <x:v>84271.4311491971</x:v>
      </x:c>
      <x:c r="D12" s="17" t="str">
        <x:v>元</x:v>
      </x:c>
      <x:c r="E12" s="17" t="str">
        <x:v>结论面板C15</x:v>
      </x:c>
      <x:c r="F12" s="17" t="str">
        <x:v>报告经营测算</x:v>
      </x:c>
      <x:c r="G12" s="17" t="str">
        <x:v>一致</x:v>
      </x:c>
    </x:row>
    <x:row r="13">
      <x:c r="A13" s="17" t="str">
        <x:v>X09</x:v>
      </x:c>
      <x:c r="B13" s="17" t="str">
        <x:v>预算收益成本比</x:v>
      </x:c>
      <x:c r="C13" s="57" t="n">
        <x:f>'结论面板'!C16</x:f>
        <x:v>9.859206621868225</x:v>
      </x:c>
      <x:c r="D13" s="17" t="str">
        <x:v>-</x:v>
      </x:c>
      <x:c r="E13" s="17" t="str">
        <x:v>结论面板C16</x:v>
      </x:c>
      <x:c r="F13" s="17" t="str">
        <x:v>报告经营测算</x:v>
      </x:c>
      <x:c r="G13" s="17" t="str">
        <x:v>一致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6" hidden="0" customWidth="1"/>
    <x:col min="4" max="4" width="40" hidden="0" customWidth="1"/>
    <x:col min="5" max="5" width="24" hidden="0" customWidth="1"/>
    <x:col min="6" max="6" width="14" hidden="0" customWidth="1"/>
    <x:col min="7" max="7" width="12" hidden="0" customWidth="1"/>
    <x:col min="8" max="8" width="18" hidden="0" customWidth="1"/>
  </x:cols>
  <x:sheetData>
    <x:row r="1" ht="30" customHeight="1">
      <x:c r="A1" s="3" t="str">
        <x:v>多基地确证验证项目总览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小试信号、确证规模、主要终点、设备放行和经营门槛集中呈现。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项目ID</x:v>
      </x:c>
      <x:c r="B4" s="13" t="str">
        <x:v>主题</x:v>
      </x:c>
      <x:c r="C4" s="13" t="str">
        <x:v>项目设定</x:v>
      </x:c>
      <x:c r="D4" s="13" t="str">
        <x:v>关键口径</x:v>
      </x:c>
      <x:c r="E4" s="13" t="str">
        <x:v>证据位置</x:v>
      </x:c>
      <x:c r="F4" s="13" t="str">
        <x:v>状态</x:v>
      </x:c>
      <x:c r="G4" s="13" t="str">
        <x:v>阶段门</x:v>
      </x:c>
      <x:c r="H4" s="13" t="str">
        <x:v>责任</x:v>
      </x:c>
    </x:row>
    <x:row r="5">
      <x:c r="A5" s="17" t="str">
        <x:v>P01</x:v>
      </x:c>
      <x:c r="B5" s="17" t="str">
        <x:v>匹配题号</x:v>
      </x:c>
      <x:c r="C5" s="17" t="str">
        <x:v>AG-T8-030</x:v>
      </x:c>
      <x:c r="D5" s="17" t="str">
        <x:v>田间试验设计与效果评价</x:v>
      </x:c>
      <x:c r="E5" s="17" t="str">
        <x:v>项目立项</x:v>
      </x:c>
      <x:c r="F5" s="17" t="str">
        <x:v>确定</x:v>
      </x:c>
      <x:c r="G5" s="17" t="str">
        <x:v>G0</x:v>
      </x:c>
      <x:c r="H5" s="17" t="str">
        <x:v>项目办公室</x:v>
      </x:c>
    </x:row>
    <x:row r="6">
      <x:c r="A6" s="17" t="str">
        <x:v>P02</x:v>
      </x:c>
      <x:c r="B6" s="17" t="str">
        <x:v>确证范围</x:v>
      </x:c>
      <x:c r="C6" s="17" t="str">
        <x:v>4基地×2品种×2产季×2批次</x:v>
      </x:c>
      <x:c r="D6" s="17" t="str">
        <x:v>32个独立批次</x:v>
      </x:c>
      <x:c r="E6" s="17" t="str">
        <x:v>基地品种产季</x:v>
      </x:c>
      <x:c r="F6" s="17" t="str">
        <x:v>计划</x:v>
      </x:c>
      <x:c r="G6" s="17" t="str">
        <x:v>G1</x:v>
      </x:c>
      <x:c r="H6" s="17" t="str">
        <x:v>运营组</x:v>
      </x:c>
    </x:row>
    <x:row r="7">
      <x:c r="A7" s="17" t="str">
        <x:v>P03</x:v>
      </x:c>
      <x:c r="B7" s="17" t="str">
        <x:v>确证处理</x:v>
      </x:c>
      <x:c r="C7" s="17" t="str">
        <x:v>0 mT对照与5 mT连续</x:v>
      </x:c>
      <x:c r="D7" s="17" t="str">
        <x:v>批次内分层区组随机</x:v>
      </x:c>
      <x:c r="E7" s="17" t="str">
        <x:v>项目与设计</x:v>
      </x:c>
      <x:c r="F7" s="17" t="str">
        <x:v>计划</x:v>
      </x:c>
      <x:c r="G7" s="17" t="str">
        <x:v>G1</x:v>
      </x:c>
      <x:c r="H7" s="17" t="str">
        <x:v>研发组</x:v>
      </x:c>
    </x:row>
    <x:row r="8">
      <x:c r="A8" s="17" t="str">
        <x:v>P04</x:v>
      </x:c>
      <x:c r="B8" s="17" t="str">
        <x:v>主要终点</x:v>
      </x:c>
      <x:c r="C8" s="17" t="str">
        <x:v>15 d硬度、15 d腐烂率</x:v>
      </x:c>
      <x:c r="D8" s="17" t="str">
        <x:v>4 N；15个百分点</x:v>
      </x:c>
      <x:c r="E8" s="17" t="str">
        <x:v>预注册摘要</x:v>
      </x:c>
      <x:c r="F8" s="17" t="str">
        <x:v>冻结前</x:v>
      </x:c>
      <x:c r="G8" s="17" t="str">
        <x:v>G1</x:v>
      </x:c>
      <x:c r="H8" s="17" t="str">
        <x:v>统计组</x:v>
      </x:c>
    </x:row>
    <x:row r="9">
      <x:c r="A9" s="17" t="str">
        <x:v>P05</x:v>
      </x:c>
      <x:c r="B9" s="17" t="str">
        <x:v>最低独立批次</x:v>
      </x:c>
      <x:c r="C9" s="17" t="str">
        <x:v>22批</x:v>
      </x:c>
      <x:c r="D9" s="17" t="str">
        <x:v>计划32批，覆盖率145.45%</x:v>
      </x:c>
      <x:c r="E9" s="17" t="str">
        <x:v>样本量复核</x:v>
      </x:c>
      <x:c r="F9" s="17" t="str">
        <x:v>满足</x:v>
      </x:c>
      <x:c r="G9" s="17" t="str">
        <x:v>G1</x:v>
      </x:c>
      <x:c r="H9" s="17" t="str">
        <x:v>统计组</x:v>
      </x:c>
    </x:row>
    <x:row r="10">
      <x:c r="A10" s="17" t="str">
        <x:v>P06</x:v>
      </x:c>
      <x:c r="B10" s="17" t="str">
        <x:v>理化检测样品</x:v>
      </x:c>
      <x:c r="C10" s="17" t="str">
        <x:v>5,376枚</x:v>
      </x:c>
      <x:c r="D10" s="17" t="str">
        <x:v>每单元12枚+2枚预留</x:v>
      </x:c>
      <x:c r="E10" s="17" t="str">
        <x:v>确证批次计划</x:v>
      </x:c>
      <x:c r="F10" s="17" t="str">
        <x:v>计划</x:v>
      </x:c>
      <x:c r="G10" s="17" t="str">
        <x:v>G1</x:v>
      </x:c>
      <x:c r="H10" s="17" t="str">
        <x:v>研发组</x:v>
      </x:c>
    </x:row>
    <x:row r="11">
      <x:c r="A11" s="17" t="str">
        <x:v>P07</x:v>
      </x:c>
      <x:c r="B11" s="17" t="str">
        <x:v>货架期随访样品</x:v>
      </x:c>
      <x:c r="C11" s="17" t="str">
        <x:v>1,280枚</x:v>
      </x:c>
      <x:c r="D11" s="17" t="str">
        <x:v>每批每处理20枚</x:v>
      </x:c>
      <x:c r="E11" s="17" t="str">
        <x:v>样本量规划</x:v>
      </x:c>
      <x:c r="F11" s="17" t="str">
        <x:v>计划</x:v>
      </x:c>
      <x:c r="G11" s="17" t="str">
        <x:v>G1</x:v>
      </x:c>
      <x:c r="H11" s="17" t="str">
        <x:v>质量组</x:v>
      </x:c>
    </x:row>
    <x:row r="12">
      <x:c r="A12" s="17" t="str">
        <x:v>P08</x:v>
      </x:c>
      <x:c r="B12" s="17" t="str">
        <x:v>设备确认</x:v>
      </x:c>
      <x:c r="C12" s="17" t="str">
        <x:v>4台同版设备、108个三维测点</x:v>
      </x:c>
      <x:c r="D12" s="17" t="str">
        <x:v>5.00±0.25 mT；CV≤5%；温升≤0.3℃</x:v>
      </x:c>
      <x:c r="E12" s="17" t="str">
        <x:v>设备与环境</x:v>
      </x:c>
      <x:c r="F12" s="17" t="str">
        <x:v>待放行</x:v>
      </x:c>
      <x:c r="G12" s="17" t="str">
        <x:v>G2</x:v>
      </x:c>
      <x:c r="H12" s="17" t="str">
        <x:v>设备组</x:v>
      </x:c>
    </x:row>
    <x:row r="13">
      <x:c r="A13" s="17" t="str">
        <x:v>P09</x:v>
      </x:c>
      <x:c r="B13" s="17" t="str">
        <x:v>统计框架</x:v>
      </x:c>
      <x:c r="C13" s="17" t="str">
        <x:v>混合效应、GLMM、生存分析</x:v>
      </x:c>
      <x:c r="D13" s="17" t="str">
        <x:v>效应量、95%CI、Holm校正</x:v>
      </x:c>
      <x:c r="E13" s="17" t="str">
        <x:v>统计模型</x:v>
      </x:c>
      <x:c r="F13" s="17" t="str">
        <x:v>待冻结</x:v>
      </x:c>
      <x:c r="G13" s="17" t="str">
        <x:v>G1</x:v>
      </x:c>
      <x:c r="H13" s="17" t="str">
        <x:v>统计组</x:v>
      </x:c>
    </x:row>
    <x:row r="14">
      <x:c r="A14" s="17" t="str">
        <x:v>P10</x:v>
      </x:c>
      <x:c r="B14" s="17" t="str">
        <x:v>评审治理</x:v>
      </x:c>
      <x:c r="C14" s="17" t="str">
        <x:v>24轮批次与阶段评审</x:v>
      </x:c>
      <x:c r="D14" s="17" t="str">
        <x:v>关键失败进入RCA</x:v>
      </x:c>
      <x:c r="E14" s="17" t="str">
        <x:v>评审计划</x:v>
      </x:c>
      <x:c r="F14" s="17" t="str">
        <x:v>计划</x:v>
      </x:c>
      <x:c r="G14" s="17" t="str">
        <x:v>G0-G5</x:v>
      </x:c>
      <x:c r="H14" s="17" t="str">
        <x:v>项目委员会</x:v>
      </x:c>
    </x:row>
    <x:row r="15">
      <x:c r="A15" s="17" t="str">
        <x:v>P11</x:v>
      </x:c>
      <x:c r="B15" s="17" t="str">
        <x:v>转化门槛</x:v>
      </x:c>
      <x:c r="C15" s="17" t="str">
        <x:v>货架期≥2 d；合格率≥90%</x:v>
      </x:c>
      <x:c r="D15" s="17" t="str">
        <x:v>商业冷库与运输验证</x:v>
      </x:c>
      <x:c r="E15" s="17" t="str">
        <x:v>部署控制</x:v>
      </x:c>
      <x:c r="F15" s="17" t="str">
        <x:v>待验证</x:v>
      </x:c>
      <x:c r="G15" s="17" t="str">
        <x:v>G4</x:v>
      </x:c>
      <x:c r="H15" s="17" t="str">
        <x:v>运营/质量</x:v>
      </x:c>
    </x:row>
    <x:row r="16">
      <x:c r="A16" s="17" t="str">
        <x:v>P12</x:v>
      </x:c>
      <x:c r="B16" s="17" t="str">
        <x:v>投资门槛</x:v>
      </x:c>
      <x:c r="C16" s="17" t="str">
        <x:v>报损改善≥5个百分点；BCR≥1.50；回收期≤24月</x:v>
      </x:c>
      <x:c r="D16" s="17" t="str">
        <x:v>同口径台账和完整成本</x:v>
      </x:c>
      <x:c r="E16" s="17" t="str">
        <x:v>经营测算</x:v>
      </x:c>
      <x:c r="F16" s="17" t="str">
        <x:v>待验证</x:v>
      </x:c>
      <x:c r="G16" s="17" t="str">
        <x:v>G5</x:v>
      </x:c>
      <x:c r="H16" s="17" t="str">
        <x:v>财务组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52" hidden="0" customWidth="1"/>
  </x:cols>
  <x:sheetData>
    <x:row r="1" ht="30" customHeight="1">
      <x:c r="A1" s="3" t="str">
        <x:v>样本量与样品规模复核</x:v>
      </x:c>
      <x:c r="B1" s="3"/>
      <x:c r="C1" s="3"/>
      <x:c r="D1" s="3"/>
    </x:row>
    <x:row r="2" ht="34" customHeight="1">
      <x:c r="A2" s="7" t="str">
        <x:v>独立批次数采用配对差异公式计算，并计入15%批次损耗。</x:v>
      </x:c>
      <x:c r="B2" s="7"/>
      <x:c r="C2" s="7"/>
      <x:c r="D2" s="7"/>
    </x:row>
    <x:row r="4" ht="30" customHeight="1">
      <x:c r="A4" s="13" t="str">
        <x:v>参数ID</x:v>
      </x:c>
      <x:c r="B4" s="13" t="str">
        <x:v>参数</x:v>
      </x:c>
      <x:c r="C4" s="13" t="str">
        <x:v>数值</x:v>
      </x:c>
      <x:c r="D4" s="13" t="str">
        <x:v>定义/单位</x:v>
      </x:c>
    </x:row>
    <x:row r="5">
      <x:c r="A5" s="17" t="str">
        <x:v>SS01</x:v>
      </x:c>
      <x:c r="B5" s="17" t="str">
        <x:v>双侧显著性水平</x:v>
      </x:c>
      <x:c r="C5" s="60" t="n">
        <x:v>0.05</x:v>
      </x:c>
      <x:c r="D5" s="17" t="str">
        <x:v>α</x:v>
      </x:c>
    </x:row>
    <x:row r="6">
      <x:c r="A6" s="17" t="str">
        <x:v>SS02</x:v>
      </x:c>
      <x:c r="B6" s="17" t="str">
        <x:v>检验效能</x:v>
      </x:c>
      <x:c r="C6" s="60" t="n">
        <x:v>0.8</x:v>
      </x:c>
      <x:c r="D6" s="17" t="str">
        <x:v>1-β</x:v>
      </x:c>
    </x:row>
    <x:row r="7">
      <x:c r="A7" s="17" t="str">
        <x:v>SS03</x:v>
      </x:c>
      <x:c r="B7" s="17" t="str">
        <x:v>双侧Z值</x:v>
      </x:c>
      <x:c r="C7" s="57" t="n">
        <x:v>1.96</x:v>
      </x:c>
      <x:c r="D7" s="17" t="str">
        <x:v>Z(1-α/2)</x:v>
      </x:c>
    </x:row>
    <x:row r="8">
      <x:c r="A8" s="17" t="str">
        <x:v>SS04</x:v>
      </x:c>
      <x:c r="B8" s="17" t="str">
        <x:v>效能Z值</x:v>
      </x:c>
      <x:c r="C8" s="57" t="n">
        <x:v>0.84</x:v>
      </x:c>
      <x:c r="D8" s="17" t="str">
        <x:v>Z(1-β)</x:v>
      </x:c>
    </x:row>
    <x:row r="9">
      <x:c r="A9" s="17" t="str">
        <x:v>SS05</x:v>
      </x:c>
      <x:c r="B9" s="17" t="str">
        <x:v>批次配对差标准差</x:v>
      </x:c>
      <x:c r="C9" s="57" t="n">
        <x:v>6</x:v>
      </x:c>
      <x:c r="D9" s="17" t="str">
        <x:v>N</x:v>
      </x:c>
    </x:row>
    <x:row r="10">
      <x:c r="A10" s="17" t="str">
        <x:v>SS06</x:v>
      </x:c>
      <x:c r="B10" s="17" t="str">
        <x:v>硬度最小有意义差异</x:v>
      </x:c>
      <x:c r="C10" s="57" t="n">
        <x:v>4</x:v>
      </x:c>
      <x:c r="D10" s="17" t="str">
        <x:v>N</x:v>
      </x:c>
    </x:row>
    <x:row r="11">
      <x:c r="A11" s="17" t="str">
        <x:v>SS07</x:v>
      </x:c>
      <x:c r="B11" s="17" t="str">
        <x:v>原始独立批次数</x:v>
      </x:c>
      <x:c r="C11" s="57" t="n">
        <x:f>CEILING(POWER(C7+C8,2)*POWER(C9,2)/POWER(C10,2),1)</x:f>
        <x:v>18</x:v>
      </x:c>
      <x:c r="D11" s="17" t="str">
        <x:v>CEILING((Zα+Zβ)^2×σd^2/δ^2)</x:v>
      </x:c>
    </x:row>
    <x:row r="12">
      <x:c r="A12" s="17" t="str">
        <x:v>SS08</x:v>
      </x:c>
      <x:c r="B12" s="17" t="str">
        <x:v>批次损耗预留</x:v>
      </x:c>
      <x:c r="C12" s="60" t="n">
        <x:v>0.15</x:v>
      </x:c>
      <x:c r="D12" s="17" t="str">
        <x:v>比例</x:v>
      </x:c>
    </x:row>
    <x:row r="13">
      <x:c r="A13" s="17" t="str">
        <x:v>SS09</x:v>
      </x:c>
      <x:c r="B13" s="17" t="str">
        <x:v>调整后最低批次数</x:v>
      </x:c>
      <x:c r="C13" s="57" t="n">
        <x:f>CEILING(C11/(1-C12),1)</x:f>
        <x:v>22</x:v>
      </x:c>
      <x:c r="D13" s="17" t="str">
        <x:v>CEILING(原始批次/(1-损耗))</x:v>
      </x:c>
    </x:row>
    <x:row r="14">
      <x:c r="A14" s="17" t="str">
        <x:v>SS10</x:v>
      </x:c>
      <x:c r="B14" s="17" t="str">
        <x:v>计划独立批次数</x:v>
      </x:c>
      <x:c r="C14" s="57" t="n">
        <x:v>32</x:v>
      </x:c>
      <x:c r="D14" s="17" t="str">
        <x:v>批</x:v>
      </x:c>
    </x:row>
    <x:row r="15">
      <x:c r="A15" s="17" t="str">
        <x:v>SS11</x:v>
      </x:c>
      <x:c r="B15" s="17" t="str">
        <x:v>计划/最低覆盖率</x:v>
      </x:c>
      <x:c r="C15" s="19" t="n">
        <x:f>C14/C13</x:f>
        <x:v>1.4545454545454546</x:v>
      </x:c>
      <x:c r="D15" s="17" t="str">
        <x:v>计划批次/最低批次</x:v>
      </x:c>
    </x:row>
    <x:row r="16">
      <x:c r="A16" s="17" t="str">
        <x:v>SS12</x:v>
      </x:c>
      <x:c r="B16" s="17" t="str">
        <x:v>每单元有效样品</x:v>
      </x:c>
      <x:c r="C16" s="57" t="n">
        <x:v>12</x:v>
      </x:c>
      <x:c r="D16" s="17" t="str">
        <x:v>枚</x:v>
      </x:c>
    </x:row>
    <x:row r="17">
      <x:c r="A17" s="17" t="str">
        <x:v>SS13</x:v>
      </x:c>
      <x:c r="B17" s="17" t="str">
        <x:v>每单元预留样品</x:v>
      </x:c>
      <x:c r="C17" s="57" t="n">
        <x:v>2</x:v>
      </x:c>
      <x:c r="D17" s="17" t="str">
        <x:v>枚</x:v>
      </x:c>
    </x:row>
    <x:row r="18">
      <x:c r="A18" s="17" t="str">
        <x:v>SS14</x:v>
      </x:c>
      <x:c r="B18" s="17" t="str">
        <x:v>时间点</x:v>
      </x:c>
      <x:c r="C18" s="57" t="n">
        <x:v>6</x:v>
      </x:c>
      <x:c r="D18" s="17" t="str">
        <x:v>个</x:v>
      </x:c>
    </x:row>
    <x:row r="19">
      <x:c r="A19" s="17" t="str">
        <x:v>SS15</x:v>
      </x:c>
      <x:c r="B19" s="17" t="str">
        <x:v>处理组</x:v>
      </x:c>
      <x:c r="C19" s="57" t="n">
        <x:v>2</x:v>
      </x:c>
      <x:c r="D19" s="17" t="str">
        <x:v>组</x:v>
      </x:c>
    </x:row>
    <x:row r="20">
      <x:c r="A20" s="17" t="str">
        <x:v>SS16</x:v>
      </x:c>
      <x:c r="B20" s="17" t="str">
        <x:v>理化检测计划样品</x:v>
      </x:c>
      <x:c r="C20" s="57" t="n">
        <x:f>C14*C19*C18*(C16+C17)</x:f>
        <x:v>5376</x:v>
      </x:c>
      <x:c r="D20" s="17" t="str">
        <x:v>32×2×6×(12+2)</x:v>
      </x:c>
    </x:row>
    <x:row r="21">
      <x:c r="A21" s="17" t="str">
        <x:v>SS17</x:v>
      </x:c>
      <x:c r="B21" s="17" t="str">
        <x:v>每批每处理随访样品</x:v>
      </x:c>
      <x:c r="C21" s="57" t="n">
        <x:v>20</x:v>
      </x:c>
      <x:c r="D21" s="17" t="str">
        <x:v>枚</x:v>
      </x:c>
    </x:row>
    <x:row r="22">
      <x:c r="A22" s="17" t="str">
        <x:v>SS18</x:v>
      </x:c>
      <x:c r="B22" s="17" t="str">
        <x:v>货架期随访计划样品</x:v>
      </x:c>
      <x:c r="C22" s="57" t="n">
        <x:f>C14*C19*C21</x:f>
        <x:v>1280</x:v>
      </x:c>
      <x:c r="D22" s="17" t="str">
        <x:v>32×2×20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4" hidden="0" customWidth="1"/>
    <x:col min="5" max="5" width="14" hidden="0" customWidth="1"/>
    <x:col min="6" max="6" width="10" hidden="0" customWidth="1"/>
    <x:col min="7" max="7" width="14" hidden="0" customWidth="1"/>
    <x:col min="8" max="8" width="12" hidden="0" customWidth="1"/>
    <x:col min="9" max="9" width="18" hidden="0" customWidth="1"/>
    <x:col min="10" max="10" width="12" hidden="0" customWidth="1"/>
    <x:col min="11" max="11" width="14" hidden="0" customWidth="1"/>
    <x:col min="12" max="12" width="16" hidden="0" customWidth="1"/>
  </x:cols>
  <x:sheetData>
    <x:row r="1" ht="30" customHeight="1">
      <x:c r="A1" s="3" t="str">
        <x:v>基地、品种、产季与独立批次矩阵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每个基地覆盖两个品种和两个产季，每个组合安排两个独立批次。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3" t="str">
        <x:v>批次ID</x:v>
      </x:c>
      <x:c r="B4" s="13" t="str">
        <x:v>基地ID</x:v>
      </x:c>
      <x:c r="C4" s="13" t="str">
        <x:v>基地</x:v>
      </x:c>
      <x:c r="D4" s="13" t="str">
        <x:v>品种ID</x:v>
      </x:c>
      <x:c r="E4" s="13" t="str">
        <x:v>品种</x:v>
      </x:c>
      <x:c r="F4" s="13" t="str">
        <x:v>产季ID</x:v>
      </x:c>
      <x:c r="G4" s="13" t="str">
        <x:v>产季</x:v>
      </x:c>
      <x:c r="H4" s="13" t="str">
        <x:v>独立批次</x:v>
      </x:c>
      <x:c r="I4" s="13" t="str">
        <x:v>处理</x:v>
      </x:c>
      <x:c r="J4" s="13" t="str">
        <x:v>时间点</x:v>
      </x:c>
      <x:c r="K4" s="13" t="str">
        <x:v>每单元样品</x:v>
      </x:c>
      <x:c r="L4" s="13" t="str">
        <x:v>批次理化样品</x:v>
      </x:c>
    </x:row>
    <x:row r="5">
      <x:c r="A5" s="17" t="str">
        <x:v>B01-V01-S01-B1</x:v>
      </x:c>
      <x:c r="B5" s="17" t="str">
        <x:v>B01</x:v>
      </x:c>
      <x:c r="C5" s="17" t="str">
        <x:v>粤西基地</x:v>
      </x:c>
      <x:c r="D5" s="17" t="str">
        <x:v>V01</x:v>
      </x:c>
      <x:c r="E5" s="17" t="str">
        <x:v>红颜</x:v>
      </x:c>
      <x:c r="F5" s="17" t="str">
        <x:v>S01</x:v>
      </x:c>
      <x:c r="G5" s="17" t="str">
        <x:v>冬春季</x:v>
      </x:c>
      <x:c r="H5" s="17" t="n">
        <x:v>1</x:v>
      </x:c>
      <x:c r="I5" s="17" t="str">
        <x:v>0 mT/5 mT</x:v>
      </x:c>
      <x:c r="J5" s="17" t="n">
        <x:v>6</x:v>
      </x:c>
      <x:c r="K5" s="17" t="n">
        <x:v>14</x:v>
      </x:c>
      <x:c r="L5" s="17" t="n">
        <x:v>168</x:v>
      </x:c>
    </x:row>
    <x:row r="6">
      <x:c r="A6" s="17" t="str">
        <x:v>B01-V01-S01-B2</x:v>
      </x:c>
      <x:c r="B6" s="17" t="str">
        <x:v>B01</x:v>
      </x:c>
      <x:c r="C6" s="17" t="str">
        <x:v>粤西基地</x:v>
      </x:c>
      <x:c r="D6" s="17" t="str">
        <x:v>V01</x:v>
      </x:c>
      <x:c r="E6" s="17" t="str">
        <x:v>红颜</x:v>
      </x:c>
      <x:c r="F6" s="17" t="str">
        <x:v>S01</x:v>
      </x:c>
      <x:c r="G6" s="17" t="str">
        <x:v>冬春季</x:v>
      </x:c>
      <x:c r="H6" s="17" t="n">
        <x:v>2</x:v>
      </x:c>
      <x:c r="I6" s="17" t="str">
        <x:v>0 mT/5 mT</x:v>
      </x:c>
      <x:c r="J6" s="17" t="n">
        <x:v>6</x:v>
      </x:c>
      <x:c r="K6" s="17" t="n">
        <x:v>14</x:v>
      </x:c>
      <x:c r="L6" s="17" t="n">
        <x:v>168</x:v>
      </x:c>
    </x:row>
    <x:row r="7">
      <x:c r="A7" s="17" t="str">
        <x:v>B01-V01-S02-B1</x:v>
      </x:c>
      <x:c r="B7" s="17" t="str">
        <x:v>B01</x:v>
      </x:c>
      <x:c r="C7" s="17" t="str">
        <x:v>粤西基地</x:v>
      </x:c>
      <x:c r="D7" s="17" t="str">
        <x:v>V01</x:v>
      </x:c>
      <x:c r="E7" s="17" t="str">
        <x:v>红颜</x:v>
      </x:c>
      <x:c r="F7" s="17" t="str">
        <x:v>S02</x:v>
      </x:c>
      <x:c r="G7" s="17" t="str">
        <x:v>春夏季</x:v>
      </x:c>
      <x:c r="H7" s="17" t="n">
        <x:v>1</x:v>
      </x:c>
      <x:c r="I7" s="17" t="str">
        <x:v>0 mT/5 mT</x:v>
      </x:c>
      <x:c r="J7" s="17" t="n">
        <x:v>6</x:v>
      </x:c>
      <x:c r="K7" s="17" t="n">
        <x:v>14</x:v>
      </x:c>
      <x:c r="L7" s="17" t="n">
        <x:v>168</x:v>
      </x:c>
    </x:row>
    <x:row r="8">
      <x:c r="A8" s="17" t="str">
        <x:v>B01-V01-S02-B2</x:v>
      </x:c>
      <x:c r="B8" s="17" t="str">
        <x:v>B01</x:v>
      </x:c>
      <x:c r="C8" s="17" t="str">
        <x:v>粤西基地</x:v>
      </x:c>
      <x:c r="D8" s="17" t="str">
        <x:v>V01</x:v>
      </x:c>
      <x:c r="E8" s="17" t="str">
        <x:v>红颜</x:v>
      </x:c>
      <x:c r="F8" s="17" t="str">
        <x:v>S02</x:v>
      </x:c>
      <x:c r="G8" s="17" t="str">
        <x:v>春夏季</x:v>
      </x:c>
      <x:c r="H8" s="17" t="n">
        <x:v>2</x:v>
      </x:c>
      <x:c r="I8" s="17" t="str">
        <x:v>0 mT/5 mT</x:v>
      </x:c>
      <x:c r="J8" s="17" t="n">
        <x:v>6</x:v>
      </x:c>
      <x:c r="K8" s="17" t="n">
        <x:v>14</x:v>
      </x:c>
      <x:c r="L8" s="17" t="n">
        <x:v>168</x:v>
      </x:c>
    </x:row>
    <x:row r="9">
      <x:c r="A9" s="17" t="str">
        <x:v>B01-V02-S01-B1</x:v>
      </x:c>
      <x:c r="B9" s="17" t="str">
        <x:v>B01</x:v>
      </x:c>
      <x:c r="C9" s="17" t="str">
        <x:v>粤西基地</x:v>
      </x:c>
      <x:c r="D9" s="17" t="str">
        <x:v>V02</x:v>
      </x:c>
      <x:c r="E9" s="17" t="str">
        <x:v>章姬</x:v>
      </x:c>
      <x:c r="F9" s="17" t="str">
        <x:v>S01</x:v>
      </x:c>
      <x:c r="G9" s="17" t="str">
        <x:v>冬春季</x:v>
      </x:c>
      <x:c r="H9" s="17" t="n">
        <x:v>1</x:v>
      </x:c>
      <x:c r="I9" s="17" t="str">
        <x:v>0 mT/5 mT</x:v>
      </x:c>
      <x:c r="J9" s="17" t="n">
        <x:v>6</x:v>
      </x:c>
      <x:c r="K9" s="17" t="n">
        <x:v>14</x:v>
      </x:c>
      <x:c r="L9" s="17" t="n">
        <x:v>168</x:v>
      </x:c>
    </x:row>
    <x:row r="10">
      <x:c r="A10" s="17" t="str">
        <x:v>B01-V02-S01-B2</x:v>
      </x:c>
      <x:c r="B10" s="17" t="str">
        <x:v>B01</x:v>
      </x:c>
      <x:c r="C10" s="17" t="str">
        <x:v>粤西基地</x:v>
      </x:c>
      <x:c r="D10" s="17" t="str">
        <x:v>V02</x:v>
      </x:c>
      <x:c r="E10" s="17" t="str">
        <x:v>章姬</x:v>
      </x:c>
      <x:c r="F10" s="17" t="str">
        <x:v>S01</x:v>
      </x:c>
      <x:c r="G10" s="17" t="str">
        <x:v>冬春季</x:v>
      </x:c>
      <x:c r="H10" s="17" t="n">
        <x:v>2</x:v>
      </x:c>
      <x:c r="I10" s="17" t="str">
        <x:v>0 mT/5 mT</x:v>
      </x:c>
      <x:c r="J10" s="17" t="n">
        <x:v>6</x:v>
      </x:c>
      <x:c r="K10" s="17" t="n">
        <x:v>14</x:v>
      </x:c>
      <x:c r="L10" s="17" t="n">
        <x:v>168</x:v>
      </x:c>
    </x:row>
    <x:row r="11">
      <x:c r="A11" s="17" t="str">
        <x:v>B01-V02-S02-B1</x:v>
      </x:c>
      <x:c r="B11" s="17" t="str">
        <x:v>B01</x:v>
      </x:c>
      <x:c r="C11" s="17" t="str">
        <x:v>粤西基地</x:v>
      </x:c>
      <x:c r="D11" s="17" t="str">
        <x:v>V02</x:v>
      </x:c>
      <x:c r="E11" s="17" t="str">
        <x:v>章姬</x:v>
      </x:c>
      <x:c r="F11" s="17" t="str">
        <x:v>S02</x:v>
      </x:c>
      <x:c r="G11" s="17" t="str">
        <x:v>春夏季</x:v>
      </x:c>
      <x:c r="H11" s="17" t="n">
        <x:v>1</x:v>
      </x:c>
      <x:c r="I11" s="17" t="str">
        <x:v>0 mT/5 mT</x:v>
      </x:c>
      <x:c r="J11" s="17" t="n">
        <x:v>6</x:v>
      </x:c>
      <x:c r="K11" s="17" t="n">
        <x:v>14</x:v>
      </x:c>
      <x:c r="L11" s="17" t="n">
        <x:v>168</x:v>
      </x:c>
    </x:row>
    <x:row r="12">
      <x:c r="A12" s="17" t="str">
        <x:v>B01-V02-S02-B2</x:v>
      </x:c>
      <x:c r="B12" s="17" t="str">
        <x:v>B01</x:v>
      </x:c>
      <x:c r="C12" s="17" t="str">
        <x:v>粤西基地</x:v>
      </x:c>
      <x:c r="D12" s="17" t="str">
        <x:v>V02</x:v>
      </x:c>
      <x:c r="E12" s="17" t="str">
        <x:v>章姬</x:v>
      </x:c>
      <x:c r="F12" s="17" t="str">
        <x:v>S02</x:v>
      </x:c>
      <x:c r="G12" s="17" t="str">
        <x:v>春夏季</x:v>
      </x:c>
      <x:c r="H12" s="17" t="n">
        <x:v>2</x:v>
      </x:c>
      <x:c r="I12" s="17" t="str">
        <x:v>0 mT/5 mT</x:v>
      </x:c>
      <x:c r="J12" s="17" t="n">
        <x:v>6</x:v>
      </x:c>
      <x:c r="K12" s="17" t="n">
        <x:v>14</x:v>
      </x:c>
      <x:c r="L12" s="17" t="n">
        <x:v>168</x:v>
      </x:c>
    </x:row>
    <x:row r="13">
      <x:c r="A13" s="17" t="str">
        <x:v>B02-V01-S01-B1</x:v>
      </x:c>
      <x:c r="B13" s="17" t="str">
        <x:v>B02</x:v>
      </x:c>
      <x:c r="C13" s="17" t="str">
        <x:v>桂中基地</x:v>
      </x:c>
      <x:c r="D13" s="17" t="str">
        <x:v>V01</x:v>
      </x:c>
      <x:c r="E13" s="17" t="str">
        <x:v>红颜</x:v>
      </x:c>
      <x:c r="F13" s="17" t="str">
        <x:v>S01</x:v>
      </x:c>
      <x:c r="G13" s="17" t="str">
        <x:v>冬春季</x:v>
      </x:c>
      <x:c r="H13" s="17" t="n">
        <x:v>1</x:v>
      </x:c>
      <x:c r="I13" s="17" t="str">
        <x:v>0 mT/5 mT</x:v>
      </x:c>
      <x:c r="J13" s="17" t="n">
        <x:v>6</x:v>
      </x:c>
      <x:c r="K13" s="17" t="n">
        <x:v>14</x:v>
      </x:c>
      <x:c r="L13" s="17" t="n">
        <x:v>168</x:v>
      </x:c>
    </x:row>
    <x:row r="14">
      <x:c r="A14" s="17" t="str">
        <x:v>B02-V01-S01-B2</x:v>
      </x:c>
      <x:c r="B14" s="17" t="str">
        <x:v>B02</x:v>
      </x:c>
      <x:c r="C14" s="17" t="str">
        <x:v>桂中基地</x:v>
      </x:c>
      <x:c r="D14" s="17" t="str">
        <x:v>V01</x:v>
      </x:c>
      <x:c r="E14" s="17" t="str">
        <x:v>红颜</x:v>
      </x:c>
      <x:c r="F14" s="17" t="str">
        <x:v>S01</x:v>
      </x:c>
      <x:c r="G14" s="17" t="str">
        <x:v>冬春季</x:v>
      </x:c>
      <x:c r="H14" s="17" t="n">
        <x:v>2</x:v>
      </x:c>
      <x:c r="I14" s="17" t="str">
        <x:v>0 mT/5 mT</x:v>
      </x:c>
      <x:c r="J14" s="17" t="n">
        <x:v>6</x:v>
      </x:c>
      <x:c r="K14" s="17" t="n">
        <x:v>14</x:v>
      </x:c>
      <x:c r="L14" s="17" t="n">
        <x:v>168</x:v>
      </x:c>
    </x:row>
    <x:row r="15">
      <x:c r="A15" s="17" t="str">
        <x:v>B02-V01-S02-B1</x:v>
      </x:c>
      <x:c r="B15" s="17" t="str">
        <x:v>B02</x:v>
      </x:c>
      <x:c r="C15" s="17" t="str">
        <x:v>桂中基地</x:v>
      </x:c>
      <x:c r="D15" s="17" t="str">
        <x:v>V01</x:v>
      </x:c>
      <x:c r="E15" s="17" t="str">
        <x:v>红颜</x:v>
      </x:c>
      <x:c r="F15" s="17" t="str">
        <x:v>S02</x:v>
      </x:c>
      <x:c r="G15" s="17" t="str">
        <x:v>春夏季</x:v>
      </x:c>
      <x:c r="H15" s="17" t="n">
        <x:v>1</x:v>
      </x:c>
      <x:c r="I15" s="17" t="str">
        <x:v>0 mT/5 mT</x:v>
      </x:c>
      <x:c r="J15" s="17" t="n">
        <x:v>6</x:v>
      </x:c>
      <x:c r="K15" s="17" t="n">
        <x:v>14</x:v>
      </x:c>
      <x:c r="L15" s="17" t="n">
        <x:v>168</x:v>
      </x:c>
    </x:row>
    <x:row r="16">
      <x:c r="A16" s="17" t="str">
        <x:v>B02-V01-S02-B2</x:v>
      </x:c>
      <x:c r="B16" s="17" t="str">
        <x:v>B02</x:v>
      </x:c>
      <x:c r="C16" s="17" t="str">
        <x:v>桂中基地</x:v>
      </x:c>
      <x:c r="D16" s="17" t="str">
        <x:v>V01</x:v>
      </x:c>
      <x:c r="E16" s="17" t="str">
        <x:v>红颜</x:v>
      </x:c>
      <x:c r="F16" s="17" t="str">
        <x:v>S02</x:v>
      </x:c>
      <x:c r="G16" s="17" t="str">
        <x:v>春夏季</x:v>
      </x:c>
      <x:c r="H16" s="17" t="n">
        <x:v>2</x:v>
      </x:c>
      <x:c r="I16" s="17" t="str">
        <x:v>0 mT/5 mT</x:v>
      </x:c>
      <x:c r="J16" s="17" t="n">
        <x:v>6</x:v>
      </x:c>
      <x:c r="K16" s="17" t="n">
        <x:v>14</x:v>
      </x:c>
      <x:c r="L16" s="17" t="n">
        <x:v>168</x:v>
      </x:c>
    </x:row>
    <x:row r="17">
      <x:c r="A17" s="17" t="str">
        <x:v>B02-V02-S01-B1</x:v>
      </x:c>
      <x:c r="B17" s="17" t="str">
        <x:v>B02</x:v>
      </x:c>
      <x:c r="C17" s="17" t="str">
        <x:v>桂中基地</x:v>
      </x:c>
      <x:c r="D17" s="17" t="str">
        <x:v>V02</x:v>
      </x:c>
      <x:c r="E17" s="17" t="str">
        <x:v>章姬</x:v>
      </x:c>
      <x:c r="F17" s="17" t="str">
        <x:v>S01</x:v>
      </x:c>
      <x:c r="G17" s="17" t="str">
        <x:v>冬春季</x:v>
      </x:c>
      <x:c r="H17" s="17" t="n">
        <x:v>1</x:v>
      </x:c>
      <x:c r="I17" s="17" t="str">
        <x:v>0 mT/5 mT</x:v>
      </x:c>
      <x:c r="J17" s="17" t="n">
        <x:v>6</x:v>
      </x:c>
      <x:c r="K17" s="17" t="n">
        <x:v>14</x:v>
      </x:c>
      <x:c r="L17" s="17" t="n">
        <x:v>168</x:v>
      </x:c>
    </x:row>
    <x:row r="18">
      <x:c r="A18" s="17" t="str">
        <x:v>B02-V02-S01-B2</x:v>
      </x:c>
      <x:c r="B18" s="17" t="str">
        <x:v>B02</x:v>
      </x:c>
      <x:c r="C18" s="17" t="str">
        <x:v>桂中基地</x:v>
      </x:c>
      <x:c r="D18" s="17" t="str">
        <x:v>V02</x:v>
      </x:c>
      <x:c r="E18" s="17" t="str">
        <x:v>章姬</x:v>
      </x:c>
      <x:c r="F18" s="17" t="str">
        <x:v>S01</x:v>
      </x:c>
      <x:c r="G18" s="17" t="str">
        <x:v>冬春季</x:v>
      </x:c>
      <x:c r="H18" s="17" t="n">
        <x:v>2</x:v>
      </x:c>
      <x:c r="I18" s="17" t="str">
        <x:v>0 mT/5 mT</x:v>
      </x:c>
      <x:c r="J18" s="17" t="n">
        <x:v>6</x:v>
      </x:c>
      <x:c r="K18" s="17" t="n">
        <x:v>14</x:v>
      </x:c>
      <x:c r="L18" s="17" t="n">
        <x:v>168</x:v>
      </x:c>
    </x:row>
    <x:row r="19">
      <x:c r="A19" s="17" t="str">
        <x:v>B02-V02-S02-B1</x:v>
      </x:c>
      <x:c r="B19" s="17" t="str">
        <x:v>B02</x:v>
      </x:c>
      <x:c r="C19" s="17" t="str">
        <x:v>桂中基地</x:v>
      </x:c>
      <x:c r="D19" s="17" t="str">
        <x:v>V02</x:v>
      </x:c>
      <x:c r="E19" s="17" t="str">
        <x:v>章姬</x:v>
      </x:c>
      <x:c r="F19" s="17" t="str">
        <x:v>S02</x:v>
      </x:c>
      <x:c r="G19" s="17" t="str">
        <x:v>春夏季</x:v>
      </x:c>
      <x:c r="H19" s="17" t="n">
        <x:v>1</x:v>
      </x:c>
      <x:c r="I19" s="17" t="str">
        <x:v>0 mT/5 mT</x:v>
      </x:c>
      <x:c r="J19" s="17" t="n">
        <x:v>6</x:v>
      </x:c>
      <x:c r="K19" s="17" t="n">
        <x:v>14</x:v>
      </x:c>
      <x:c r="L19" s="17" t="n">
        <x:v>168</x:v>
      </x:c>
    </x:row>
    <x:row r="20">
      <x:c r="A20" s="17" t="str">
        <x:v>B02-V02-S02-B2</x:v>
      </x:c>
      <x:c r="B20" s="17" t="str">
        <x:v>B02</x:v>
      </x:c>
      <x:c r="C20" s="17" t="str">
        <x:v>桂中基地</x:v>
      </x:c>
      <x:c r="D20" s="17" t="str">
        <x:v>V02</x:v>
      </x:c>
      <x:c r="E20" s="17" t="str">
        <x:v>章姬</x:v>
      </x:c>
      <x:c r="F20" s="17" t="str">
        <x:v>S02</x:v>
      </x:c>
      <x:c r="G20" s="17" t="str">
        <x:v>春夏季</x:v>
      </x:c>
      <x:c r="H20" s="17" t="n">
        <x:v>2</x:v>
      </x:c>
      <x:c r="I20" s="17" t="str">
        <x:v>0 mT/5 mT</x:v>
      </x:c>
      <x:c r="J20" s="17" t="n">
        <x:v>6</x:v>
      </x:c>
      <x:c r="K20" s="17" t="n">
        <x:v>14</x:v>
      </x:c>
      <x:c r="L20" s="17" t="n">
        <x:v>168</x:v>
      </x:c>
    </x:row>
    <x:row r="21">
      <x:c r="A21" s="17" t="str">
        <x:v>B03-V01-S01-B1</x:v>
      </x:c>
      <x:c r="B21" s="17" t="str">
        <x:v>B03</x:v>
      </x:c>
      <x:c r="C21" s="17" t="str">
        <x:v>滇中基地</x:v>
      </x:c>
      <x:c r="D21" s="17" t="str">
        <x:v>V01</x:v>
      </x:c>
      <x:c r="E21" s="17" t="str">
        <x:v>红颜</x:v>
      </x:c>
      <x:c r="F21" s="17" t="str">
        <x:v>S01</x:v>
      </x:c>
      <x:c r="G21" s="17" t="str">
        <x:v>冬春季</x:v>
      </x:c>
      <x:c r="H21" s="17" t="n">
        <x:v>1</x:v>
      </x:c>
      <x:c r="I21" s="17" t="str">
        <x:v>0 mT/5 mT</x:v>
      </x:c>
      <x:c r="J21" s="17" t="n">
        <x:v>6</x:v>
      </x:c>
      <x:c r="K21" s="17" t="n">
        <x:v>14</x:v>
      </x:c>
      <x:c r="L21" s="17" t="n">
        <x:v>168</x:v>
      </x:c>
    </x:row>
    <x:row r="22">
      <x:c r="A22" s="17" t="str">
        <x:v>B03-V01-S01-B2</x:v>
      </x:c>
      <x:c r="B22" s="17" t="str">
        <x:v>B03</x:v>
      </x:c>
      <x:c r="C22" s="17" t="str">
        <x:v>滇中基地</x:v>
      </x:c>
      <x:c r="D22" s="17" t="str">
        <x:v>V01</x:v>
      </x:c>
      <x:c r="E22" s="17" t="str">
        <x:v>红颜</x:v>
      </x:c>
      <x:c r="F22" s="17" t="str">
        <x:v>S01</x:v>
      </x:c>
      <x:c r="G22" s="17" t="str">
        <x:v>冬春季</x:v>
      </x:c>
      <x:c r="H22" s="17" t="n">
        <x:v>2</x:v>
      </x:c>
      <x:c r="I22" s="17" t="str">
        <x:v>0 mT/5 mT</x:v>
      </x:c>
      <x:c r="J22" s="17" t="n">
        <x:v>6</x:v>
      </x:c>
      <x:c r="K22" s="17" t="n">
        <x:v>14</x:v>
      </x:c>
      <x:c r="L22" s="17" t="n">
        <x:v>168</x:v>
      </x:c>
    </x:row>
    <x:row r="23">
      <x:c r="A23" s="17" t="str">
        <x:v>B03-V01-S02-B1</x:v>
      </x:c>
      <x:c r="B23" s="17" t="str">
        <x:v>B03</x:v>
      </x:c>
      <x:c r="C23" s="17" t="str">
        <x:v>滇中基地</x:v>
      </x:c>
      <x:c r="D23" s="17" t="str">
        <x:v>V01</x:v>
      </x:c>
      <x:c r="E23" s="17" t="str">
        <x:v>红颜</x:v>
      </x:c>
      <x:c r="F23" s="17" t="str">
        <x:v>S02</x:v>
      </x:c>
      <x:c r="G23" s="17" t="str">
        <x:v>春夏季</x:v>
      </x:c>
      <x:c r="H23" s="17" t="n">
        <x:v>1</x:v>
      </x:c>
      <x:c r="I23" s="17" t="str">
        <x:v>0 mT/5 mT</x:v>
      </x:c>
      <x:c r="J23" s="17" t="n">
        <x:v>6</x:v>
      </x:c>
      <x:c r="K23" s="17" t="n">
        <x:v>14</x:v>
      </x:c>
      <x:c r="L23" s="17" t="n">
        <x:v>168</x:v>
      </x:c>
    </x:row>
    <x:row r="24">
      <x:c r="A24" s="17" t="str">
        <x:v>B03-V01-S02-B2</x:v>
      </x:c>
      <x:c r="B24" s="17" t="str">
        <x:v>B03</x:v>
      </x:c>
      <x:c r="C24" s="17" t="str">
        <x:v>滇中基地</x:v>
      </x:c>
      <x:c r="D24" s="17" t="str">
        <x:v>V01</x:v>
      </x:c>
      <x:c r="E24" s="17" t="str">
        <x:v>红颜</x:v>
      </x:c>
      <x:c r="F24" s="17" t="str">
        <x:v>S02</x:v>
      </x:c>
      <x:c r="G24" s="17" t="str">
        <x:v>春夏季</x:v>
      </x:c>
      <x:c r="H24" s="17" t="n">
        <x:v>2</x:v>
      </x:c>
      <x:c r="I24" s="17" t="str">
        <x:v>0 mT/5 mT</x:v>
      </x:c>
      <x:c r="J24" s="17" t="n">
        <x:v>6</x:v>
      </x:c>
      <x:c r="K24" s="17" t="n">
        <x:v>14</x:v>
      </x:c>
      <x:c r="L24" s="17" t="n">
        <x:v>168</x:v>
      </x:c>
    </x:row>
    <x:row r="25">
      <x:c r="A25" s="17" t="str">
        <x:v>B03-V02-S01-B1</x:v>
      </x:c>
      <x:c r="B25" s="17" t="str">
        <x:v>B03</x:v>
      </x:c>
      <x:c r="C25" s="17" t="str">
        <x:v>滇中基地</x:v>
      </x:c>
      <x:c r="D25" s="17" t="str">
        <x:v>V02</x:v>
      </x:c>
      <x:c r="E25" s="17" t="str">
        <x:v>章姬</x:v>
      </x:c>
      <x:c r="F25" s="17" t="str">
        <x:v>S01</x:v>
      </x:c>
      <x:c r="G25" s="17" t="str">
        <x:v>冬春季</x:v>
      </x:c>
      <x:c r="H25" s="17" t="n">
        <x:v>1</x:v>
      </x:c>
      <x:c r="I25" s="17" t="str">
        <x:v>0 mT/5 mT</x:v>
      </x:c>
      <x:c r="J25" s="17" t="n">
        <x:v>6</x:v>
      </x:c>
      <x:c r="K25" s="17" t="n">
        <x:v>14</x:v>
      </x:c>
      <x:c r="L25" s="17" t="n">
        <x:v>168</x:v>
      </x:c>
    </x:row>
    <x:row r="26">
      <x:c r="A26" s="17" t="str">
        <x:v>B03-V02-S01-B2</x:v>
      </x:c>
      <x:c r="B26" s="17" t="str">
        <x:v>B03</x:v>
      </x:c>
      <x:c r="C26" s="17" t="str">
        <x:v>滇中基地</x:v>
      </x:c>
      <x:c r="D26" s="17" t="str">
        <x:v>V02</x:v>
      </x:c>
      <x:c r="E26" s="17" t="str">
        <x:v>章姬</x:v>
      </x:c>
      <x:c r="F26" s="17" t="str">
        <x:v>S01</x:v>
      </x:c>
      <x:c r="G26" s="17" t="str">
        <x:v>冬春季</x:v>
      </x:c>
      <x:c r="H26" s="17" t="n">
        <x:v>2</x:v>
      </x:c>
      <x:c r="I26" s="17" t="str">
        <x:v>0 mT/5 mT</x:v>
      </x:c>
      <x:c r="J26" s="17" t="n">
        <x:v>6</x:v>
      </x:c>
      <x:c r="K26" s="17" t="n">
        <x:v>14</x:v>
      </x:c>
      <x:c r="L26" s="17" t="n">
        <x:v>168</x:v>
      </x:c>
    </x:row>
    <x:row r="27">
      <x:c r="A27" s="17" t="str">
        <x:v>B03-V02-S02-B1</x:v>
      </x:c>
      <x:c r="B27" s="17" t="str">
        <x:v>B03</x:v>
      </x:c>
      <x:c r="C27" s="17" t="str">
        <x:v>滇中基地</x:v>
      </x:c>
      <x:c r="D27" s="17" t="str">
        <x:v>V02</x:v>
      </x:c>
      <x:c r="E27" s="17" t="str">
        <x:v>章姬</x:v>
      </x:c>
      <x:c r="F27" s="17" t="str">
        <x:v>S02</x:v>
      </x:c>
      <x:c r="G27" s="17" t="str">
        <x:v>春夏季</x:v>
      </x:c>
      <x:c r="H27" s="17" t="n">
        <x:v>1</x:v>
      </x:c>
      <x:c r="I27" s="17" t="str">
        <x:v>0 mT/5 mT</x:v>
      </x:c>
      <x:c r="J27" s="17" t="n">
        <x:v>6</x:v>
      </x:c>
      <x:c r="K27" s="17" t="n">
        <x:v>14</x:v>
      </x:c>
      <x:c r="L27" s="17" t="n">
        <x:v>168</x:v>
      </x:c>
    </x:row>
    <x:row r="28">
      <x:c r="A28" s="17" t="str">
        <x:v>B03-V02-S02-B2</x:v>
      </x:c>
      <x:c r="B28" s="17" t="str">
        <x:v>B03</x:v>
      </x:c>
      <x:c r="C28" s="17" t="str">
        <x:v>滇中基地</x:v>
      </x:c>
      <x:c r="D28" s="17" t="str">
        <x:v>V02</x:v>
      </x:c>
      <x:c r="E28" s="17" t="str">
        <x:v>章姬</x:v>
      </x:c>
      <x:c r="F28" s="17" t="str">
        <x:v>S02</x:v>
      </x:c>
      <x:c r="G28" s="17" t="str">
        <x:v>春夏季</x:v>
      </x:c>
      <x:c r="H28" s="17" t="n">
        <x:v>2</x:v>
      </x:c>
      <x:c r="I28" s="17" t="str">
        <x:v>0 mT/5 mT</x:v>
      </x:c>
      <x:c r="J28" s="17" t="n">
        <x:v>6</x:v>
      </x:c>
      <x:c r="K28" s="17" t="n">
        <x:v>14</x:v>
      </x:c>
      <x:c r="L28" s="17" t="n">
        <x:v>168</x:v>
      </x:c>
    </x:row>
    <x:row r="29">
      <x:c r="A29" s="17" t="str">
        <x:v>B04-V01-S01-B1</x:v>
      </x:c>
      <x:c r="B29" s="17" t="str">
        <x:v>B04</x:v>
      </x:c>
      <x:c r="C29" s="17" t="str">
        <x:v>川西基地</x:v>
      </x:c>
      <x:c r="D29" s="17" t="str">
        <x:v>V01</x:v>
      </x:c>
      <x:c r="E29" s="17" t="str">
        <x:v>红颜</x:v>
      </x:c>
      <x:c r="F29" s="17" t="str">
        <x:v>S01</x:v>
      </x:c>
      <x:c r="G29" s="17" t="str">
        <x:v>冬春季</x:v>
      </x:c>
      <x:c r="H29" s="17" t="n">
        <x:v>1</x:v>
      </x:c>
      <x:c r="I29" s="17" t="str">
        <x:v>0 mT/5 mT</x:v>
      </x:c>
      <x:c r="J29" s="17" t="n">
        <x:v>6</x:v>
      </x:c>
      <x:c r="K29" s="17" t="n">
        <x:v>14</x:v>
      </x:c>
      <x:c r="L29" s="17" t="n">
        <x:v>168</x:v>
      </x:c>
    </x:row>
    <x:row r="30">
      <x:c r="A30" s="17" t="str">
        <x:v>B04-V01-S01-B2</x:v>
      </x:c>
      <x:c r="B30" s="17" t="str">
        <x:v>B04</x:v>
      </x:c>
      <x:c r="C30" s="17" t="str">
        <x:v>川西基地</x:v>
      </x:c>
      <x:c r="D30" s="17" t="str">
        <x:v>V01</x:v>
      </x:c>
      <x:c r="E30" s="17" t="str">
        <x:v>红颜</x:v>
      </x:c>
      <x:c r="F30" s="17" t="str">
        <x:v>S01</x:v>
      </x:c>
      <x:c r="G30" s="17" t="str">
        <x:v>冬春季</x:v>
      </x:c>
      <x:c r="H30" s="17" t="n">
        <x:v>2</x:v>
      </x:c>
      <x:c r="I30" s="17" t="str">
        <x:v>0 mT/5 mT</x:v>
      </x:c>
      <x:c r="J30" s="17" t="n">
        <x:v>6</x:v>
      </x:c>
      <x:c r="K30" s="17" t="n">
        <x:v>14</x:v>
      </x:c>
      <x:c r="L30" s="17" t="n">
        <x:v>168</x:v>
      </x:c>
    </x:row>
    <x:row r="31">
      <x:c r="A31" s="17" t="str">
        <x:v>B04-V01-S02-B1</x:v>
      </x:c>
      <x:c r="B31" s="17" t="str">
        <x:v>B04</x:v>
      </x:c>
      <x:c r="C31" s="17" t="str">
        <x:v>川西基地</x:v>
      </x:c>
      <x:c r="D31" s="17" t="str">
        <x:v>V01</x:v>
      </x:c>
      <x:c r="E31" s="17" t="str">
        <x:v>红颜</x:v>
      </x:c>
      <x:c r="F31" s="17" t="str">
        <x:v>S02</x:v>
      </x:c>
      <x:c r="G31" s="17" t="str">
        <x:v>春夏季</x:v>
      </x:c>
      <x:c r="H31" s="17" t="n">
        <x:v>1</x:v>
      </x:c>
      <x:c r="I31" s="17" t="str">
        <x:v>0 mT/5 mT</x:v>
      </x:c>
      <x:c r="J31" s="17" t="n">
        <x:v>6</x:v>
      </x:c>
      <x:c r="K31" s="17" t="n">
        <x:v>14</x:v>
      </x:c>
      <x:c r="L31" s="17" t="n">
        <x:v>168</x:v>
      </x:c>
    </x:row>
    <x:row r="32">
      <x:c r="A32" s="17" t="str">
        <x:v>B04-V01-S02-B2</x:v>
      </x:c>
      <x:c r="B32" s="17" t="str">
        <x:v>B04</x:v>
      </x:c>
      <x:c r="C32" s="17" t="str">
        <x:v>川西基地</x:v>
      </x:c>
      <x:c r="D32" s="17" t="str">
        <x:v>V01</x:v>
      </x:c>
      <x:c r="E32" s="17" t="str">
        <x:v>红颜</x:v>
      </x:c>
      <x:c r="F32" s="17" t="str">
        <x:v>S02</x:v>
      </x:c>
      <x:c r="G32" s="17" t="str">
        <x:v>春夏季</x:v>
      </x:c>
      <x:c r="H32" s="17" t="n">
        <x:v>2</x:v>
      </x:c>
      <x:c r="I32" s="17" t="str">
        <x:v>0 mT/5 mT</x:v>
      </x:c>
      <x:c r="J32" s="17" t="n">
        <x:v>6</x:v>
      </x:c>
      <x:c r="K32" s="17" t="n">
        <x:v>14</x:v>
      </x:c>
      <x:c r="L32" s="17" t="n">
        <x:v>168</x:v>
      </x:c>
    </x:row>
    <x:row r="33">
      <x:c r="A33" s="17" t="str">
        <x:v>B04-V02-S01-B1</x:v>
      </x:c>
      <x:c r="B33" s="17" t="str">
        <x:v>B04</x:v>
      </x:c>
      <x:c r="C33" s="17" t="str">
        <x:v>川西基地</x:v>
      </x:c>
      <x:c r="D33" s="17" t="str">
        <x:v>V02</x:v>
      </x:c>
      <x:c r="E33" s="17" t="str">
        <x:v>章姬</x:v>
      </x:c>
      <x:c r="F33" s="17" t="str">
        <x:v>S01</x:v>
      </x:c>
      <x:c r="G33" s="17" t="str">
        <x:v>冬春季</x:v>
      </x:c>
      <x:c r="H33" s="17" t="n">
        <x:v>1</x:v>
      </x:c>
      <x:c r="I33" s="17" t="str">
        <x:v>0 mT/5 mT</x:v>
      </x:c>
      <x:c r="J33" s="17" t="n">
        <x:v>6</x:v>
      </x:c>
      <x:c r="K33" s="17" t="n">
        <x:v>14</x:v>
      </x:c>
      <x:c r="L33" s="17" t="n">
        <x:v>168</x:v>
      </x:c>
    </x:row>
    <x:row r="34">
      <x:c r="A34" s="17" t="str">
        <x:v>B04-V02-S01-B2</x:v>
      </x:c>
      <x:c r="B34" s="17" t="str">
        <x:v>B04</x:v>
      </x:c>
      <x:c r="C34" s="17" t="str">
        <x:v>川西基地</x:v>
      </x:c>
      <x:c r="D34" s="17" t="str">
        <x:v>V02</x:v>
      </x:c>
      <x:c r="E34" s="17" t="str">
        <x:v>章姬</x:v>
      </x:c>
      <x:c r="F34" s="17" t="str">
        <x:v>S01</x:v>
      </x:c>
      <x:c r="G34" s="17" t="str">
        <x:v>冬春季</x:v>
      </x:c>
      <x:c r="H34" s="17" t="n">
        <x:v>2</x:v>
      </x:c>
      <x:c r="I34" s="17" t="str">
        <x:v>0 mT/5 mT</x:v>
      </x:c>
      <x:c r="J34" s="17" t="n">
        <x:v>6</x:v>
      </x:c>
      <x:c r="K34" s="17" t="n">
        <x:v>14</x:v>
      </x:c>
      <x:c r="L34" s="17" t="n">
        <x:v>168</x:v>
      </x:c>
    </x:row>
    <x:row r="35">
      <x:c r="A35" s="17" t="str">
        <x:v>B04-V02-S02-B1</x:v>
      </x:c>
      <x:c r="B35" s="17" t="str">
        <x:v>B04</x:v>
      </x:c>
      <x:c r="C35" s="17" t="str">
        <x:v>川西基地</x:v>
      </x:c>
      <x:c r="D35" s="17" t="str">
        <x:v>V02</x:v>
      </x:c>
      <x:c r="E35" s="17" t="str">
        <x:v>章姬</x:v>
      </x:c>
      <x:c r="F35" s="17" t="str">
        <x:v>S02</x:v>
      </x:c>
      <x:c r="G35" s="17" t="str">
        <x:v>春夏季</x:v>
      </x:c>
      <x:c r="H35" s="17" t="n">
        <x:v>1</x:v>
      </x:c>
      <x:c r="I35" s="17" t="str">
        <x:v>0 mT/5 mT</x:v>
      </x:c>
      <x:c r="J35" s="17" t="n">
        <x:v>6</x:v>
      </x:c>
      <x:c r="K35" s="17" t="n">
        <x:v>14</x:v>
      </x:c>
      <x:c r="L35" s="17" t="n">
        <x:v>168</x:v>
      </x:c>
    </x:row>
    <x:row r="36">
      <x:c r="A36" s="17" t="str">
        <x:v>B04-V02-S02-B2</x:v>
      </x:c>
      <x:c r="B36" s="17" t="str">
        <x:v>B04</x:v>
      </x:c>
      <x:c r="C36" s="17" t="str">
        <x:v>川西基地</x:v>
      </x:c>
      <x:c r="D36" s="17" t="str">
        <x:v>V02</x:v>
      </x:c>
      <x:c r="E36" s="17" t="str">
        <x:v>章姬</x:v>
      </x:c>
      <x:c r="F36" s="17" t="str">
        <x:v>S02</x:v>
      </x:c>
      <x:c r="G36" s="17" t="str">
        <x:v>春夏季</x:v>
      </x:c>
      <x:c r="H36" s="17" t="n">
        <x:v>2</x:v>
      </x:c>
      <x:c r="I36" s="17" t="str">
        <x:v>0 mT/5 mT</x:v>
      </x:c>
      <x:c r="J36" s="17" t="n">
        <x:v>6</x:v>
      </x:c>
      <x:c r="K36" s="17" t="n">
        <x:v>14</x:v>
      </x:c>
      <x:c r="L36" s="17" t="n">
        <x:v>168</x:v>
      </x:c>
    </x:row>
    <x:row r="39" ht="24" customHeight="1">
      <x:c r="A39" s="26" t="str">
        <x:v>覆盖复核</x:v>
      </x:c>
      <x:c r="B39" s="26"/>
      <x:c r="C39" s="26"/>
      <x:c r="D39" s="26"/>
      <x:c r="E39" s="26"/>
      <x:c r="F39" s="26"/>
    </x:row>
    <x:row r="40" ht="30" customHeight="1">
      <x:c r="A40" s="13" t="str">
        <x:v>维度</x:v>
      </x:c>
      <x:c r="B40" s="13" t="str">
        <x:v>计划</x:v>
      </x:c>
      <x:c r="C40" s="13" t="str">
        <x:v>矩阵覆盖</x:v>
      </x:c>
      <x:c r="D40" s="13" t="str">
        <x:v>复核</x:v>
      </x:c>
    </x:row>
    <x:row r="41">
      <x:c r="A41" s="17" t="str">
        <x:v>基地</x:v>
      </x:c>
      <x:c r="B41" s="17" t="n">
        <x:v>4</x:v>
      </x:c>
      <x:c r="C41" s="17" t="n">
        <x:v>32</x:v>
      </x:c>
      <x:c r="D41" s="17" t="str">
        <x:v>每基地8批</x:v>
      </x:c>
    </x:row>
    <x:row r="42">
      <x:c r="A42" s="17" t="str">
        <x:v>品种</x:v>
      </x:c>
      <x:c r="B42" s="17" t="n">
        <x:v>2</x:v>
      </x:c>
      <x:c r="C42" s="17" t="n">
        <x:v>32</x:v>
      </x:c>
      <x:c r="D42" s="17" t="str">
        <x:v>每品种16批</x:v>
      </x:c>
    </x:row>
    <x:row r="43">
      <x:c r="A43" s="17" t="str">
        <x:v>产季</x:v>
      </x:c>
      <x:c r="B43" s="17" t="n">
        <x:v>2</x:v>
      </x:c>
      <x:c r="C43" s="17" t="n">
        <x:v>32</x:v>
      </x:c>
      <x:c r="D43" s="17" t="str">
        <x:v>每产季16批</x:v>
      </x:c>
    </x:row>
    <x:row r="44">
      <x:c r="A44" s="17" t="str">
        <x:v>独立批次</x:v>
      </x:c>
      <x:c r="B44" s="17" t="n">
        <x:v>32</x:v>
      </x:c>
      <x:c r="C44" s="17" t="n">
        <x:v>32</x:v>
      </x:c>
      <x:c r="D44" s="17" t="str">
        <x:v>达到计划</x:v>
      </x:c>
    </x:row>
    <x:row r="45">
      <x:c r="A45" s="17" t="str">
        <x:v>理化检测样品</x:v>
      </x:c>
      <x:c r="B45" s="17" t="n">
        <x:v>5376</x:v>
      </x:c>
      <x:c r="C45" s="17" t="n">
        <x:v>5376</x:v>
      </x:c>
      <x:c r="D45" s="17" t="str">
        <x:v>32×168</x:v>
      </x:c>
    </x:row>
    <x:row r="46">
      <x:c r="A46" s="17" t="str">
        <x:v>货架期随访</x:v>
      </x:c>
      <x:c r="B46" s="17" t="n">
        <x:v>1280</x:v>
      </x:c>
      <x:c r="C46" s="17" t="n">
        <x:v>1280</x:v>
      </x:c>
      <x:c r="D46" s="17" t="str">
        <x:v>32×2×20</x:v>
      </x:c>
    </x:row>
  </x:sheetData>
  <x:mergeCells>
    <x:mergeCell ref="A1:L1"/>
    <x:mergeCell ref="A2:L2"/>
    <x:mergeCell ref="A39:F3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8" hidden="0" customWidth="1"/>
    <x:col min="4" max="4" width="28" hidden="0" customWidth="1"/>
    <x:col min="5" max="5" width="38" hidden="0" customWidth="1"/>
    <x:col min="6" max="6" width="18" hidden="0" customWidth="1"/>
    <x:col min="7" max="7" width="24" hidden="0" customWidth="1"/>
    <x:col min="8" max="8" width="42" hidden="0" customWidth="1"/>
  </x:cols>
  <x:sheetData>
    <x:row r="1" ht="30" customHeight="1">
      <x:c r="A1" s="3" t="str">
        <x:v>设备确认与环境控制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四基地设备统一版本，磁场、温升、EMC、校准、能耗和冷链协变量按同一门槛管理。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26" t="str">
        <x:v>设备放行</x:v>
      </x:c>
      <x:c r="B4" s="26"/>
      <x:c r="C4" s="26"/>
      <x:c r="D4" s="26"/>
      <x:c r="E4" s="26"/>
      <x:c r="F4" s="26"/>
      <x:c r="G4" s="26"/>
      <x:c r="H4" s="26"/>
    </x:row>
    <x:row r="5" ht="30" customHeight="1">
      <x:c r="A5" s="13" t="str">
        <x:v>设备ID</x:v>
      </x:c>
      <x:c r="B5" s="13" t="str">
        <x:v>基地ID</x:v>
      </x:c>
      <x:c r="C5" s="13" t="str">
        <x:v>基地</x:v>
      </x:c>
      <x:c r="D5" s="13" t="str">
        <x:v>型号/版本</x:v>
      </x:c>
      <x:c r="E5" s="13" t="str">
        <x:v>设定</x:v>
      </x:c>
      <x:c r="F5" s="13" t="str">
        <x:v>强度范围</x:v>
      </x:c>
      <x:c r="G5" s="13" t="str">
        <x:v>均匀性/温升</x:v>
      </x:c>
      <x:c r="H5" s="13" t="str">
        <x:v>放行资料</x:v>
      </x:c>
    </x:row>
    <x:row r="6">
      <x:c r="A6" s="17" t="str">
        <x:v>DEV-01</x:v>
      </x:c>
      <x:c r="B6" s="17" t="str">
        <x:v>B01</x:v>
      </x:c>
      <x:c r="C6" s="17" t="str">
        <x:v>粤西基地</x:v>
      </x:c>
      <x:c r="D6" s="17" t="str">
        <x:v>MFG-5C/V1.0</x:v>
      </x:c>
      <x:c r="E6" s="17" t="str">
        <x:v>5.00 mT</x:v>
      </x:c>
      <x:c r="F6" s="17" t="str">
        <x:v>4.75-5.25 mT</x:v>
      </x:c>
      <x:c r="G6" s="17" t="str">
        <x:v>空间CV≤5%；温升≤0.3℃</x:v>
      </x:c>
      <x:c r="H6" s="17" t="str">
        <x:v>EMC报告；半年；独立电表；首批前确认</x:v>
      </x:c>
    </x:row>
    <x:row r="7">
      <x:c r="A7" s="17" t="str">
        <x:v>DEV-02</x:v>
      </x:c>
      <x:c r="B7" s="17" t="str">
        <x:v>B02</x:v>
      </x:c>
      <x:c r="C7" s="17" t="str">
        <x:v>桂中基地</x:v>
      </x:c>
      <x:c r="D7" s="17" t="str">
        <x:v>MFG-5C/V1.0</x:v>
      </x:c>
      <x:c r="E7" s="17" t="str">
        <x:v>5.00 mT</x:v>
      </x:c>
      <x:c r="F7" s="17" t="str">
        <x:v>4.75-5.25 mT</x:v>
      </x:c>
      <x:c r="G7" s="17" t="str">
        <x:v>空间CV≤5%；温升≤0.3℃</x:v>
      </x:c>
      <x:c r="H7" s="17" t="str">
        <x:v>EMC报告；半年；独立电表；首批前确认</x:v>
      </x:c>
    </x:row>
    <x:row r="8">
      <x:c r="A8" s="17" t="str">
        <x:v>DEV-03</x:v>
      </x:c>
      <x:c r="B8" s="17" t="str">
        <x:v>B03</x:v>
      </x:c>
      <x:c r="C8" s="17" t="str">
        <x:v>滇中基地</x:v>
      </x:c>
      <x:c r="D8" s="17" t="str">
        <x:v>MFG-5C/V1.0</x:v>
      </x:c>
      <x:c r="E8" s="17" t="str">
        <x:v>5.00 mT</x:v>
      </x:c>
      <x:c r="F8" s="17" t="str">
        <x:v>4.75-5.25 mT</x:v>
      </x:c>
      <x:c r="G8" s="17" t="str">
        <x:v>空间CV≤5%；温升≤0.3℃</x:v>
      </x:c>
      <x:c r="H8" s="17" t="str">
        <x:v>EMC报告；半年；独立电表；首批前确认</x:v>
      </x:c>
    </x:row>
    <x:row r="9">
      <x:c r="A9" s="17" t="str">
        <x:v>DEV-04</x:v>
      </x:c>
      <x:c r="B9" s="17" t="str">
        <x:v>B04</x:v>
      </x:c>
      <x:c r="C9" s="17" t="str">
        <x:v>川西基地</x:v>
      </x:c>
      <x:c r="D9" s="17" t="str">
        <x:v>MFG-5C/V1.0</x:v>
      </x:c>
      <x:c r="E9" s="17" t="str">
        <x:v>5.00 mT</x:v>
      </x:c>
      <x:c r="F9" s="17" t="str">
        <x:v>4.75-5.25 mT</x:v>
      </x:c>
      <x:c r="G9" s="17" t="str">
        <x:v>空间CV≤5%；温升≤0.3℃</x:v>
      </x:c>
      <x:c r="H9" s="17" t="str">
        <x:v>EMC报告；半年；独立电表；首批前确认</x:v>
      </x:c>
    </x:row>
    <x:row r="11" ht="24" customHeight="1">
      <x:c r="A11" s="26" t="str">
        <x:v>环境协变量与触发</x:v>
      </x:c>
      <x:c r="B11" s="26"/>
      <x:c r="C11" s="26"/>
      <x:c r="D11" s="26"/>
      <x:c r="E11" s="26"/>
      <x:c r="F11" s="26"/>
      <x:c r="G11" s="26"/>
      <x:c r="H11" s="26"/>
    </x:row>
    <x:row r="12" ht="30" customHeight="1">
      <x:c r="A12" s="13" t="str">
        <x:v>字段</x:v>
      </x:c>
      <x:c r="B12" s="13" t="str">
        <x:v>频率</x:v>
      </x:c>
      <x:c r="C12" s="13" t="str">
        <x:v>控制范围</x:v>
      </x:c>
      <x:c r="D12" s="13" t="str">
        <x:v>触发</x:v>
      </x:c>
      <x:c r="E12" s="13" t="str">
        <x:v>处置</x:v>
      </x:c>
    </x:row>
    <x:row r="13">
      <x:c r="A13" s="17" t="str">
        <x:v>磁场强度</x:v>
      </x:c>
      <x:c r="B13" s="17" t="str">
        <x:v>1 min</x:v>
      </x:c>
      <x:c r="C13" s="17" t="str">
        <x:v>5.00±0.25 mT</x:v>
      </x:c>
      <x:c r="D13" s="17" t="str">
        <x:v>连续5 min越界</x:v>
      </x:c>
      <x:c r="E13" s="17" t="str">
        <x:v>暂停处理</x:v>
      </x:c>
    </x:row>
    <x:row r="14">
      <x:c r="A14" s="17" t="str">
        <x:v>冷库温度</x:v>
      </x:c>
      <x:c r="B14" s="17" t="str">
        <x:v>1 min</x:v>
      </x:c>
      <x:c r="C14" s="17" t="str">
        <x:v>4.0±0.5℃</x:v>
      </x:c>
      <x:c r="D14" s="17" t="str">
        <x:v>连续15 min越界</x:v>
      </x:c>
      <x:c r="E14" s="17" t="str">
        <x:v>评估批次有效性</x:v>
      </x:c>
    </x:row>
    <x:row r="15">
      <x:c r="A15" s="17" t="str">
        <x:v>相对湿度</x:v>
      </x:c>
      <x:c r="B15" s="17" t="str">
        <x:v>5 min</x:v>
      </x:c>
      <x:c r="C15" s="17" t="str">
        <x:v>85%-95%</x:v>
      </x:c>
      <x:c r="D15" s="17" t="str">
        <x:v>连续30 min越界</x:v>
      </x:c>
      <x:c r="E15" s="17" t="str">
        <x:v>记录协变量</x:v>
      </x:c>
    </x:row>
    <x:row r="16">
      <x:c r="A16" s="17" t="str">
        <x:v>门开启</x:v>
      </x:c>
      <x:c r="B16" s="17" t="str">
        <x:v>事件</x:v>
      </x:c>
      <x:c r="C16" s="17" t="str">
        <x:v>单次≤5 min</x:v>
      </x:c>
      <x:c r="D16" s="17" t="str">
        <x:v>超过阈值</x:v>
      </x:c>
      <x:c r="E16" s="17" t="str">
        <x:v>记录协变量</x:v>
      </x:c>
    </x:row>
    <x:row r="17">
      <x:c r="A17" s="17" t="str">
        <x:v>装载率</x:v>
      </x:c>
      <x:c r="B17" s="17" t="str">
        <x:v>每批</x:v>
      </x:c>
      <x:c r="C17" s="17" t="str">
        <x:v>40%-80%</x:v>
      </x:c>
      <x:c r="D17" s="17" t="str">
        <x:v>超出窗口</x:v>
      </x:c>
      <x:c r="E17" s="17" t="str">
        <x:v>调整区组或暂停</x:v>
      </x:c>
    </x:row>
    <x:row r="18">
      <x:c r="A18" s="17" t="str">
        <x:v>运输振动</x:v>
      </x:c>
      <x:c r="B18" s="17" t="str">
        <x:v>10 Hz</x:v>
      </x:c>
      <x:c r="C18" s="17" t="str">
        <x:v>RMS≤1.5 m/s²</x:v>
      </x:c>
      <x:c r="D18" s="17" t="str">
        <x:v>峰值&gt;4.0 m/s²</x:v>
      </x:c>
      <x:c r="E18" s="17" t="str">
        <x:v>启动压力复核</x:v>
      </x:c>
    </x:row>
    <x:row r="19">
      <x:c r="A19" s="17" t="str">
        <x:v>停电/故障</x:v>
      </x:c>
      <x:c r="B19" s="17" t="str">
        <x:v>事件</x:v>
      </x:c>
      <x:c r="C19" s="17" t="str">
        <x:v>零关键事件</x:v>
      </x:c>
      <x:c r="D19" s="17" t="str">
        <x:v>任一关键事件</x:v>
      </x:c>
      <x:c r="E19" s="17" t="str">
        <x:v>隔离批次并RCA</x:v>
      </x:c>
    </x:row>
    <x:row r="20">
      <x:c r="A20" s="17" t="str">
        <x:v>能耗</x:v>
      </x:c>
      <x:c r="B20" s="17" t="str">
        <x:v>15 min</x:v>
      </x:c>
      <x:c r="C20" s="17" t="str">
        <x:v>按批归集</x:v>
      </x:c>
      <x:c r="D20" s="17" t="str">
        <x:v>缺失&gt;1%</x:v>
      </x:c>
      <x:c r="E20" s="17" t="str">
        <x:v>补录凭证或标记缺失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4" hidden="0" customWidth="1"/>
    <x:col min="4" max="4" width="28" hidden="0" customWidth="1"/>
    <x:col min="5" max="5" width="14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8" hidden="0" customWidth="1"/>
  </x:cols>
  <x:sheetData>
    <x:row r="1" ht="30" customHeight="1">
      <x:c r="A1" s="3" t="str">
        <x:v>终点与统计模型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主要终点、支持性终点和商品性终点分别匹配模型、效应量、置信区间和多重性规则。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端点ID</x:v>
      </x:c>
      <x:c r="B4" s="13" t="str">
        <x:v>终点</x:v>
      </x:c>
      <x:c r="C4" s="13" t="str">
        <x:v>单位</x:v>
      </x:c>
      <x:c r="D4" s="13" t="str">
        <x:v>时间点</x:v>
      </x:c>
      <x:c r="E4" s="13" t="str">
        <x:v>角色</x:v>
      </x:c>
      <x:c r="F4" s="13" t="str">
        <x:v>门槛/方向</x:v>
      </x:c>
      <x:c r="G4" s="13" t="str">
        <x:v>数据类型</x:v>
      </x:c>
      <x:c r="H4" s="13" t="str">
        <x:v>主模型</x:v>
      </x:c>
      <x:c r="I4" s="13" t="str">
        <x:v>层级结构</x:v>
      </x:c>
      <x:c r="J4" s="13" t="str">
        <x:v>判定</x:v>
      </x:c>
    </x:row>
    <x:row r="5">
      <x:c r="A5" s="17" t="str">
        <x:v>EP01</x:v>
      </x:c>
      <x:c r="B5" s="17" t="str">
        <x:v>硬度</x:v>
      </x:c>
      <x:c r="C5" s="17" t="str">
        <x:v>N</x:v>
      </x:c>
      <x:c r="D5" s="17" t="str">
        <x:v>0/3/6/9/12/15 d</x:v>
      </x:c>
      <x:c r="E5" s="17" t="str">
        <x:v>主要</x:v>
      </x:c>
      <x:c r="F5" s="17" t="str">
        <x:v>组间差≥4 N</x:v>
      </x:c>
      <x:c r="G5" s="17" t="str">
        <x:v>连续</x:v>
      </x:c>
      <x:c r="H5" s="17" t="str">
        <x:v>线性混合模型</x:v>
      </x:c>
      <x:c r="I5" s="17" t="str">
        <x:v>基地/批次随机效应</x:v>
      </x:c>
      <x:c r="J5" s="17" t="str">
        <x:v>α=0.05；两主要终点Holm</x:v>
      </x:c>
    </x:row>
    <x:row r="6">
      <x:c r="A6" s="17" t="str">
        <x:v>EP02</x:v>
      </x:c>
      <x:c r="B6" s="17" t="str">
        <x:v>腐烂率</x:v>
      </x:c>
      <x:c r="C6" s="17" t="str">
        <x:v>%</x:v>
      </x:c>
      <x:c r="D6" s="17" t="str">
        <x:v>3/6/9/12/15/17 d</x:v>
      </x:c>
      <x:c r="E6" s="17" t="str">
        <x:v>主要</x:v>
      </x:c>
      <x:c r="F6" s="17" t="str">
        <x:v>绝对降低≥15个百分点</x:v>
      </x:c>
      <x:c r="G6" s="17" t="str">
        <x:v>二分类</x:v>
      </x:c>
      <x:c r="H6" s="17" t="str">
        <x:v>二项GLMM/生存</x:v>
      </x:c>
      <x:c r="I6" s="17" t="str">
        <x:v>基地/批次随机效应</x:v>
      </x:c>
      <x:c r="J6" s="17" t="str">
        <x:v>α=0.05；两主要终点Holm</x:v>
      </x:c>
    </x:row>
    <x:row r="7">
      <x:c r="A7" s="17" t="str">
        <x:v>EP03</x:v>
      </x:c>
      <x:c r="B7" s="17" t="str">
        <x:v>失重率</x:v>
      </x:c>
      <x:c r="C7" s="17" t="str">
        <x:v>%</x:v>
      </x:c>
      <x:c r="D7" s="17" t="str">
        <x:v>0/3/6/9/12/15 d</x:v>
      </x:c>
      <x:c r="E7" s="17" t="str">
        <x:v>次要</x:v>
      </x:c>
      <x:c r="F7" s="17" t="str">
        <x:v>低值较优</x:v>
      </x:c>
      <x:c r="G7" s="17" t="str">
        <x:v>连续</x:v>
      </x:c>
      <x:c r="H7" s="17" t="str">
        <x:v>线性混合模型</x:v>
      </x:c>
      <x:c r="I7" s="17" t="str">
        <x:v>基地/批次随机效应</x:v>
      </x:c>
      <x:c r="J7" s="17" t="str">
        <x:v>支持性；Holm校正</x:v>
      </x:c>
    </x:row>
    <x:row r="8">
      <x:c r="A8" s="17" t="str">
        <x:v>EP04</x:v>
      </x:c>
      <x:c r="B8" s="17" t="str">
        <x:v>颜色L*</x:v>
      </x:c>
      <x:c r="C8" s="17" t="str">
        <x:v>-</x:v>
      </x:c>
      <x:c r="D8" s="17" t="str">
        <x:v>0/3/6/9/12/15 d</x:v>
      </x:c>
      <x:c r="E8" s="17" t="str">
        <x:v>次要</x:v>
      </x:c>
      <x:c r="F8" s="17" t="str">
        <x:v>高值较优</x:v>
      </x:c>
      <x:c r="G8" s="17" t="str">
        <x:v>连续</x:v>
      </x:c>
      <x:c r="H8" s="17" t="str">
        <x:v>线性混合模型</x:v>
      </x:c>
      <x:c r="I8" s="17" t="str">
        <x:v>基地/批次随机效应</x:v>
      </x:c>
      <x:c r="J8" s="17" t="str">
        <x:v>支持性；Holm校正</x:v>
      </x:c>
    </x:row>
    <x:row r="9">
      <x:c r="A9" s="17" t="str">
        <x:v>EP05</x:v>
      </x:c>
      <x:c r="B9" s="17" t="str">
        <x:v>颜色a*</x:v>
      </x:c>
      <x:c r="C9" s="17" t="str">
        <x:v>-</x:v>
      </x:c>
      <x:c r="D9" s="17" t="str">
        <x:v>0/3/6/9/12/15 d</x:v>
      </x:c>
      <x:c r="E9" s="17" t="str">
        <x:v>次要</x:v>
      </x:c>
      <x:c r="F9" s="17" t="str">
        <x:v>结合成熟度</x:v>
      </x:c>
      <x:c r="G9" s="17" t="str">
        <x:v>连续</x:v>
      </x:c>
      <x:c r="H9" s="17" t="str">
        <x:v>线性混合模型</x:v>
      </x:c>
      <x:c r="I9" s="17" t="str">
        <x:v>基地/批次随机效应</x:v>
      </x:c>
      <x:c r="J9" s="17" t="str">
        <x:v>支持性；Holm校正</x:v>
      </x:c>
    </x:row>
    <x:row r="10">
      <x:c r="A10" s="17" t="str">
        <x:v>EP06</x:v>
      </x:c>
      <x:c r="B10" s="17" t="str">
        <x:v>总色差ΔE</x:v>
      </x:c>
      <x:c r="C10" s="17" t="str">
        <x:v>-</x:v>
      </x:c>
      <x:c r="D10" s="17" t="str">
        <x:v>0/3/6/9/12/15 d</x:v>
      </x:c>
      <x:c r="E10" s="17" t="str">
        <x:v>次要</x:v>
      </x:c>
      <x:c r="F10" s="17" t="str">
        <x:v>低值较优</x:v>
      </x:c>
      <x:c r="G10" s="17" t="str">
        <x:v>连续</x:v>
      </x:c>
      <x:c r="H10" s="17" t="str">
        <x:v>线性混合模型</x:v>
      </x:c>
      <x:c r="I10" s="17" t="str">
        <x:v>基地/批次随机效应</x:v>
      </x:c>
      <x:c r="J10" s="17" t="str">
        <x:v>支持性；Holm校正</x:v>
      </x:c>
    </x:row>
    <x:row r="11">
      <x:c r="A11" s="17" t="str">
        <x:v>EP07</x:v>
      </x:c>
      <x:c r="B11" s="17" t="str">
        <x:v>水溶性果胶</x:v>
      </x:c>
      <x:c r="C11" s="17" t="str">
        <x:v>mg/g</x:v>
      </x:c>
      <x:c r="D11" s="17" t="str">
        <x:v>0/6/12/15 d</x:v>
      </x:c>
      <x:c r="E11" s="17" t="str">
        <x:v>机制</x:v>
      </x:c>
      <x:c r="F11" s="17" t="str">
        <x:v>低值较优</x:v>
      </x:c>
      <x:c r="G11" s="17" t="str">
        <x:v>连续</x:v>
      </x:c>
      <x:c r="H11" s="17" t="str">
        <x:v>线性混合模型</x:v>
      </x:c>
      <x:c r="I11" s="17" t="str">
        <x:v>基地/批次随机效应</x:v>
      </x:c>
      <x:c r="J11" s="17" t="str">
        <x:v>支持性；Holm校正</x:v>
      </x:c>
    </x:row>
    <x:row r="12">
      <x:c r="A12" s="17" t="str">
        <x:v>EP08</x:v>
      </x:c>
      <x:c r="B12" s="17" t="str">
        <x:v>PG活性</x:v>
      </x:c>
      <x:c r="C12" s="17" t="str">
        <x:v>U/kg</x:v>
      </x:c>
      <x:c r="D12" s="17" t="str">
        <x:v>0/6/12/15 d</x:v>
      </x:c>
      <x:c r="E12" s="17" t="str">
        <x:v>机制</x:v>
      </x:c>
      <x:c r="F12" s="17" t="str">
        <x:v>低值较优</x:v>
      </x:c>
      <x:c r="G12" s="17" t="str">
        <x:v>连续</x:v>
      </x:c>
      <x:c r="H12" s="17" t="str">
        <x:v>线性混合模型</x:v>
      </x:c>
      <x:c r="I12" s="17" t="str">
        <x:v>基地/批次随机效应</x:v>
      </x:c>
      <x:c r="J12" s="17" t="str">
        <x:v>支持性；Holm校正</x:v>
      </x:c>
    </x:row>
    <x:row r="13">
      <x:c r="A13" s="17" t="str">
        <x:v>EP09</x:v>
      </x:c>
      <x:c r="B13" s="17" t="str">
        <x:v>PME活性</x:v>
      </x:c>
      <x:c r="C13" s="17" t="str">
        <x:v>U/kg</x:v>
      </x:c>
      <x:c r="D13" s="17" t="str">
        <x:v>0/6/12/15 d</x:v>
      </x:c>
      <x:c r="E13" s="17" t="str">
        <x:v>机制</x:v>
      </x:c>
      <x:c r="F13" s="17" t="str">
        <x:v>探索</x:v>
      </x:c>
      <x:c r="G13" s="17" t="str">
        <x:v>连续</x:v>
      </x:c>
      <x:c r="H13" s="17" t="str">
        <x:v>线性混合模型</x:v>
      </x:c>
      <x:c r="I13" s="17" t="str">
        <x:v>基地/批次随机效应</x:v>
      </x:c>
      <x:c r="J13" s="17" t="str">
        <x:v>支持性；Holm校正</x:v>
      </x:c>
    </x:row>
    <x:row r="14">
      <x:c r="A14" s="17" t="str">
        <x:v>EP10</x:v>
      </x:c>
      <x:c r="B14" s="17" t="str">
        <x:v>PL活性</x:v>
      </x:c>
      <x:c r="C14" s="17" t="str">
        <x:v>U/kg</x:v>
      </x:c>
      <x:c r="D14" s="17" t="str">
        <x:v>0/6/12/15 d</x:v>
      </x:c>
      <x:c r="E14" s="17" t="str">
        <x:v>机制</x:v>
      </x:c>
      <x:c r="F14" s="17" t="str">
        <x:v>探索</x:v>
      </x:c>
      <x:c r="G14" s="17" t="str">
        <x:v>连续</x:v>
      </x:c>
      <x:c r="H14" s="17" t="str">
        <x:v>线性混合模型</x:v>
      </x:c>
      <x:c r="I14" s="17" t="str">
        <x:v>基地/批次随机效应</x:v>
      </x:c>
      <x:c r="J14" s="17" t="str">
        <x:v>支持性；Holm校正</x:v>
      </x:c>
    </x:row>
    <x:row r="15">
      <x:c r="A15" s="17" t="str">
        <x:v>EP11</x:v>
      </x:c>
      <x:c r="B15" s="17" t="str">
        <x:v>菌落总数</x:v>
      </x:c>
      <x:c r="C15" s="17" t="str">
        <x:v>log10 CFU/g</x:v>
      </x:c>
      <x:c r="D15" s="17" t="str">
        <x:v>0/6/12/15 d</x:v>
      </x:c>
      <x:c r="E15" s="17" t="str">
        <x:v>安全</x:v>
      </x:c>
      <x:c r="F15" s="17" t="str">
        <x:v>低值较优</x:v>
      </x:c>
      <x:c r="G15" s="17" t="str">
        <x:v>连续</x:v>
      </x:c>
      <x:c r="H15" s="17" t="str">
        <x:v>线性混合模型</x:v>
      </x:c>
      <x:c r="I15" s="17" t="str">
        <x:v>基地/批次随机效应</x:v>
      </x:c>
      <x:c r="J15" s="17" t="str">
        <x:v>支持性；Holm校正</x:v>
      </x:c>
    </x:row>
    <x:row r="16">
      <x:c r="A16" s="17" t="str">
        <x:v>EP12</x:v>
      </x:c>
      <x:c r="B16" s="17" t="str">
        <x:v>霉菌和酵母</x:v>
      </x:c>
      <x:c r="C16" s="17" t="str">
        <x:v>log10 CFU/g</x:v>
      </x:c>
      <x:c r="D16" s="17" t="str">
        <x:v>0/6/12/15 d</x:v>
      </x:c>
      <x:c r="E16" s="17" t="str">
        <x:v>安全</x:v>
      </x:c>
      <x:c r="F16" s="17" t="str">
        <x:v>低值较优</x:v>
      </x:c>
      <x:c r="G16" s="17" t="str">
        <x:v>连续</x:v>
      </x:c>
      <x:c r="H16" s="17" t="str">
        <x:v>线性混合模型</x:v>
      </x:c>
      <x:c r="I16" s="17" t="str">
        <x:v>基地/批次随机效应</x:v>
      </x:c>
      <x:c r="J16" s="17" t="str">
        <x:v>支持性；Holm校正</x:v>
      </x:c>
    </x:row>
    <x:row r="17">
      <x:c r="A17" s="17" t="str">
        <x:v>EP13</x:v>
      </x:c>
      <x:c r="B17" s="17" t="str">
        <x:v>感官综合评分</x:v>
      </x:c>
      <x:c r="C17" s="17" t="str">
        <x:v>分</x:v>
      </x:c>
      <x:c r="D17" s="17" t="str">
        <x:v>0/6/12/15/17 d</x:v>
      </x:c>
      <x:c r="E17" s="17" t="str">
        <x:v>商品性</x:v>
      </x:c>
      <x:c r="F17" s="17" t="str">
        <x:v>≥6分可接受</x:v>
      </x:c>
      <x:c r="G17" s="17" t="str">
        <x:v>有序</x:v>
      </x:c>
      <x:c r="H17" s="17" t="str">
        <x:v>累积链接混合模型</x:v>
      </x:c>
      <x:c r="I17" s="17" t="str">
        <x:v>基地/批次随机效应</x:v>
      </x:c>
      <x:c r="J17" s="17" t="str">
        <x:v>支持性；Holm校正</x:v>
      </x:c>
    </x:row>
    <x:row r="18">
      <x:c r="A18" s="17" t="str">
        <x:v>EP14</x:v>
      </x:c>
      <x:c r="B18" s="17" t="str">
        <x:v>可移动水比例</x:v>
      </x:c>
      <x:c r="C18" s="17" t="str">
        <x:v>%</x:v>
      </x:c>
      <x:c r="D18" s="17" t="str">
        <x:v>0/6/12/15 d</x:v>
      </x:c>
      <x:c r="E18" s="17" t="str">
        <x:v>水分状态</x:v>
      </x:c>
      <x:c r="F18" s="17" t="str">
        <x:v>稳定为优</x:v>
      </x:c>
      <x:c r="G18" s="17" t="str">
        <x:v>连续</x:v>
      </x:c>
      <x:c r="H18" s="17" t="str">
        <x:v>线性混合模型</x:v>
      </x:c>
      <x:c r="I18" s="17" t="str">
        <x:v>基地/批次随机效应</x:v>
      </x:c>
      <x:c r="J18" s="17" t="str">
        <x:v>支持性；Holm校正</x:v>
      </x:c>
    </x:row>
    <x:row r="19">
      <x:c r="A19" s="17" t="str">
        <x:v>EP15</x:v>
      </x:c>
      <x:c r="B19" s="17" t="str">
        <x:v>首次不可售时间</x:v>
      </x:c>
      <x:c r="C19" s="17" t="str">
        <x:v>d</x:v>
      </x:c>
      <x:c r="D19" s="17" t="str">
        <x:v>每日</x:v>
      </x:c>
      <x:c r="E19" s="17" t="str">
        <x:v>商品性</x:v>
      </x:c>
      <x:c r="F19" s="17" t="str">
        <x:v>延长≥2 d</x:v>
      </x:c>
      <x:c r="G19" s="17" t="str">
        <x:v>时间事件</x:v>
      </x:c>
      <x:c r="H19" s="17" t="str">
        <x:v>Cox脆弱性模型</x:v>
      </x:c>
      <x:c r="I19" s="17" t="str">
        <x:v>基地/批次随机效应</x:v>
      </x:c>
      <x:c r="J19" s="17" t="str">
        <x:v>支持性；Holm校正</x:v>
      </x:c>
    </x:row>
    <x:row r="21" ht="24" customHeight="1">
      <x:c r="A21" s="26" t="str">
        <x:v>模型复核清单</x:v>
      </x:c>
      <x:c r="B21" s="26"/>
      <x:c r="C21" s="26"/>
      <x:c r="D21" s="26"/>
      <x:c r="E21" s="26"/>
      <x:c r="F21" s="26"/>
    </x:row>
    <x:row r="22" ht="30" customHeight="1">
      <x:c r="A22" s="13" t="str">
        <x:v>复核ID</x:v>
      </x:c>
      <x:c r="B22" s="13" t="str">
        <x:v>主题</x:v>
      </x:c>
      <x:c r="C22" s="13" t="str">
        <x:v>要求</x:v>
      </x:c>
      <x:c r="D22" s="13" t="str">
        <x:v>输出</x:v>
      </x:c>
    </x:row>
    <x:row r="23">
      <x:c r="A23" s="17" t="str">
        <x:v>M01</x:v>
      </x:c>
      <x:c r="B23" s="17" t="str">
        <x:v>模型假设</x:v>
      </x:c>
      <x:c r="C23" s="17" t="str">
        <x:v>残差、方差齐性、过度离散、比例风险</x:v>
      </x:c>
      <x:c r="D23" s="17" t="str">
        <x:v>逐模型记录</x:v>
      </x:c>
    </x:row>
    <x:row r="24">
      <x:c r="A24" s="17" t="str">
        <x:v>M02</x:v>
      </x:c>
      <x:c r="B24" s="17" t="str">
        <x:v>效应量</x:v>
      </x:c>
      <x:c r="C24" s="17" t="str">
        <x:v>差值、风险差、风险比、HR和95%CI</x:v>
      </x:c>
      <x:c r="D24" s="17" t="str">
        <x:v>正文与底稿一致</x:v>
      </x:c>
    </x:row>
    <x:row r="25">
      <x:c r="A25" s="17" t="str">
        <x:v>M03</x:v>
      </x:c>
      <x:c r="B25" s="17" t="str">
        <x:v>多重性</x:v>
      </x:c>
      <x:c r="C25" s="17" t="str">
        <x:v>两主要终点和次要终点组采用Holm</x:v>
      </x:c>
      <x:c r="D25" s="17" t="str">
        <x:v>调整前后并列</x:v>
      </x:c>
    </x:row>
    <x:row r="26">
      <x:c r="A26" s="17" t="str">
        <x:v>M04</x:v>
      </x:c>
      <x:c r="B26" s="17" t="str">
        <x:v>异质性</x:v>
      </x:c>
      <x:c r="C26" s="17" t="str">
        <x:v>处理×基地/品种/产季；预测区间</x:v>
      </x:c>
      <x:c r="D26" s="17" t="str">
        <x:v>限定部署范围</x:v>
      </x:c>
    </x:row>
    <x:row r="27">
      <x:c r="A27" s="17" t="str">
        <x:v>M05</x:v>
      </x:c>
      <x:c r="B27" s="17" t="str">
        <x:v>缺失</x:v>
      </x:c>
      <x:c r="C27" s="17" t="str">
        <x:v>混合模型主分析；多重插补和界值敏感性</x:v>
      </x:c>
      <x:c r="D27" s="17" t="str">
        <x:v>按原因列示</x:v>
      </x:c>
    </x:row>
    <x:row r="28">
      <x:c r="A28" s="17" t="str">
        <x:v>M06</x:v>
      </x:c>
      <x:c r="B28" s="17" t="str">
        <x:v>批次影响</x:v>
      </x:c>
      <x:c r="C28" s="17" t="str">
        <x:v>留一基地、留一批次和有效批次分析</x:v>
      </x:c>
      <x:c r="D28" s="17" t="str">
        <x:v>识别高影响批次</x:v>
      </x:c>
    </x:row>
  </x:sheetData>
  <x:mergeCells>
    <x:mergeCell ref="A1:J1"/>
    <x:mergeCell ref="A2:J2"/>
    <x:mergeCell ref="A21:F2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18" hidden="0" customWidth="1"/>
    <x:col min="5" max="5" width="40" hidden="0" customWidth="1"/>
    <x:col min="6" max="6" width="18" hidden="0" customWidth="1"/>
    <x:col min="7" max="7" width="22" hidden="0" customWidth="1"/>
    <x:col min="8" max="8" width="12" hidden="0" customWidth="1"/>
  </x:cols>
  <x:sheetData>
    <x:row r="1" ht="30" customHeight="1">
      <x:c r="A1" s="3" t="str">
        <x:v>24轮批次与阶段评审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评审按证据完整性、主要终点、异质性、运行控制和经营门槛形成继续、修订、暂停或停止决策。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轮次</x:v>
      </x:c>
      <x:c r="B4" s="13" t="str">
        <x:v>阶段门</x:v>
      </x:c>
      <x:c r="C4" s="13" t="str">
        <x:v>主题</x:v>
      </x:c>
      <x:c r="D4" s="13" t="str">
        <x:v>评审类型</x:v>
      </x:c>
      <x:c r="E4" s="13" t="str">
        <x:v>必备证据</x:v>
      </x:c>
      <x:c r="F4" s="13" t="str">
        <x:v>牵头</x:v>
      </x:c>
      <x:c r="G4" s="13" t="str">
        <x:v>决策</x:v>
      </x:c>
      <x:c r="H4" s="13" t="str">
        <x:v>状态</x:v>
      </x:c>
    </x:row>
    <x:row r="5">
      <x:c r="A5" s="17" t="str">
        <x:v>R01</x:v>
      </x:c>
      <x:c r="B5" s="17" t="str">
        <x:v>G0</x:v>
      </x:c>
      <x:c r="C5" s="17" t="str">
        <x:v>项目章程与责任签署</x:v>
      </x:c>
      <x:c r="D5" s="17" t="str">
        <x:v>立项会</x:v>
      </x:c>
      <x:c r="E5" s="17" t="str">
        <x:v>章程、职责矩阵</x:v>
      </x:c>
      <x:c r="F5" s="17" t="str">
        <x:v>项目办公室</x:v>
      </x:c>
      <x:c r="G5" s="17" t="str">
        <x:v>立项/退回</x:v>
      </x:c>
      <x:c r="H5" s="17" t="str">
        <x:v>计划</x:v>
      </x:c>
    </x:row>
    <x:row r="6">
      <x:c r="A6" s="17" t="str">
        <x:v>R02</x:v>
      </x:c>
      <x:c r="B6" s="17" t="str">
        <x:v>G1</x:v>
      </x:c>
      <x:c r="C6" s="17" t="str">
        <x:v>主要假设与终点冻结</x:v>
      </x:c>
      <x:c r="D6" s="17" t="str">
        <x:v>设计审查</x:v>
      </x:c>
      <x:c r="E6" s="17" t="str">
        <x:v>预注册摘要</x:v>
      </x:c>
      <x:c r="F6" s="17" t="str">
        <x:v>统计组</x:v>
      </x:c>
      <x:c r="G6" s="17" t="str">
        <x:v>通过/修订</x:v>
      </x:c>
      <x:c r="H6" s="17" t="str">
        <x:v>计划</x:v>
      </x:c>
    </x:row>
    <x:row r="7">
      <x:c r="A7" s="17" t="str">
        <x:v>R03</x:v>
      </x:c>
      <x:c r="B7" s="17" t="str">
        <x:v>G1</x:v>
      </x:c>
      <x:c r="C7" s="17" t="str">
        <x:v>样本量与损耗冗余</x:v>
      </x:c>
      <x:c r="D7" s="17" t="str">
        <x:v>设计审查</x:v>
      </x:c>
      <x:c r="E7" s="17" t="str">
        <x:v>样本量规划</x:v>
      </x:c>
      <x:c r="F7" s="17" t="str">
        <x:v>统计组</x:v>
      </x:c>
      <x:c r="G7" s="17" t="str">
        <x:v>通过/增补</x:v>
      </x:c>
      <x:c r="H7" s="17" t="str">
        <x:v>计划</x:v>
      </x:c>
    </x:row>
    <x:row r="8">
      <x:c r="A8" s="17" t="str">
        <x:v>R04</x:v>
      </x:c>
      <x:c r="B8" s="17" t="str">
        <x:v>G1</x:v>
      </x:c>
      <x:c r="C8" s="17" t="str">
        <x:v>基地和批次覆盖</x:v>
      </x:c>
      <x:c r="D8" s="17" t="str">
        <x:v>资源审查</x:v>
      </x:c>
      <x:c r="E8" s="17" t="str">
        <x:v>基地品种产季</x:v>
      </x:c>
      <x:c r="F8" s="17" t="str">
        <x:v>运营组</x:v>
      </x:c>
      <x:c r="G8" s="17" t="str">
        <x:v>通过/调整</x:v>
      </x:c>
      <x:c r="H8" s="17" t="str">
        <x:v>计划</x:v>
      </x:c>
    </x:row>
    <x:row r="9">
      <x:c r="A9" s="17" t="str">
        <x:v>R05</x:v>
      </x:c>
      <x:c r="B9" s="17" t="str">
        <x:v>G2</x:v>
      </x:c>
      <x:c r="C9" s="17" t="str">
        <x:v>设备IQ/OQ方案</x:v>
      </x:c>
      <x:c r="D9" s="17" t="str">
        <x:v>设备审查</x:v>
      </x:c>
      <x:c r="E9" s="17" t="str">
        <x:v>设备主数据、测场计划</x:v>
      </x:c>
      <x:c r="F9" s="17" t="str">
        <x:v>设备组</x:v>
      </x:c>
      <x:c r="G9" s="17" t="str">
        <x:v>放行/整改</x:v>
      </x:c>
      <x:c r="H9" s="17" t="str">
        <x:v>计划</x:v>
      </x:c>
    </x:row>
    <x:row r="10">
      <x:c r="A10" s="17" t="str">
        <x:v>R06</x:v>
      </x:c>
      <x:c r="B10" s="17" t="str">
        <x:v>G2</x:v>
      </x:c>
      <x:c r="C10" s="17" t="str">
        <x:v>环境采集与报警</x:v>
      </x:c>
      <x:c r="D10" s="17" t="str">
        <x:v>运行审查</x:v>
      </x:c>
      <x:c r="E10" s="17" t="str">
        <x:v>环境采集规范</x:v>
      </x:c>
      <x:c r="F10" s="17" t="str">
        <x:v>运营组</x:v>
      </x:c>
      <x:c r="G10" s="17" t="str">
        <x:v>放行/整改</x:v>
      </x:c>
      <x:c r="H10" s="17" t="str">
        <x:v>计划</x:v>
      </x:c>
    </x:row>
    <x:row r="11">
      <x:c r="A11" s="17" t="str">
        <x:v>R07</x:v>
      </x:c>
      <x:c r="B11" s="17" t="str">
        <x:v>G1</x:v>
      </x:c>
      <x:c r="C11" s="17" t="str">
        <x:v>随机化、盲法和链路</x:v>
      </x:c>
      <x:c r="D11" s="17" t="str">
        <x:v>质量审查</x:v>
      </x:c>
      <x:c r="E11" s="17" t="str">
        <x:v>随机化、链路规范</x:v>
      </x:c>
      <x:c r="F11" s="17" t="str">
        <x:v>质量组</x:v>
      </x:c>
      <x:c r="G11" s="17" t="str">
        <x:v>放行/整改</x:v>
      </x:c>
      <x:c r="H11" s="17" t="str">
        <x:v>计划</x:v>
      </x:c>
    </x:row>
    <x:row r="12">
      <x:c r="A12" s="17" t="str">
        <x:v>R08</x:v>
      </x:c>
      <x:c r="B12" s="17" t="str">
        <x:v>G2</x:v>
      </x:c>
      <x:c r="C12" s="17" t="str">
        <x:v>检测方法与QC</x:v>
      </x:c>
      <x:c r="D12" s="17" t="str">
        <x:v>方法审查</x:v>
      </x:c>
      <x:c r="E12" s="17" t="str">
        <x:v>端点与时点</x:v>
      </x:c>
      <x:c r="F12" s="17" t="str">
        <x:v>研发组</x:v>
      </x:c>
      <x:c r="G12" s="17" t="str">
        <x:v>放行/整改</x:v>
      </x:c>
      <x:c r="H12" s="17" t="str">
        <x:v>计划</x:v>
      </x:c>
    </x:row>
    <x:row r="13">
      <x:c r="A13" s="17" t="str">
        <x:v>R09</x:v>
      </x:c>
      <x:c r="B13" s="17" t="str">
        <x:v>G2</x:v>
      </x:c>
      <x:c r="C13" s="17" t="str">
        <x:v>首批执行准备</x:v>
      </x:c>
      <x:c r="D13" s="17" t="str">
        <x:v>启动审查</x:v>
      </x:c>
      <x:c r="E13" s="17" t="str">
        <x:v>人员培训、物料和设备</x:v>
      </x:c>
      <x:c r="F13" s="17" t="str">
        <x:v>项目办公室</x:v>
      </x:c>
      <x:c r="G13" s="17" t="str">
        <x:v>启动/延期</x:v>
      </x:c>
      <x:c r="H13" s="17" t="str">
        <x:v>计划</x:v>
      </x:c>
    </x:row>
    <x:row r="14">
      <x:c r="A14" s="17" t="str">
        <x:v>R10</x:v>
      </x:c>
      <x:c r="B14" s="17" t="str">
        <x:v>G3</x:v>
      </x:c>
      <x:c r="C14" s="17" t="str">
        <x:v>首批数据质量</x:v>
      </x:c>
      <x:c r="D14" s="17" t="str">
        <x:v>批次审查</x:v>
      </x:c>
      <x:c r="E14" s="17" t="str">
        <x:v>原始记录、偏差清单</x:v>
      </x:c>
      <x:c r="F14" s="17" t="str">
        <x:v>质量组</x:v>
      </x:c>
      <x:c r="G14" s="17" t="str">
        <x:v>接受/RCA</x:v>
      </x:c>
      <x:c r="H14" s="17" t="str">
        <x:v>计划</x:v>
      </x:c>
    </x:row>
    <x:row r="15">
      <x:c r="A15" s="17" t="str">
        <x:v>R11</x:v>
      </x:c>
      <x:c r="B15" s="17" t="str">
        <x:v>G3</x:v>
      </x:c>
      <x:c r="C15" s="17" t="str">
        <x:v>第二基地复现</x:v>
      </x:c>
      <x:c r="D15" s="17" t="str">
        <x:v>批次审查</x:v>
      </x:c>
      <x:c r="E15" s="17" t="str">
        <x:v>主要终点盲态汇总</x:v>
      </x:c>
      <x:c r="F15" s="17" t="str">
        <x:v>统计组</x:v>
      </x:c>
      <x:c r="G15" s="17" t="str">
        <x:v>继续/调整</x:v>
      </x:c>
      <x:c r="H15" s="17" t="str">
        <x:v>计划</x:v>
      </x:c>
    </x:row>
    <x:row r="16">
      <x:c r="A16" s="17" t="str">
        <x:v>R12</x:v>
      </x:c>
      <x:c r="B16" s="17" t="str">
        <x:v>G3</x:v>
      </x:c>
      <x:c r="C16" s="17" t="str">
        <x:v>第一产季中期</x:v>
      </x:c>
      <x:c r="D16" s="17" t="str">
        <x:v>阶段审查</x:v>
      </x:c>
      <x:c r="E16" s="17" t="str">
        <x:v>有效率、环境偏差</x:v>
      </x:c>
      <x:c r="F16" s="17" t="str">
        <x:v>项目委员会</x:v>
      </x:c>
      <x:c r="G16" s="17" t="str">
        <x:v>继续/暂停</x:v>
      </x:c>
      <x:c r="H16" s="17" t="str">
        <x:v>计划</x:v>
      </x:c>
    </x:row>
    <x:row r="17">
      <x:c r="A17" s="17" t="str">
        <x:v>R13</x:v>
      </x:c>
      <x:c r="B17" s="17" t="str">
        <x:v>G3</x:v>
      </x:c>
      <x:c r="C17" s="17" t="str">
        <x:v>第一产季结题</x:v>
      </x:c>
      <x:c r="D17" s="17" t="str">
        <x:v>阶段审查</x:v>
      </x:c>
      <x:c r="E17" s="17" t="str">
        <x:v>产季统计摘要</x:v>
      </x:c>
      <x:c r="F17" s="17" t="str">
        <x:v>统计组</x:v>
      </x:c>
      <x:c r="G17" s="17" t="str">
        <x:v>进入第二产季/修订</x:v>
      </x:c>
      <x:c r="H17" s="17" t="str">
        <x:v>计划</x:v>
      </x:c>
    </x:row>
    <x:row r="18">
      <x:c r="A18" s="17" t="str">
        <x:v>R14</x:v>
      </x:c>
      <x:c r="B18" s="17" t="str">
        <x:v>G2</x:v>
      </x:c>
      <x:c r="C18" s="17" t="str">
        <x:v>第二产季准备</x:v>
      </x:c>
      <x:c r="D18" s="17" t="str">
        <x:v>启动审查</x:v>
      </x:c>
      <x:c r="E18" s="17" t="str">
        <x:v>方法、设备、供应链变更</x:v>
      </x:c>
      <x:c r="F18" s="17" t="str">
        <x:v>质量组</x:v>
      </x:c>
      <x:c r="G18" s="17" t="str">
        <x:v>启动/延期</x:v>
      </x:c>
      <x:c r="H18" s="17" t="str">
        <x:v>计划</x:v>
      </x:c>
    </x:row>
    <x:row r="19">
      <x:c r="A19" s="17" t="str">
        <x:v>R15</x:v>
      </x:c>
      <x:c r="B19" s="17" t="str">
        <x:v>G3</x:v>
      </x:c>
      <x:c r="C19" s="17" t="str">
        <x:v>运输压力试验</x:v>
      </x:c>
      <x:c r="D19" s="17" t="str">
        <x:v>压力审查</x:v>
      </x:c>
      <x:c r="E19" s="17" t="str">
        <x:v>振动、温控、到货质量</x:v>
      </x:c>
      <x:c r="F19" s="17" t="str">
        <x:v>运营组</x:v>
      </x:c>
      <x:c r="G19" s="17" t="str">
        <x:v>通过/优化</x:v>
      </x:c>
      <x:c r="H19" s="17" t="str">
        <x:v>计划</x:v>
      </x:c>
    </x:row>
    <x:row r="20">
      <x:c r="A20" s="17" t="str">
        <x:v>R16</x:v>
      </x:c>
      <x:c r="B20" s="17" t="str">
        <x:v>G3</x:v>
      </x:c>
      <x:c r="C20" s="17" t="str">
        <x:v>包装压力试验</x:v>
      </x:c>
      <x:c r="D20" s="17" t="str">
        <x:v>压力审查</x:v>
      </x:c>
      <x:c r="E20" s="17" t="str">
        <x:v>包装×处理结果</x:v>
      </x:c>
      <x:c r="F20" s="17" t="str">
        <x:v>研发组</x:v>
      </x:c>
      <x:c r="G20" s="17" t="str">
        <x:v>通过/优化</x:v>
      </x:c>
      <x:c r="H20" s="17" t="str">
        <x:v>计划</x:v>
      </x:c>
    </x:row>
    <x:row r="21">
      <x:c r="A21" s="17" t="str">
        <x:v>R17</x:v>
      </x:c>
      <x:c r="B21" s="17" t="str">
        <x:v>G3</x:v>
      </x:c>
      <x:c r="C21" s="17" t="str">
        <x:v>微生物与感官复核</x:v>
      </x:c>
      <x:c r="D21" s="17" t="str">
        <x:v>专项审查</x:v>
      </x:c>
      <x:c r="E21" s="17" t="str">
        <x:v>第三方检测与盲评</x:v>
      </x:c>
      <x:c r="F21" s="17" t="str">
        <x:v>质量组</x:v>
      </x:c>
      <x:c r="G21" s="17" t="str">
        <x:v>通过/RCA</x:v>
      </x:c>
      <x:c r="H21" s="17" t="str">
        <x:v>计划</x:v>
      </x:c>
    </x:row>
    <x:row r="22">
      <x:c r="A22" s="17" t="str">
        <x:v>R18</x:v>
      </x:c>
      <x:c r="B22" s="17" t="str">
        <x:v>G3</x:v>
      </x:c>
      <x:c r="C22" s="17" t="str">
        <x:v>跨基地统计模型</x:v>
      </x:c>
      <x:c r="D22" s="17" t="str">
        <x:v>统计审查</x:v>
      </x:c>
      <x:c r="E22" s="17" t="str">
        <x:v>效应量、CI、异质性</x:v>
      </x:c>
      <x:c r="F22" s="17" t="str">
        <x:v>统计组</x:v>
      </x:c>
      <x:c r="G22" s="17" t="str">
        <x:v>确证/补批</x:v>
      </x:c>
      <x:c r="H22" s="17" t="str">
        <x:v>计划</x:v>
      </x:c>
    </x:row>
    <x:row r="23">
      <x:c r="A23" s="17" t="str">
        <x:v>R19</x:v>
      </x:c>
      <x:c r="B23" s="17" t="str">
        <x:v>G3</x:v>
      </x:c>
      <x:c r="C23" s="17" t="str">
        <x:v>第三方独立复现</x:v>
      </x:c>
      <x:c r="D23" s="17" t="str">
        <x:v>复核审查</x:v>
      </x:c>
      <x:c r="E23" s="17" t="str">
        <x:v>复核报告、原始记录</x:v>
      </x:c>
      <x:c r="F23" s="17" t="str">
        <x:v>第三方</x:v>
      </x:c>
      <x:c r="G23" s="17" t="str">
        <x:v>接受/调查</x:v>
      </x:c>
      <x:c r="H23" s="17" t="str">
        <x:v>计划</x:v>
      </x:c>
    </x:row>
    <x:row r="24">
      <x:c r="A24" s="17" t="str">
        <x:v>R20</x:v>
      </x:c>
      <x:c r="B24" s="17" t="str">
        <x:v>G4</x:v>
      </x:c>
      <x:c r="C24" s="17" t="str">
        <x:v>商业冷库运行</x:v>
      </x:c>
      <x:c r="D24" s="17" t="str">
        <x:v>试运行审查</x:v>
      </x:c>
      <x:c r="E24" s="17" t="str">
        <x:v>产能、均匀性、故障</x:v>
      </x:c>
      <x:c r="F24" s="17" t="str">
        <x:v>运营组</x:v>
      </x:c>
      <x:c r="G24" s="17" t="str">
        <x:v>转化/整改</x:v>
      </x:c>
      <x:c r="H24" s="17" t="str">
        <x:v>计划</x:v>
      </x:c>
    </x:row>
    <x:row r="25">
      <x:c r="A25" s="17" t="str">
        <x:v>R21</x:v>
      </x:c>
      <x:c r="B25" s="17" t="str">
        <x:v>G5</x:v>
      </x:c>
      <x:c r="C25" s="17" t="str">
        <x:v>经营效果与敏感性</x:v>
      </x:c>
      <x:c r="D25" s="17" t="str">
        <x:v>财务审查</x:v>
      </x:c>
      <x:c r="E25" s="17" t="str">
        <x:v>报损、售价、能耗、成本</x:v>
      </x:c>
      <x:c r="F25" s="17" t="str">
        <x:v>财务组</x:v>
      </x:c>
      <x:c r="G25" s="17" t="str">
        <x:v>通过/调整</x:v>
      </x:c>
      <x:c r="H25" s="17" t="str">
        <x:v>计划</x:v>
      </x:c>
    </x:row>
    <x:row r="26">
      <x:c r="A26" s="17" t="str">
        <x:v>R22</x:v>
      </x:c>
      <x:c r="B26" s="17" t="str">
        <x:v>G4</x:v>
      </x:c>
      <x:c r="C26" s="17" t="str">
        <x:v>部署SOP验证</x:v>
      </x:c>
      <x:c r="D26" s="17" t="str">
        <x:v>文件审查</x:v>
      </x:c>
      <x:c r="E26" s="17" t="str">
        <x:v>演练记录、偏差</x:v>
      </x:c>
      <x:c r="F26" s="17" t="str">
        <x:v>质量组</x:v>
      </x:c>
      <x:c r="G26" s="17" t="str">
        <x:v>批准/修订</x:v>
      </x:c>
      <x:c r="H26" s="17" t="str">
        <x:v>计划</x:v>
      </x:c>
    </x:row>
    <x:row r="27">
      <x:c r="A27" s="17" t="str">
        <x:v>R23</x:v>
      </x:c>
      <x:c r="B27" s="17" t="str">
        <x:v>G5</x:v>
      </x:c>
      <x:c r="C27" s="17" t="str">
        <x:v>全链路审计</x:v>
      </x:c>
      <x:c r="D27" s="17" t="str">
        <x:v>终审</x:v>
      </x:c>
      <x:c r="E27" s="17" t="str">
        <x:v>数据、报告、SOP、RCA</x:v>
      </x:c>
      <x:c r="F27" s="17" t="str">
        <x:v>项目委员会</x:v>
      </x:c>
      <x:c r="G27" s="17" t="str">
        <x:v>提交/退回</x:v>
      </x:c>
      <x:c r="H27" s="17" t="str">
        <x:v>计划</x:v>
      </x:c>
    </x:row>
    <x:row r="28">
      <x:c r="A28" s="17" t="str">
        <x:v>R24</x:v>
      </x:c>
      <x:c r="B28" s="17" t="str">
        <x:v>G5</x:v>
      </x:c>
      <x:c r="C28" s="17" t="str">
        <x:v>继续/停止决策</x:v>
      </x:c>
      <x:c r="D28" s="17" t="str">
        <x:v>决策会</x:v>
      </x:c>
      <x:c r="E28" s="17" t="str">
        <x:v>综合证据包</x:v>
      </x:c>
      <x:c r="F28" s="17" t="str">
        <x:v>决策委员会</x:v>
      </x:c>
      <x:c r="G28" s="17" t="str">
        <x:v>部署/限定/停止</x:v>
      </x:c>
      <x:c r="H28" s="17" t="str">
        <x:v>计划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52" hidden="0" customWidth="1"/>
    <x:col min="4" max="4" width="36" hidden="0" customWidth="1"/>
    <x:col min="5" max="5" width="18" hidden="0" customWidth="1"/>
    <x:col min="6" max="6" width="12" hidden="0" customWidth="1"/>
    <x:col min="7" max="7" width="18" hidden="0" customWidth="1"/>
  </x:cols>
  <x:sheetData>
    <x:row r="1" ht="30" customHeight="1">
      <x:c r="A1" s="3" t="str">
        <x:v>商业冷库部署与继续停止控制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设备、环境、产品、经营和治理门槛共同决定部署范围。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3" t="str">
        <x:v>控制ID</x:v>
      </x:c>
      <x:c r="B4" s="13" t="str">
        <x:v>维度</x:v>
      </x:c>
      <x:c r="C4" s="13" t="str">
        <x:v>继续条件</x:v>
      </x:c>
      <x:c r="D4" s="13" t="str">
        <x:v>暂停/停止条件</x:v>
      </x:c>
      <x:c r="E4" s="13" t="str">
        <x:v>处置</x:v>
      </x:c>
      <x:c r="F4" s="13" t="str">
        <x:v>阶段门</x:v>
      </x:c>
      <x:c r="G4" s="13" t="str">
        <x:v>责任</x:v>
      </x:c>
    </x:row>
    <x:row r="5">
      <x:c r="A5" s="17" t="str">
        <x:v>D01</x:v>
      </x:c>
      <x:c r="B5" s="17" t="str">
        <x:v>设备</x:v>
      </x:c>
      <x:c r="C5" s="17" t="str">
        <x:v>四基地设备全部通过IQ/OQ；5.00±0.25 mT；CV≤5%；温升≤0.3℃</x:v>
      </x:c>
      <x:c r="D5" s="17" t="str">
        <x:v>任一关键设备未放行</x:v>
      </x:c>
      <x:c r="E5" s="17" t="str">
        <x:v>延期首批</x:v>
      </x:c>
      <x:c r="F5" s="17" t="str">
        <x:v>G2</x:v>
      </x:c>
      <x:c r="G5" s="17" t="str">
        <x:v>设备/质量</x:v>
      </x:c>
    </x:row>
    <x:row r="6">
      <x:c r="A6" s="17" t="str">
        <x:v>D02</x:v>
      </x:c>
      <x:c r="B6" s="17" t="str">
        <x:v>确证</x:v>
      </x:c>
      <x:c r="C6" s="17" t="str">
        <x:v>主要终点达到预注册门槛，异质性可解释</x:v>
      </x:c>
      <x:c r="D6" s="17" t="str">
        <x:v>主要终点反转或连续关键批次失败</x:v>
      </x:c>
      <x:c r="E6" s="17" t="str">
        <x:v>补批、限定或停止</x:v>
      </x:c>
      <x:c r="F6" s="17" t="str">
        <x:v>G3</x:v>
      </x:c>
      <x:c r="G6" s="17" t="str">
        <x:v>统计/委员会</x:v>
      </x:c>
    </x:row>
    <x:row r="7">
      <x:c r="A7" s="17" t="str">
        <x:v>D03</x:v>
      </x:c>
      <x:c r="B7" s="17" t="str">
        <x:v>第三方</x:v>
      </x:c>
      <x:c r="C7" s="17" t="str">
        <x:v>独立复核与项目结果在预设一致性范围内</x:v>
      </x:c>
      <x:c r="D7" s="17" t="str">
        <x:v>方法比对后仍不一致</x:v>
      </x:c>
      <x:c r="E7" s="17" t="str">
        <x:v>调查或追加复核</x:v>
      </x:c>
      <x:c r="F7" s="17" t="str">
        <x:v>G3</x:v>
      </x:c>
      <x:c r="G7" s="17" t="str">
        <x:v>质量/第三方</x:v>
      </x:c>
    </x:row>
    <x:row r="8">
      <x:c r="A8" s="17" t="str">
        <x:v>D04</x:v>
      </x:c>
      <x:c r="B8" s="17" t="str">
        <x:v>商品性</x:v>
      </x:c>
      <x:c r="C8" s="17" t="str">
        <x:v>货架期延长≥2 d；放行合格率≥90%</x:v>
      </x:c>
      <x:c r="D8" s="17" t="str">
        <x:v>商业冷库或运输压力下未达门槛</x:v>
      </x:c>
      <x:c r="E8" s="17" t="str">
        <x:v>优化工艺或限定路线</x:v>
      </x:c>
      <x:c r="F8" s="17" t="str">
        <x:v>G4</x:v>
      </x:c>
      <x:c r="G8" s="17" t="str">
        <x:v>运营/质量</x:v>
      </x:c>
    </x:row>
    <x:row r="9">
      <x:c r="A9" s="17" t="str">
        <x:v>D05</x:v>
      </x:c>
      <x:c r="B9" s="17" t="str">
        <x:v>经营</x:v>
      </x:c>
      <x:c r="C9" s="17" t="str">
        <x:v>报损改善≥5个百分点；BCR≥1.50；回收期≤24月</x:v>
      </x:c>
      <x:c r="D9" s="17" t="str">
        <x:v>完整成本口径未达门槛</x:v>
      </x:c>
      <x:c r="E9" s="17" t="str">
        <x:v>限定部署或停止投资</x:v>
      </x:c>
      <x:c r="F9" s="17" t="str">
        <x:v>G5</x:v>
      </x:c>
      <x:c r="G9" s="17" t="str">
        <x:v>财务/委员会</x:v>
      </x:c>
    </x:row>
    <x:row r="10">
      <x:c r="A10" s="17" t="str">
        <x:v>D06</x:v>
      </x:c>
      <x:c r="B10" s="17" t="str">
        <x:v>治理</x:v>
      </x:c>
      <x:c r="C10" s="17" t="str">
        <x:v>24轮评审完成，开放RCA全部关闭</x:v>
      </x:c>
      <x:c r="D10" s="17" t="str">
        <x:v>关键RCA未关闭或数据链路断裂</x:v>
      </x:c>
      <x:c r="E10" s="17" t="str">
        <x:v>暂停结题</x:v>
      </x:c>
      <x:c r="F10" s="17" t="str">
        <x:v>G5</x:v>
      </x:c>
      <x:c r="G10" s="17" t="str">
        <x:v>项目办公室</x:v>
      </x:c>
    </x:row>
    <x:row r="12" ht="24" customHeight="1">
      <x:c r="A12" s="26" t="str">
        <x:v>部署SOP关键控制点</x:v>
      </x:c>
      <x:c r="B12" s="26"/>
      <x:c r="C12" s="26"/>
      <x:c r="D12" s="26"/>
      <x:c r="E12" s="26"/>
      <x:c r="F12" s="26"/>
    </x:row>
    <x:row r="13" ht="30" customHeight="1">
      <x:c r="A13" s="13" t="str">
        <x:v>步骤</x:v>
      </x:c>
      <x:c r="B13" s="13" t="str">
        <x:v>环节</x:v>
      </x:c>
      <x:c r="C13" s="13" t="str">
        <x:v>控制点</x:v>
      </x:c>
      <x:c r="D13" s="13" t="str">
        <x:v>记录</x:v>
      </x:c>
      <x:c r="E13" s="13" t="str">
        <x:v>责任</x:v>
      </x:c>
    </x:row>
    <x:row r="14">
      <x:c r="A14" s="17" t="str">
        <x:v>S01</x:v>
      </x:c>
      <x:c r="B14" s="17" t="str">
        <x:v>到货与分层</x:v>
      </x:c>
      <x:c r="C14" s="17" t="str">
        <x:v>批次、温度、成熟度、果径、质量</x:v>
      </x:c>
      <x:c r="D14" s="17" t="str">
        <x:v>收货单+分层清单</x:v>
      </x:c>
      <x:c r="E14" s="17" t="str">
        <x:v>质量/研发</x:v>
      </x:c>
    </x:row>
    <x:row r="15">
      <x:c r="A15" s="17" t="str">
        <x:v>S02</x:v>
      </x:c>
      <x:c r="B15" s="17" t="str">
        <x:v>编码与随机</x:v>
      </x:c>
      <x:c r="C15" s="17" t="str">
        <x:v>样本码、检测码、库位随机表</x:v>
      </x:c>
      <x:c r="D15" s="17" t="str">
        <x:v>随机表+盲码表</x:v>
      </x:c>
      <x:c r="E15" s="17" t="str">
        <x:v>质量</x:v>
      </x:c>
    </x:row>
    <x:row r="16">
      <x:c r="A16" s="17" t="str">
        <x:v>S03</x:v>
      </x:c>
      <x:c r="B16" s="17" t="str">
        <x:v>设备与装载</x:v>
      </x:c>
      <x:c r="C16" s="17" t="str">
        <x:v>版本、测场、装载率40%-80%</x:v>
      </x:c>
      <x:c r="D16" s="17" t="str">
        <x:v>设备放行单+库位图</x:v>
      </x:c>
      <x:c r="E16" s="17" t="str">
        <x:v>设备/运营</x:v>
      </x:c>
    </x:row>
    <x:row r="17">
      <x:c r="A17" s="17" t="str">
        <x:v>S04</x:v>
      </x:c>
      <x:c r="B17" s="17" t="str">
        <x:v>处理与冷藏</x:v>
      </x:c>
      <x:c r="C17" s="17" t="str">
        <x:v>开关机、磁场、温湿度、门开启、故障</x:v>
      </x:c>
      <x:c r="D17" s="17" t="str">
        <x:v>设备与环境日志</x:v>
      </x:c>
      <x:c r="E17" s="17" t="str">
        <x:v>运营</x:v>
      </x:c>
    </x:row>
    <x:row r="18">
      <x:c r="A18" s="17" t="str">
        <x:v>S05</x:v>
      </x:c>
      <x:c r="B18" s="17" t="str">
        <x:v>运输与检测</x:v>
      </x:c>
      <x:c r="C18" s="17" t="str">
        <x:v>封签、温度、振动、盲态QC</x:v>
      </x:c>
      <x:c r="D18" s="17" t="str">
        <x:v>运输单+原始检测文件</x:v>
      </x:c>
      <x:c r="E18" s="17" t="str">
        <x:v>物流/检测</x:v>
      </x:c>
    </x:row>
    <x:row r="19">
      <x:c r="A19" s="17" t="str">
        <x:v>S06</x:v>
      </x:c>
      <x:c r="B19" s="17" t="str">
        <x:v>锁库与放行</x:v>
      </x:c>
      <x:c r="C19" s="17" t="str">
        <x:v>查询关闭、揭盲审批、批次门槛</x:v>
      </x:c>
      <x:c r="D19" s="17" t="str">
        <x:v>锁库单+放行单</x:v>
      </x:c>
      <x:c r="E19" s="17" t="str">
        <x:v>统计/质量</x:v>
      </x:c>
    </x:row>
    <x:row r="20">
      <x:c r="A20" s="17" t="str">
        <x:v>S07</x:v>
      </x:c>
      <x:c r="B20" s="17" t="str">
        <x:v>经营复盘</x:v>
      </x:c>
      <x:c r="C20" s="17" t="str">
        <x:v>报损、售价、能耗、维修、折旧、客诉</x:v>
      </x:c>
      <x:c r="D20" s="17" t="str">
        <x:v>经营复盘表</x:v>
      </x:c>
      <x:c r="E20" s="17" t="str">
        <x:v>运营/财务</x:v>
      </x:c>
    </x:row>
  </x:sheetData>
  <x:mergeCells>
    <x:mergeCell ref="A1:H1"/>
    <x:mergeCell ref="A2:H2"/>
    <x:mergeCell ref="A12:F12"/>
  </x:mergeCells>
  <x:pageMargins left="0.7" right="0.7" top="0.75" bottom="0.75" header="0.3" footer="0.3"/>
</x:worksheet>
</file>