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管理摘要" sheetId="1" state="visible" r:id="rId1"/>
    <sheet name="控制检查清单" sheetId="2" state="visible" r:id="rId2"/>
    <sheet name="证据矩阵" sheetId="3" state="visible" r:id="rId3"/>
    <sheet name="整改路线图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667788"/>
      <sz val="9"/>
    </font>
    <font>
      <name val="Carlito"/>
      <color rgb="FF24313D"/>
      <sz val="9"/>
    </font>
    <font>
      <name val="Carlito"/>
      <b val="1"/>
      <color rgb="FFFFFFFF"/>
      <sz val="9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2F75B5"/>
      </patternFill>
    </fill>
    <fill>
      <patternFill patternType="solid">
        <fgColor rgb="FFF3F7FB"/>
      </patternFill>
    </fill>
  </fills>
  <borders count="11">
    <border/>
    <border>
      <right style="thin">
        <color rgb="FFC9D5E2"/>
      </right>
      <bottom style="thin">
        <color rgb="FFC9D5E2"/>
      </bottom>
    </border>
    <border>
      <left style="thin">
        <color rgb="FFC9D5E2"/>
      </left>
      <bottom style="thin">
        <color rgb="FFC9D5E2"/>
      </bottom>
    </border>
    <border>
      <right style="thin">
        <color rgb="FFC9D5E2"/>
      </right>
      <top style="thin">
        <color rgb="FFC9D5E2"/>
      </top>
      <bottom style="thin">
        <color rgb="FFC9D5E2"/>
      </bottom>
    </border>
    <border>
      <left style="thin">
        <color rgb="FFC9D5E2"/>
      </left>
      <top style="thin">
        <color rgb="FFC9D5E2"/>
      </top>
      <bottom style="thin">
        <color rgb="FFC9D5E2"/>
      </bottom>
    </border>
    <border>
      <right style="thin">
        <color rgb="FFC9D5E2"/>
      </right>
      <top style="thin">
        <color rgb="FFC9D5E2"/>
      </top>
    </border>
    <border>
      <left style="thin">
        <color rgb="FFC9D5E2"/>
      </left>
      <top style="thin">
        <color rgb="FFC9D5E2"/>
      </top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</border>
    <border>
      <left style="thin">
        <color rgb="FFC9D5E2"/>
      </left>
      <right style="thin">
        <color rgb="FFC9D5E2"/>
      </right>
      <bottom style="thin">
        <color rgb="FFC9D5E2"/>
      </bottom>
    </border>
    <border>
      <left style="thin">
        <color rgb="FFC9D5E2"/>
      </left>
      <right style="thin">
        <color rgb="FFC9D5E2"/>
      </right>
      <top style="thin">
        <color rgb="FFC9D5E2"/>
      </top>
      <bottom style="thin">
        <color rgb="FFC9D5E2"/>
      </bottom>
    </border>
    <border>
      <left style="thin">
        <color rgb="FFC9D5E2"/>
      </left>
      <right style="thin">
        <color rgb="FFC9D5E2"/>
      </right>
      <top style="thin">
        <color rgb="FFC9D5E2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4" borderId="7" applyAlignment="1" pivotButton="0" quotePrefix="0" xfId="0">
      <alignment vertical="top" wrapText="1"/>
    </xf>
    <xf numFmtId="0" fontId="4" fillId="4" borderId="7" applyAlignment="1" pivotButton="0" quotePrefix="0" xfId="0">
      <alignment horizontal="center" vertical="top" wrapText="1"/>
    </xf>
    <xf numFmtId="0" fontId="4" fillId="4" borderId="7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top" wrapText="1"/>
    </xf>
    <xf numFmtId="0" fontId="3" fillId="5" borderId="4" applyAlignment="1" pivotButton="0" quotePrefix="0" xfId="0">
      <alignment vertical="top" wrapText="1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0" borderId="10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4" fillId="4" borderId="8" applyAlignment="1" pivotButton="0" quotePrefix="0" xfId="0">
      <alignment vertical="top" wrapText="1"/>
    </xf>
    <xf numFmtId="0" fontId="3" fillId="5" borderId="9" applyAlignment="1" pivotButton="0" quotePrefix="0" xfId="0">
      <alignment vertical="top" wrapText="1"/>
    </xf>
    <xf numFmtId="0" fontId="3" fillId="5" borderId="5" applyAlignment="1" pivotButton="0" quotePrefix="0" xfId="0">
      <alignment vertical="top" wrapText="1"/>
    </xf>
    <xf numFmtId="0" fontId="3" fillId="5" borderId="10" applyAlignment="1" pivotButton="0" quotePrefix="0" xfId="0">
      <alignment vertical="top" wrapText="1"/>
    </xf>
    <xf numFmtId="0" fontId="3" fillId="5" borderId="6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0_CYBT8004_Sheet" displayName="T0_CYBT8004_Sheet" ref="A4:B10" headerRowCount="1" totalsRowCount="0" totalsRowShown="0">
  <autoFilter ref="A4:B10"/>
  <tableColumns count="2">
    <tableColumn id="1" name="状态"/>
    <tableColumn id="2" name="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1_CYBT8004_Sheet" displayName="T1_CYBT8004_Sheet" ref="A4:E9" headerRowCount="1" totalsRowCount="0" totalsRowShown="0">
  <autoFilter ref="A4:E9"/>
  <tableColumns count="5">
    <tableColumn id="1" name="差距ID"/>
    <tableColumn id="2" name="对象"/>
    <tableColumn id="3" name="专业判断"/>
    <tableColumn id="4" name="状态/风险"/>
    <tableColumn id="5" name="证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2_CYBT8004_Sheet" displayName="T2_CYBT8004_Sheet" ref="A4:E8" headerRowCount="1" totalsRowCount="0" totalsRowShown="0">
  <autoFilter ref="A4:E8"/>
  <tableColumns count="5">
    <tableColumn id="1" name="控制项"/>
    <tableColumn id="2" name="设计证据"/>
    <tableColumn id="3" name="运行证据"/>
    <tableColumn id="4" name="充分性"/>
    <tableColumn id="5" name="复核方法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3_CYBT8004_Sheet" displayName="T3_CYBT8004_Sheet" ref="A4:F8" headerRowCount="1" totalsRowCount="0" totalsRowShown="0">
  <autoFilter ref="A4:F8"/>
  <tableColumns count="6">
    <tableColumn id="1" name="优先级"/>
    <tableColumn id="2" name="责任主体"/>
    <tableColumn id="3" name="行动"/>
    <tableColumn id="4" name="完成时限"/>
    <tableColumn id="5" name="验证方式"/>
    <tableColumn id="6" name="回滚方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0" customHeight="1">
      <c r="A1" s="4" t="inlineStr">
        <is>
          <t>CYB-T8-014 管理与证据工作簿</t>
        </is>
      </c>
    </row>
    <row r="2">
      <c r="A2" s="7" t="inlineStr">
        <is>
          <t>公开仓库固定提交 | 数据冻结日 2026-07-27 | 候选Golden，待网安专家审核</t>
        </is>
      </c>
    </row>
    <row r="3"/>
    <row r="4" ht="30" customHeight="1">
      <c r="A4" s="33" t="inlineStr">
        <is>
          <t>状态</t>
        </is>
      </c>
      <c r="B4" s="33" t="inlineStr">
        <is>
          <t>数量</t>
        </is>
      </c>
    </row>
    <row r="5">
      <c r="A5" s="34" t="inlineStr">
        <is>
          <t>已符合</t>
        </is>
      </c>
      <c r="B5" s="35">
        <f>COUNTIF('控制检查清单'!D5:D100,"已符合")</f>
        <v/>
      </c>
    </row>
    <row r="6">
      <c r="A6" s="23" t="inlineStr">
        <is>
          <t>部分符合</t>
        </is>
      </c>
      <c r="B6" s="24">
        <f>COUNTIF('控制检查清单'!D5:D100,"部分符合")</f>
        <v/>
      </c>
    </row>
    <row r="7">
      <c r="A7" s="34" t="inlineStr">
        <is>
          <t>不符合</t>
        </is>
      </c>
      <c r="B7" s="35">
        <f>COUNTIF('控制检查清单'!D5:D100,"不符合/高")+COUNTIF('控制检查清单'!D5:D100,"不符合/中")</f>
        <v/>
      </c>
    </row>
    <row r="8">
      <c r="A8" s="23" t="inlineStr">
        <is>
          <t>不适用</t>
        </is>
      </c>
      <c r="B8" s="24">
        <f>COUNTIF('控制检查清单'!D5:D100,"不适用/有范围理由")</f>
        <v/>
      </c>
    </row>
    <row r="9">
      <c r="A9" s="34" t="inlineStr">
        <is>
          <t>证据不足</t>
        </is>
      </c>
      <c r="B9" s="35">
        <f>COUNTIF('控制检查清单'!D5:D100,"证据不足/待复核")</f>
        <v/>
      </c>
    </row>
    <row r="10">
      <c r="A10" s="25" t="inlineStr">
        <is>
          <t>改进项</t>
        </is>
      </c>
      <c r="B10" s="26" t="n">
        <v>1</v>
      </c>
    </row>
  </sheetData>
  <mergeCells count="2">
    <mergeCell ref="A2:B2"/>
    <mergeCell ref="A1:B1"/>
  </mergeCells>
  <dataValidations count="1">
    <dataValidation sqref="A5:A10" showDropDown="0" showInputMessage="0" showErrorMessage="0" allowBlank="0" type="list">
      <formula1>"已符合,部分符合,不符合,不适用,证据不足,待治理,已关闭"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16" customWidth="1" min="4" max="4"/>
    <col width="26" customWidth="1" min="5" max="5"/>
  </cols>
  <sheetData>
    <row r="1" ht="30" customHeight="1">
      <c r="A1" s="4" t="inlineStr">
        <is>
          <t>CYB-T8-014 | 控制检查清单</t>
        </is>
      </c>
    </row>
    <row r="2">
      <c r="A2" s="7" t="inlineStr">
        <is>
          <t>公开仓库固定提交 | 数据冻结日 2026-07-27 | 候选Golden，待网安专家审核</t>
        </is>
      </c>
    </row>
    <row r="3"/>
    <row r="4" ht="30" customHeight="1">
      <c r="A4" s="33" t="inlineStr">
        <is>
          <t>差距ID</t>
        </is>
      </c>
      <c r="B4" s="33" t="inlineStr">
        <is>
          <t>对象</t>
        </is>
      </c>
      <c r="C4" s="33" t="inlineStr">
        <is>
          <t>专业判断</t>
        </is>
      </c>
      <c r="D4" s="33" t="inlineStr">
        <is>
          <t>状态/风险</t>
        </is>
      </c>
      <c r="E4" s="33" t="inlineStr">
        <is>
          <t>证据</t>
        </is>
      </c>
    </row>
    <row r="5">
      <c r="A5" s="34" t="inlineStr">
        <is>
          <t>CMP-001</t>
        </is>
      </c>
      <c r="B5" s="47" t="inlineStr">
        <is>
          <t>闲置凭证</t>
        </is>
      </c>
      <c r="C5" s="47" t="inlineStr">
        <is>
          <t>example_user访问密钥创建后未使用且超过90天未轮换，支持身份生命周期和访问权回收差距</t>
        </is>
      </c>
      <c r="D5" s="47" t="inlineStr">
        <is>
          <t>不符合/高</t>
        </is>
      </c>
      <c r="E5" s="35" t="inlineStr">
        <is>
          <t>CMP-E02,ISO-A.5.16,ISO-A.5.18</t>
        </is>
      </c>
    </row>
    <row r="6">
      <c r="A6" s="23" t="inlineStr">
        <is>
          <t>CMP-002</t>
        </is>
      </c>
      <c r="B6" s="43" t="inlineStr">
        <is>
          <t>密码历史</t>
        </is>
      </c>
      <c r="C6" s="43" t="inlineStr">
        <is>
          <t>账号密码策略的历史记忆低于24，样例明确给出FAIL和整改要求</t>
        </is>
      </c>
      <c r="D6" s="43" t="inlineStr">
        <is>
          <t>不符合/中</t>
        </is>
      </c>
      <c r="E6" s="24" t="inlineStr">
        <is>
          <t>CMP-E03,ISO-A.5.17</t>
        </is>
      </c>
    </row>
    <row r="7">
      <c r="A7" s="34" t="inlineStr">
        <is>
          <t>CMP-003</t>
        </is>
      </c>
      <c r="B7" s="47" t="inlineStr">
        <is>
          <t>root账户使用</t>
        </is>
      </c>
      <c r="C7" s="47" t="inlineStr">
        <is>
          <t>CHECK_RESULT为FAIL，但扩展文本写明root在最近1天未被访问，证据自身矛盾</t>
        </is>
      </c>
      <c r="D7" s="47" t="inlineStr">
        <is>
          <t>证据不足/待复核</t>
        </is>
      </c>
      <c r="E7" s="35" t="inlineStr">
        <is>
          <t>CMP-E01</t>
        </is>
      </c>
    </row>
    <row r="8">
      <c r="A8" s="23" t="inlineStr">
        <is>
          <t>CMP-004</t>
        </is>
      </c>
      <c r="B8" s="43" t="inlineStr">
        <is>
          <t>未使用安全组</t>
        </is>
      </c>
      <c r="C8" s="43" t="inlineStr">
        <is>
          <t>条目标记Not Scored、Extra和Informational，不属于该CIS基准评分项</t>
        </is>
      </c>
      <c r="D8" s="43" t="inlineStr">
        <is>
          <t>改进项/不计入基准缺口</t>
        </is>
      </c>
      <c r="E8" s="24" t="inlineStr">
        <is>
          <t>CMP-E04</t>
        </is>
      </c>
    </row>
    <row r="9">
      <c r="A9" s="48" t="inlineStr">
        <is>
          <t>CMP-005</t>
        </is>
      </c>
      <c r="B9" s="49" t="inlineStr">
        <is>
          <t>媒体运输</t>
        </is>
      </c>
      <c r="C9" s="49" t="inlineStr">
        <is>
          <t>本次范围为云IAM证据且明确不涉及媒体运输，只能对本次评估记录不适用</t>
        </is>
      </c>
      <c r="D9" s="49" t="inlineStr">
        <is>
          <t>不适用/有范围理由</t>
        </is>
      </c>
      <c r="E9" s="50" t="inlineStr">
        <is>
          <t>01 scope,07 constraint</t>
        </is>
      </c>
    </row>
  </sheetData>
  <mergeCells count="2">
    <mergeCell ref="A2:E2"/>
    <mergeCell ref="A1:E1"/>
  </mergeCells>
  <dataValidations count="1">
    <dataValidation sqref="D5:D9" showDropDown="0" showInputMessage="0" showErrorMessage="0" allowBlank="0" type="list">
      <formula1>"已符合,部分符合,不符合,不适用,证据不足,待治理,已关闭"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0" customWidth="1" min="4" max="4"/>
    <col width="20" customWidth="1" min="5" max="5"/>
  </cols>
  <sheetData>
    <row r="1" ht="30" customHeight="1">
      <c r="A1" s="4" t="inlineStr">
        <is>
          <t>CYB-T8-014 | 证据矩阵</t>
        </is>
      </c>
    </row>
    <row r="2">
      <c r="A2" s="7" t="inlineStr">
        <is>
          <t>公开仓库固定提交 | 数据冻结日 2026-07-27 | 候选Golden，待网安专家审核</t>
        </is>
      </c>
    </row>
    <row r="3"/>
    <row r="4" ht="30" customHeight="1">
      <c r="A4" s="33" t="inlineStr">
        <is>
          <t>控制项</t>
        </is>
      </c>
      <c r="B4" s="33" t="inlineStr">
        <is>
          <t>设计证据</t>
        </is>
      </c>
      <c r="C4" s="33" t="inlineStr">
        <is>
          <t>运行证据</t>
        </is>
      </c>
      <c r="D4" s="33" t="inlineStr">
        <is>
          <t>充分性</t>
        </is>
      </c>
      <c r="E4" s="33" t="inlineStr">
        <is>
          <t>复核方法</t>
        </is>
      </c>
    </row>
    <row r="5">
      <c r="A5" s="34" t="inlineStr">
        <is>
          <t>ISO-A.5.16/A.5.18</t>
        </is>
      </c>
      <c r="B5" s="47" t="inlineStr">
        <is>
          <t>Prowler TITLE_ID 1.3规则语义</t>
        </is>
      </c>
      <c r="C5" s="47" t="inlineStr">
        <is>
          <t>example_user访问密钥未使用且超期</t>
        </is>
      </c>
      <c r="D5" s="47" t="inlineStr">
        <is>
          <t>支持不符合</t>
        </is>
      </c>
      <c r="E5" s="35" t="inlineStr">
        <is>
          <t>核对凭证报告与调用日志</t>
        </is>
      </c>
    </row>
    <row r="6">
      <c r="A6" s="23" t="inlineStr">
        <is>
          <t>ISO-A.5.17</t>
        </is>
      </c>
      <c r="B6" s="43" t="inlineStr">
        <is>
          <t>Prowler TITLE_ID 1.10规则语义</t>
        </is>
      </c>
      <c r="C6" s="43" t="inlineStr">
        <is>
          <t>密码历史低于24且结果FAIL</t>
        </is>
      </c>
      <c r="D6" s="43" t="inlineStr">
        <is>
          <t>支持不符合</t>
        </is>
      </c>
      <c r="E6" s="24" t="inlineStr">
        <is>
          <t>读取策略并用测试账号验证</t>
        </is>
      </c>
    </row>
    <row r="7">
      <c r="A7" s="34" t="inlineStr">
        <is>
          <t>root账户复核</t>
        </is>
      </c>
      <c r="B7" s="47" t="inlineStr">
        <is>
          <t>TITLE_ID 1.1状态为FAIL</t>
        </is>
      </c>
      <c r="C7" s="47" t="inlineStr">
        <is>
          <t>扩展文本称最近1天未访问</t>
        </is>
      </c>
      <c r="D7" s="47" t="inlineStr">
        <is>
          <t>冲突/不足</t>
        </is>
      </c>
      <c r="E7" s="35" t="inlineStr">
        <is>
          <t>补采root凭证报告和CloudTrail</t>
        </is>
      </c>
    </row>
    <row r="8">
      <c r="A8" s="25" t="inlineStr">
        <is>
          <t>CIS信息项</t>
        </is>
      </c>
      <c r="B8" s="44" t="inlineStr">
        <is>
          <t>TITLE_ID 7.5为Not Scored/Extra</t>
        </is>
      </c>
      <c r="C8" s="44" t="inlineStr">
        <is>
          <t>未使用安全组清理线索</t>
        </is>
      </c>
      <c r="D8" s="44" t="inlineStr">
        <is>
          <t>改进项</t>
        </is>
      </c>
      <c r="E8" s="26" t="inlineStr">
        <is>
          <t>资源关联查询与IaC回滚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18" customWidth="1" min="4" max="4"/>
    <col width="26" customWidth="1" min="5" max="5"/>
    <col width="26" customWidth="1" min="6" max="6"/>
  </cols>
  <sheetData>
    <row r="1" ht="30" customHeight="1">
      <c r="A1" s="4" t="inlineStr">
        <is>
          <t>CYB-T8-014 | 整改路线图</t>
        </is>
      </c>
    </row>
    <row r="2">
      <c r="A2" s="7" t="inlineStr">
        <is>
          <t>公开仓库固定提交 | 数据冻结日 2026-07-27 | 候选Golden，待网安专家审核</t>
        </is>
      </c>
    </row>
    <row r="3"/>
    <row r="4" ht="30" customHeight="1">
      <c r="A4" s="33" t="inlineStr">
        <is>
          <t>优先级</t>
        </is>
      </c>
      <c r="B4" s="33" t="inlineStr">
        <is>
          <t>责任主体</t>
        </is>
      </c>
      <c r="C4" s="33" t="inlineStr">
        <is>
          <t>行动</t>
        </is>
      </c>
      <c r="D4" s="33" t="inlineStr">
        <is>
          <t>完成时限</t>
        </is>
      </c>
      <c r="E4" s="33" t="inlineStr">
        <is>
          <t>验证方式</t>
        </is>
      </c>
      <c r="F4" s="33" t="inlineStr">
        <is>
          <t>回滚方案</t>
        </is>
      </c>
    </row>
    <row r="5">
      <c r="A5" s="34" t="inlineStr">
        <is>
          <t>P0</t>
        </is>
      </c>
      <c r="B5" s="47" t="inlineStr">
        <is>
          <t>IAM平台主管</t>
        </is>
      </c>
      <c r="C5" s="47" t="inlineStr">
        <is>
          <t>核实example_user依赖后停用闲置凭证并建立90天自动复核</t>
        </is>
      </c>
      <c r="D5" s="47" t="inlineStr">
        <is>
          <t>5个工作日</t>
        </is>
      </c>
      <c r="E5" s="47" t="inlineStr">
        <is>
          <t>凭证报告与调用日志均无依赖，停用后无业务错误</t>
        </is>
      </c>
      <c r="F5" s="35" t="inlineStr">
        <is>
          <t>恢复凭证仅需双人审批并设置短期到期</t>
        </is>
      </c>
    </row>
    <row r="6">
      <c r="A6" s="23" t="inlineStr">
        <is>
          <t>P1</t>
        </is>
      </c>
      <c r="B6" s="43" t="inlineStr">
        <is>
          <t>身份治理组</t>
        </is>
      </c>
      <c r="C6" s="43" t="inlineStr">
        <is>
          <t>评估服务账号影响后将密码历史提升至目标并保留变更证据</t>
        </is>
      </c>
      <c r="D6" s="43" t="inlineStr">
        <is>
          <t>10个工作日</t>
        </is>
      </c>
      <c r="E6" s="43" t="inlineStr">
        <is>
          <t>策略读取、测试账号轮换和回退演练</t>
        </is>
      </c>
      <c r="F6" s="24" t="inlineStr">
        <is>
          <t>恢复上一策略并保持补偿监控</t>
        </is>
      </c>
    </row>
    <row r="7">
      <c r="A7" s="34" t="inlineStr">
        <is>
          <t>P1</t>
        </is>
      </c>
      <c r="B7" s="47" t="inlineStr">
        <is>
          <t>审计与云安全组</t>
        </is>
      </c>
      <c r="C7" s="47" t="inlineStr">
        <is>
          <t>复核TITLE_ID 1.1解析逻辑并补采root credential report/CloudTrail</t>
        </is>
      </c>
      <c r="D7" s="47" t="inlineStr">
        <is>
          <t>5个工作日</t>
        </is>
      </c>
      <c r="E7" s="47" t="inlineStr">
        <is>
          <t>原始证据与解析状态一致</t>
        </is>
      </c>
      <c r="F7" s="35" t="inlineStr">
        <is>
          <t>保留证据不足状态，不以扫描FAIL替代结论</t>
        </is>
      </c>
    </row>
    <row r="8">
      <c r="A8" s="25" t="inlineStr">
        <is>
          <t>P2</t>
        </is>
      </c>
      <c r="B8" s="44" t="inlineStr">
        <is>
          <t>云平台主管</t>
        </is>
      </c>
      <c r="C8" s="44" t="inlineStr">
        <is>
          <t>清理未使用安全组但不计入基准不符合关闭率</t>
        </is>
      </c>
      <c r="D8" s="44" t="inlineStr">
        <is>
          <t>30天</t>
        </is>
      </c>
      <c r="E8" s="44" t="inlineStr">
        <is>
          <t>资源关联查询为空且删除后无影响</t>
        </is>
      </c>
      <c r="F8" s="26" t="inlineStr">
        <is>
          <t>按IaC恢复安全组</t>
        </is>
      </c>
    </row>
  </sheetData>
  <mergeCells count="2">
    <mergeCell ref="A2:F2"/>
    <mergeCell ref="A1:F1"/>
  </mergeCells>
  <dataValidations count="1">
    <dataValidation sqref="A5:A8" showDropDown="0" showInputMessage="0" showErrorMessage="0" allowBlank="0" type="list">
      <formula1>"P0,P1,P2,关闭"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2026-08-16T05:29:26Z</dcterms:created>
  <dcterms:modified xsi:type="dcterms:W3CDTF">2026-08-16T05:29:26Z</dcterms:modified>
</cp:coreProperties>
</file>