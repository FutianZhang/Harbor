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2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3.xml" ContentType="application/vnd.openxmlformats-officedocument.spreadsheetml.table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2f8612c51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ed226d8e7074665"/>
    <x:sheet xmlns:r="http://schemas.openxmlformats.org/officeDocument/2006/relationships" name="项目与设计" sheetId="2" r:id="Rfa41923d9d9f47e5"/>
    <x:sheet xmlns:r="http://schemas.openxmlformats.org/officeDocument/2006/relationships" name="指标字典" sheetId="3" r:id="R9daf598bfe4148e0"/>
    <x:sheet xmlns:r="http://schemas.openxmlformats.org/officeDocument/2006/relationships" name="原始测量" sheetId="4" r:id="Rf71e9875b023456b"/>
    <x:sheet xmlns:r="http://schemas.openxmlformats.org/officeDocument/2006/relationships" name="表型索引" sheetId="5" r:id="R7456aba98ed842da"/>
    <x:sheet xmlns:r="http://schemas.openxmlformats.org/officeDocument/2006/relationships" name="处理批次" sheetId="6" r:id="R3530ba89c1b9406d"/>
    <x:sheet xmlns:r="http://schemas.openxmlformats.org/officeDocument/2006/relationships" name="库存流水" sheetId="7" r:id="R2937a86d4df64dab"/>
    <x:sheet xmlns:r="http://schemas.openxmlformats.org/officeDocument/2006/relationships" name="销售流水" sheetId="8" r:id="R02eaa5e2e68f49f6"/>
    <x:sheet xmlns:r="http://schemas.openxmlformats.org/officeDocument/2006/relationships" name="口径冲突" sheetId="9" r:id="R47c4c7afd172431f"/>
    <x:sheet xmlns:r="http://schemas.openxmlformats.org/officeDocument/2006/relationships" name="公式规范" sheetId="10" r:id="Rab76cad774154ee9"/>
    <x:sheet xmlns:r="http://schemas.openxmlformats.org/officeDocument/2006/relationships" name="经营预算" sheetId="11" r:id="Ra4ea452b47b04bf4"/>
    <x:sheet xmlns:r="http://schemas.openxmlformats.org/officeDocument/2006/relationships" name="风险台账" sheetId="12" r:id="R0356e14c9cb14889"/>
    <x:sheet xmlns:r="http://schemas.openxmlformats.org/officeDocument/2006/relationships" name="阶段门" sheetId="13" r:id="R7879486f9891426e"/>
    <x:sheet xmlns:r="http://schemas.openxmlformats.org/officeDocument/2006/relationships" name="证据索引" sheetId="14" r:id="Rf99af4bc006e4cc0"/>
    <x:sheet xmlns:r="http://schemas.openxmlformats.org/officeDocument/2006/relationships" name="知识图谱_节点" sheetId="15" r:id="R6dd0cc2324ab4f81"/>
    <x:sheet xmlns:r="http://schemas.openxmlformats.org/officeDocument/2006/relationships" name="知识图谱_关系" sheetId="16" r:id="Rffc57dcd7d3f45c1"/>
    <x:sheet xmlns:r="http://schemas.openxmlformats.org/officeDocument/2006/relationships" name="跨产物映射" sheetId="17" r:id="Radb34e5dd66e493a"/>
    <x:sheet xmlns:r="http://schemas.openxmlformats.org/officeDocument/2006/relationships" name="组织与职责" sheetId="18" r:id="Rd57907debb014dc0"/>
    <x:sheet xmlns:r="http://schemas.openxmlformats.org/officeDocument/2006/relationships" name="预注册摘要" sheetId="19" r:id="R0fbce3ab6d224184"/>
    <x:sheet xmlns:r="http://schemas.openxmlformats.org/officeDocument/2006/relationships" name="基地品种产季" sheetId="20" r:id="R5ec91c775f104a96"/>
    <x:sheet xmlns:r="http://schemas.openxmlformats.org/officeDocument/2006/relationships" name="样本量规划" sheetId="21" r:id="R9de9004a8a2f4d3b"/>
    <x:sheet xmlns:r="http://schemas.openxmlformats.org/officeDocument/2006/relationships" name="因子筛选设计" sheetId="22" r:id="R1b3a247adcf6422f"/>
    <x:sheet xmlns:r="http://schemas.openxmlformats.org/officeDocument/2006/relationships" name="确证批次计划" sheetId="23" r:id="Rb0b9154586c64f40"/>
    <x:sheet xmlns:r="http://schemas.openxmlformats.org/officeDocument/2006/relationships" name="随机化与盲法" sheetId="24" r:id="R010f492286424f51"/>
    <x:sheet xmlns:r="http://schemas.openxmlformats.org/officeDocument/2006/relationships" name="设备主数据" sheetId="25" r:id="R0fe07b216f3c456f"/>
    <x:sheet xmlns:r="http://schemas.openxmlformats.org/officeDocument/2006/relationships" name="三维测场计划" sheetId="26" r:id="R41688a08cd934fa0"/>
    <x:sheet xmlns:r="http://schemas.openxmlformats.org/officeDocument/2006/relationships" name="环境采集规范" sheetId="27" r:id="R0b444c70aad44a8a"/>
    <x:sheet xmlns:r="http://schemas.openxmlformats.org/officeDocument/2006/relationships" name="端点与时点" sheetId="28" r:id="Rb5a429f5e6b0499e"/>
    <x:sheet xmlns:r="http://schemas.openxmlformats.org/officeDocument/2006/relationships" name="样本链路规范" sheetId="29" r:id="R3ad0870c70064270"/>
    <x:sheet xmlns:r="http://schemas.openxmlformats.org/officeDocument/2006/relationships" name="偏差缺失规则" sheetId="30" r:id="Rdb3b9f2793bb463d"/>
    <x:sheet xmlns:r="http://schemas.openxmlformats.org/officeDocument/2006/relationships" name="统计分析计划" sheetId="31" r:id="Refe8540a76d1411e"/>
    <x:sheet xmlns:r="http://schemas.openxmlformats.org/officeDocument/2006/relationships" name="经营门槛" sheetId="32" r:id="Re2a2b2217eda420e"/>
    <x:sheet xmlns:r="http://schemas.openxmlformats.org/officeDocument/2006/relationships" name="阶段评审" sheetId="33" r:id="Ra9b5fc3d10dd4e99"/>
    <x:sheet xmlns:r="http://schemas.openxmlformats.org/officeDocument/2006/relationships" name="RCA台账" sheetId="34" r:id="R2027a2130b444694"/>
    <x:sheet xmlns:r="http://schemas.openxmlformats.org/officeDocument/2006/relationships" name="部署SOP" sheetId="35" r:id="Rd995f292390f40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.000"/>
    <x:numFmt numFmtId="202" formatCode="yyyy-mm-dd"/>
    <x:numFmt numFmtId="203" formatCode="#,##0.00"/>
    <x:numFmt numFmtId="204" formatCode="#,##0.0"/>
    <x:numFmt numFmtId="205" formatCode="0.00"/>
    <x:numFmt numFmtId="206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2" fontId="2" fillId="0" borderId="1" xfId="0" applyNumberFormat="1" applyFont="1" applyFill="1" applyBorder="1" applyAlignment="1">
      <x:alignment vertical="center" wrapText="1"/>
    </x:xf>
    <x:xf numFmtId="203" fontId="2" fillId="0" borderId="1" xfId="0" applyNumberFormat="1" applyFont="1" applyFill="1" applyBorder="1" applyAlignment="1">
      <x:alignment vertical="center" wrapText="1"/>
    </x:xf>
    <x:xf numFmtId="204" fontId="2" fillId="0" borderId="1" xfId="0" applyNumberFormat="1" applyFont="1" applyFill="1" applyBorder="1" applyAlignment="1">
      <x:alignment vertical="center" wrapText="1"/>
    </x:xf>
    <x:xf numFmtId="205" fontId="2" fillId="0" borderId="1" xfId="0" applyNumberFormat="1" applyFont="1" applyFill="1" applyBorder="1" applyAlignment="1">
      <x:alignment vertical="center" wrapText="1"/>
    </x:xf>
    <x:xf numFmtId="206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e614988334f48" /><Relationship Type="http://schemas.openxmlformats.org/officeDocument/2006/relationships/theme" Target="/xl/theme/theme1.xml" Id="R5a29c5cbd9cf40b4" /><Relationship Type="http://schemas.openxmlformats.org/officeDocument/2006/relationships/sharedStrings" Target="/xl/sharedStrings.xml" Id="Re3b2a5d3cbf44fae" /><Relationship Type="http://schemas.openxmlformats.org/officeDocument/2006/relationships/worksheet" Target="/xl/worksheets/sheet1.xml" Id="Rbed226d8e7074665" /><Relationship Type="http://schemas.openxmlformats.org/officeDocument/2006/relationships/worksheet" Target="/xl/worksheets/sheet2.xml" Id="Rfa41923d9d9f47e5" /><Relationship Type="http://schemas.openxmlformats.org/officeDocument/2006/relationships/worksheet" Target="/xl/worksheets/sheet3.xml" Id="R9daf598bfe4148e0" /><Relationship Type="http://schemas.openxmlformats.org/officeDocument/2006/relationships/worksheet" Target="/xl/worksheets/sheet4.xml" Id="Rf71e9875b023456b" /><Relationship Type="http://schemas.openxmlformats.org/officeDocument/2006/relationships/worksheet" Target="/xl/worksheets/sheet5.xml" Id="R7456aba98ed842da" /><Relationship Type="http://schemas.openxmlformats.org/officeDocument/2006/relationships/worksheet" Target="/xl/worksheets/sheet6.xml" Id="R3530ba89c1b9406d" /><Relationship Type="http://schemas.openxmlformats.org/officeDocument/2006/relationships/worksheet" Target="/xl/worksheets/sheet7.xml" Id="R2937a86d4df64dab" /><Relationship Type="http://schemas.openxmlformats.org/officeDocument/2006/relationships/worksheet" Target="/xl/worksheets/sheet8.xml" Id="R02eaa5e2e68f49f6" /><Relationship Type="http://schemas.openxmlformats.org/officeDocument/2006/relationships/worksheet" Target="/xl/worksheets/sheet9.xml" Id="R47c4c7afd172431f" /><Relationship Type="http://schemas.openxmlformats.org/officeDocument/2006/relationships/worksheet" Target="/xl/worksheets/sheet10.xml" Id="Rab76cad774154ee9" /><Relationship Type="http://schemas.openxmlformats.org/officeDocument/2006/relationships/worksheet" Target="/xl/worksheets/sheet11.xml" Id="Ra4ea452b47b04bf4" /><Relationship Type="http://schemas.openxmlformats.org/officeDocument/2006/relationships/worksheet" Target="/xl/worksheets/sheet12.xml" Id="R0356e14c9cb14889" /><Relationship Type="http://schemas.openxmlformats.org/officeDocument/2006/relationships/worksheet" Target="/xl/worksheets/sheet13.xml" Id="R7879486f9891426e" /><Relationship Type="http://schemas.openxmlformats.org/officeDocument/2006/relationships/worksheet" Target="/xl/worksheets/sheet14.xml" Id="Rf99af4bc006e4cc0" /><Relationship Type="http://schemas.openxmlformats.org/officeDocument/2006/relationships/worksheet" Target="/xl/worksheets/sheet15.xml" Id="R6dd0cc2324ab4f81" /><Relationship Type="http://schemas.openxmlformats.org/officeDocument/2006/relationships/worksheet" Target="/xl/worksheets/sheet16.xml" Id="Rffc57dcd7d3f45c1" /><Relationship Type="http://schemas.openxmlformats.org/officeDocument/2006/relationships/worksheet" Target="/xl/worksheets/sheet17.xml" Id="Radb34e5dd66e493a" /><Relationship Type="http://schemas.openxmlformats.org/officeDocument/2006/relationships/worksheet" Target="/xl/worksheets/sheet18.xml" Id="Rd57907debb014dc0" /><Relationship Type="http://schemas.openxmlformats.org/officeDocument/2006/relationships/worksheet" Target="/xl/worksheets/sheet19.xml" Id="R0fbce3ab6d224184" /><Relationship Type="http://schemas.openxmlformats.org/officeDocument/2006/relationships/worksheet" Target="/xl/worksheets/sheet20.xml" Id="R5ec91c775f104a96" /><Relationship Type="http://schemas.openxmlformats.org/officeDocument/2006/relationships/worksheet" Target="/xl/worksheets/sheet21.xml" Id="R9de9004a8a2f4d3b" /><Relationship Type="http://schemas.openxmlformats.org/officeDocument/2006/relationships/worksheet" Target="/xl/worksheets/sheet22.xml" Id="R1b3a247adcf6422f" /><Relationship Type="http://schemas.openxmlformats.org/officeDocument/2006/relationships/worksheet" Target="/xl/worksheets/sheet23.xml" Id="Rb0b9154586c64f40" /><Relationship Type="http://schemas.openxmlformats.org/officeDocument/2006/relationships/worksheet" Target="/xl/worksheets/sheet24.xml" Id="R010f492286424f51" /><Relationship Type="http://schemas.openxmlformats.org/officeDocument/2006/relationships/worksheet" Target="/xl/worksheets/sheet25.xml" Id="R0fe07b216f3c456f" /><Relationship Type="http://schemas.openxmlformats.org/officeDocument/2006/relationships/worksheet" Target="/xl/worksheets/sheet26.xml" Id="R41688a08cd934fa0" /><Relationship Type="http://schemas.openxmlformats.org/officeDocument/2006/relationships/worksheet" Target="/xl/worksheets/sheet27.xml" Id="R0b444c70aad44a8a" /><Relationship Type="http://schemas.openxmlformats.org/officeDocument/2006/relationships/worksheet" Target="/xl/worksheets/sheet28.xml" Id="Rb5a429f5e6b0499e" /><Relationship Type="http://schemas.openxmlformats.org/officeDocument/2006/relationships/worksheet" Target="/xl/worksheets/sheet29.xml" Id="R3ad0870c70064270" /><Relationship Type="http://schemas.openxmlformats.org/officeDocument/2006/relationships/worksheet" Target="/xl/worksheets/sheet30.xml" Id="Rdb3b9f2793bb463d" /><Relationship Type="http://schemas.openxmlformats.org/officeDocument/2006/relationships/worksheet" Target="/xl/worksheets/sheet31.xml" Id="Refe8540a76d1411e" /><Relationship Type="http://schemas.openxmlformats.org/officeDocument/2006/relationships/worksheet" Target="/xl/worksheets/sheet32.xml" Id="Re2a2b2217eda420e" /><Relationship Type="http://schemas.openxmlformats.org/officeDocument/2006/relationships/worksheet" Target="/xl/worksheets/sheet33.xml" Id="Ra9b5fc3d10dd4e99" /><Relationship Type="http://schemas.openxmlformats.org/officeDocument/2006/relationships/worksheet" Target="/xl/worksheets/sheet34.xml" Id="R2027a2130b444694" /><Relationship Type="http://schemas.openxmlformats.org/officeDocument/2006/relationships/worksheet" Target="/xl/worksheets/sheet35.xml" Id="Rd995f292390f40a1" /></Relationships>
</file>

<file path=xl/tables/table1.xml><?xml version="1.0" encoding="utf-8"?>
<x:table xmlns:x="http://schemas.openxmlformats.org/spreadsheetml/2006/main" id="1" name="RawMeasurements" displayName="RawMeasurements" ref="A4:K256" headerRowCount="1" totalsRowCount="0" totalsRowShown="0">
  <x:tableColumns count="11">
    <x:tableColumn id="1" name="指标ID"/>
    <x:tableColumn id="2" name="指标"/>
    <x:tableColumn id="3" name="单位"/>
    <x:tableColumn id="4" name="方向"/>
    <x:tableColumn id="5" name="天数"/>
    <x:tableColumn id="6" name="处理"/>
    <x:tableColumn id="7" name="重复"/>
    <x:tableColumn id="8" name="测量值"/>
    <x:tableColumn id="9" name="源文件"/>
    <x:tableColumn id="10" name="源工作表"/>
    <x:tableColumn id="11" name="源单元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teSeasonPlan" displayName="SiteSeasonPlan" ref="A4:N36" headerRowCount="1" totalsRowCount="0" totalsRowShown="0">
  <x:tableColumns count="14">
    <x:tableColumn id="1" name="批次ID"/>
    <x:tableColumn id="2" name="基地ID"/>
    <x:tableColumn id="3" name="基地"/>
    <x:tableColumn id="4" name="气候区"/>
    <x:tableColumn id="5" name="品种ID"/>
    <x:tableColumn id="6" name="品种"/>
    <x:tableColumn id="7" name="产季ID"/>
    <x:tableColumn id="8" name="产季"/>
    <x:tableColumn id="9" name="执行窗口"/>
    <x:tableColumn id="10" name="独立批次"/>
    <x:tableColumn id="11" name="冷库"/>
    <x:tableColumn id="12" name="运输路线"/>
    <x:tableColumn id="13" name="状态"/>
    <x:tableColumn id="14" name="责任角色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firmatorySamplePlan" displayName="ConfirmatorySamplePlan" ref="A4:N388" headerRowCount="1" totalsRowCount="0" totalsRowShown="0">
  <x:tableColumns count="14">
    <x:tableColumn id="1" name="批次ID"/>
    <x:tableColumn id="2" name="基地"/>
    <x:tableColumn id="3" name="品种"/>
    <x:tableColumn id="4" name="产季"/>
    <x:tableColumn id="5" name="独立批次"/>
    <x:tableColumn id="6" name="处理码"/>
    <x:tableColumn id="7" name="处理"/>
    <x:tableColumn id="8" name="天数"/>
    <x:tableColumn id="9" name="有效样品"/>
    <x:tableColumn id="10" name="预留样品"/>
    <x:tableColumn id="11" name="计划样品"/>
    <x:tableColumn id="12" name="随机化"/>
    <x:tableColumn id="13" name="盲态"/>
    <x:tableColumn id="14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f04227bcfcc4e1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.xml" Id="R7699a83d0539498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3.xml" Id="R81b185dc4b6945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2" hidden="0" customWidth="1"/>
    <x:col min="3" max="3" width="16" hidden="0" customWidth="1"/>
    <x:col min="4" max="4" width="52" hidden="0" customWidth="1"/>
  </x:cols>
  <x:sheetData>
    <x:row r="1" ht="30" customHeight="1">
      <x:c r="A1" s="3" t="str">
        <x:v>草莓静磁场多基地验证项目输入</x:v>
      </x:c>
      <x:c r="B1" s="3"/>
      <x:c r="C1" s="3"/>
      <x:c r="D1" s="3"/>
    </x:row>
    <x:row r="2" ht="34" customHeight="1">
      <x:c r="A2" s="7" t="str">
        <x:v>用于5 mT静磁场多基地验证的试验设计、资源配置、数据采集和阶段决策。</x:v>
      </x:c>
      <x:c r="B2" s="7"/>
      <x:c r="C2" s="7"/>
      <x:c r="D2" s="7"/>
    </x:row>
    <x:row r="4" ht="30" customHeight="1">
      <x:c r="A4" s="13" t="str">
        <x:v>项目</x:v>
      </x:c>
      <x:c r="B4" s="13" t="str">
        <x:v>说明</x:v>
      </x:c>
      <x:c r="C4" s="13" t="str">
        <x:v>项目</x:v>
      </x:c>
      <x:c r="D4" s="13" t="str">
        <x:v>说明</x:v>
      </x:c>
    </x:row>
    <x:row r="5">
      <x:c r="A5" s="17" t="str">
        <x:v>项目目标</x:v>
      </x:c>
      <x:c r="B5" s="17" t="str">
        <x:v>将5 mT静磁场小试信号扩展为多基地、多品种、跨产季、商业冷库和运输条件下的确证验证。</x:v>
      </x:c>
      <x:c r="C5" s="17" t="str">
        <x:v>项目编号</x:v>
      </x:c>
      <x:c r="D5" s="17" t="str">
        <x:v>AG-T8-030</x:v>
      </x:c>
    </x:row>
    <x:row r="6">
      <x:c r="A6" s="17" t="str">
        <x:v>小试基线</x:v>
      </x:c>
      <x:c r="B6" s="17" t="str">
        <x:v>7项指标，6个时间点，2个处理组，每组每时间点3个重复。</x:v>
      </x:c>
      <x:c r="C6" s="17" t="str">
        <x:v>确证范围</x:v>
      </x:c>
      <x:c r="D6" s="17" t="str">
        <x:v>4个基地、2个品种、2个产季、32个独立批次。</x:v>
      </x:c>
    </x:row>
    <x:row r="7">
      <x:c r="A7" s="17" t="str">
        <x:v>采样规模</x:v>
      </x:c>
      <x:c r="B7" s="17" t="str">
        <x:v>每批次、每处理、每时间点计划12枚分析样品并预留2枚损耗，共5,376枚。</x:v>
      </x:c>
      <x:c r="C7" s="17" t="str">
        <x:v>随访规模</x:v>
      </x:c>
      <x:c r="D7" s="17" t="str">
        <x:v>每批次、每处理另设20枚腐烂与货架期随访样品，共1,280枚。</x:v>
      </x:c>
    </x:row>
    <x:row r="8">
      <x:c r="A8" s="17" t="str">
        <x:v>经营资料</x:v>
      </x:c>
      <x:c r="B8" s="17" t="str">
        <x:v>批次采购、库存、销售、处理成本和投资预算按业务凭证归集。</x:v>
      </x:c>
      <x:c r="C8" s="17" t="str">
        <x:v>质量事项</x:v>
      </x:c>
      <x:c r="D8" s="17" t="str">
        <x:v>负向销售记录和15.2 kg出库差额在G0数据核对中关闭。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4" hidden="0" customWidth="1"/>
    <x:col min="4" max="4" width="22" hidden="0" customWidth="1"/>
    <x:col min="5" max="5" width="12" hidden="0" customWidth="1"/>
    <x:col min="6" max="6" width="36" hidden="0" customWidth="1"/>
    <x:col min="7" max="7" width="30" hidden="0" customWidth="1"/>
    <x:col min="8" max="8" width="10" hidden="0" customWidth="1"/>
  </x:cols>
  <x:sheetData>
    <x:row r="1" ht="30" customHeight="1">
      <x:c r="A1" s="3" t="str">
        <x:v>项目与设计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小试基线、确证假设、主要终点和阶段门按立项口径登记。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3" t="str">
        <x:v>设计ID</x:v>
      </x:c>
      <x:c r="B4" s="13" t="str">
        <x:v>要素</x:v>
      </x:c>
      <x:c r="C4" s="13" t="str">
        <x:v>内容</x:v>
      </x:c>
      <x:c r="D4" s="13" t="str">
        <x:v>来源</x:v>
      </x:c>
      <x:c r="E4" s="13" t="str">
        <x:v>状态</x:v>
      </x:c>
      <x:c r="F4" s="13" t="str">
        <x:v>限制</x:v>
      </x:c>
      <x:c r="G4" s="13" t="str">
        <x:v>允许用途</x:v>
      </x:c>
      <x:c r="H4" s="13" t="str">
        <x:v>验证门</x:v>
      </x:c>
    </x:row>
    <x:row r="5">
      <x:c r="A5" s="17" t="str">
        <x:v>D01</x:v>
      </x:c>
      <x:c r="B5" s="17" t="str">
        <x:v>研究对象</x:v>
      </x:c>
      <x:c r="C5" s="17" t="str">
        <x:v>草莓</x:v>
      </x:c>
      <x:c r="D5" s="17" t="str">
        <x:v>项目立项</x:v>
      </x:c>
      <x:c r="E5" s="17" t="str">
        <x:v>确定</x:v>
      </x:c>
      <x:c r="F5" s="17" t="str">
        <x:v>红颜、章姬；按成熟度、果径和初始质量分层</x:v>
      </x:c>
      <x:c r="G5" s="17" t="str">
        <x:v>多基地确证</x:v>
      </x:c>
      <x:c r="H5" s="17" t="str">
        <x:v>G1</x:v>
      </x:c>
    </x:row>
    <x:row r="6">
      <x:c r="A6" s="17" t="str">
        <x:v>D02</x:v>
      </x:c>
      <x:c r="B6" s="17" t="str">
        <x:v>处理因素</x:v>
      </x:c>
      <x:c r="C6" s="17" t="str">
        <x:v>静磁场</x:v>
      </x:c>
      <x:c r="D6" s="17" t="str">
        <x:v>小试基线与立项方案</x:v>
      </x:c>
      <x:c r="E6" s="17" t="str">
        <x:v>确定</x:v>
      </x:c>
      <x:c r="F6" s="17" t="str">
        <x:v>确证比较0 mT与5 mT连续处理；10 mT和间歇模式进入筛选试验</x:v>
      </x:c>
      <x:c r="G6" s="17" t="str">
        <x:v>处理主效应</x:v>
      </x:c>
      <x:c r="H6" s="17" t="str">
        <x:v>G1</x:v>
      </x:c>
    </x:row>
    <x:row r="7">
      <x:c r="A7" s="17" t="str">
        <x:v>D03</x:v>
      </x:c>
      <x:c r="B7" s="17" t="str">
        <x:v>冷链条件</x:v>
      </x:c>
      <x:c r="C7" s="17" t="str">
        <x:v>4±0.5℃；运输2-8℃</x:v>
      </x:c>
      <x:c r="D7" s="17" t="str">
        <x:v>立项方案</x:v>
      </x:c>
      <x:c r="E7" s="17" t="str">
        <x:v>确定</x:v>
      </x:c>
      <x:c r="F7" s="17" t="str">
        <x:v>温湿度、门开启、装载率、振动、停电和设备故障同步记录</x:v>
      </x:c>
      <x:c r="G7" s="17" t="str">
        <x:v>环境协变量</x:v>
      </x:c>
      <x:c r="H7" s="17" t="str">
        <x:v>G2</x:v>
      </x:c>
    </x:row>
    <x:row r="8">
      <x:c r="A8" s="17" t="str">
        <x:v>D04</x:v>
      </x:c>
      <x:c r="B8" s="17" t="str">
        <x:v>测量时间</x:v>
      </x:c>
      <x:c r="C8" s="17" t="str">
        <x:v>0、3、6、9、12、15 d；17 d货架期随访</x:v>
      </x:c>
      <x:c r="D8" s="17" t="str">
        <x:v>立项方案</x:v>
      </x:c>
      <x:c r="E8" s="17" t="str">
        <x:v>确定</x:v>
      </x:c>
      <x:c r="F8" s="17" t="str">
        <x:v>关键终点在15 d完成；腐烂和货架期延续至17 d</x:v>
      </x:c>
      <x:c r="G8" s="17" t="str">
        <x:v>时间效应</x:v>
      </x:c>
      <x:c r="H8" s="17" t="str">
        <x:v>G1</x:v>
      </x:c>
    </x:row>
    <x:row r="9">
      <x:c r="A9" s="17" t="str">
        <x:v>D05</x:v>
      </x:c>
      <x:c r="B9" s="17" t="str">
        <x:v>确证规模</x:v>
      </x:c>
      <x:c r="C9" s="17" t="str">
        <x:v>32个独立批次；每分析单元12枚+2枚预留</x:v>
      </x:c>
      <x:c r="D9" s="17" t="str">
        <x:v>样本量规划</x:v>
      </x:c>
      <x:c r="E9" s="17" t="str">
        <x:v>确定</x:v>
      </x:c>
      <x:c r="F9" s="17" t="str">
        <x:v>计划规模高于22个独立批次的最低要求</x:v>
      </x:c>
      <x:c r="G9" s="17" t="str">
        <x:v>混合效应与生存分析</x:v>
      </x:c>
      <x:c r="H9" s="17" t="str">
        <x:v>G1</x:v>
      </x:c>
    </x:row>
    <x:row r="10">
      <x:c r="A10" s="17" t="str">
        <x:v>D06</x:v>
      </x:c>
      <x:c r="B10" s="17" t="str">
        <x:v>随机化</x:v>
      </x:c>
      <x:c r="C10" s="17" t="str">
        <x:v>批次内分层区组随机</x:v>
      </x:c>
      <x:c r="D10" s="17" t="str">
        <x:v>随机化与盲法</x:v>
      </x:c>
      <x:c r="E10" s="17" t="str">
        <x:v>确定</x:v>
      </x:c>
      <x:c r="F10" s="17" t="str">
        <x:v>按成熟度、果径、初始质量分层；处理、库位和测量顺序分别随机</x:v>
      </x:c>
      <x:c r="G10" s="17" t="str">
        <x:v>控制选择与库位偏差</x:v>
      </x:c>
      <x:c r="H10" s="17" t="str">
        <x:v>G1</x:v>
      </x:c>
    </x:row>
    <x:row r="11">
      <x:c r="A11" s="17" t="str">
        <x:v>D07</x:v>
      </x:c>
      <x:c r="B11" s="17" t="str">
        <x:v>盲法</x:v>
      </x:c>
      <x:c r="C11" s="17" t="str">
        <x:v>三级编码与揭盲审批</x:v>
      </x:c>
      <x:c r="D11" s="17" t="str">
        <x:v>随机化与盲法</x:v>
      </x:c>
      <x:c r="E11" s="17" t="str">
        <x:v>确定</x:v>
      </x:c>
      <x:c r="F11" s="17" t="str">
        <x:v>采样、检测、统计分别使用样本码、检测码和分析码</x:v>
      </x:c>
      <x:c r="G11" s="17" t="str">
        <x:v>降低观察者偏差</x:v>
      </x:c>
      <x:c r="H11" s="17" t="str">
        <x:v>G1</x:v>
      </x:c>
    </x:row>
    <x:row r="12">
      <x:c r="A12" s="17" t="str">
        <x:v>D08</x:v>
      </x:c>
      <x:c r="B12" s="17" t="str">
        <x:v>主要终点</x:v>
      </x:c>
      <x:c r="C12" s="17" t="str">
        <x:v>15 d硬度差；15 d腐烂率</x:v>
      </x:c>
      <x:c r="D12" s="17" t="str">
        <x:v>预注册摘要</x:v>
      </x:c>
      <x:c r="E12" s="17" t="str">
        <x:v>确定</x:v>
      </x:c>
      <x:c r="F12" s="17" t="str">
        <x:v>最小有意义差异分别为4 N和15个百分点</x:v>
      </x:c>
      <x:c r="G12" s="17" t="str">
        <x:v>确证性判定</x:v>
      </x:c>
      <x:c r="H12" s="17" t="str">
        <x:v>G3</x:v>
      </x:c>
    </x:row>
    <x:row r="13">
      <x:c r="A13" s="17" t="str">
        <x:v>D09</x:v>
      </x:c>
      <x:c r="B13" s="17" t="str">
        <x:v>次要终点</x:v>
      </x:c>
      <x:c r="C13" s="17" t="str">
        <x:v>失重率、L*、a*、ΔE、WSP、PG、微生物、感官、水分状态</x:v>
      </x:c>
      <x:c r="D13" s="17" t="str">
        <x:v>端点与时点</x:v>
      </x:c>
      <x:c r="E13" s="17" t="str">
        <x:v>确定</x:v>
      </x:c>
      <x:c r="F13" s="17" t="str">
        <x:v>多重比较采用Holm校正</x:v>
      </x:c>
      <x:c r="G13" s="17" t="str">
        <x:v>支持性判定</x:v>
      </x:c>
      <x:c r="H13" s="17" t="str">
        <x:v>G3</x:v>
      </x:c>
    </x:row>
    <x:row r="14">
      <x:c r="A14" s="17" t="str">
        <x:v>D10</x:v>
      </x:c>
      <x:c r="B14" s="17" t="str">
        <x:v>组织治理</x:v>
      </x:c>
      <x:c r="C14" s="17" t="str">
        <x:v>统计、研发、质量、运营四组独立签署</x:v>
      </x:c>
      <x:c r="D14" s="17" t="str">
        <x:v>组织与职责</x:v>
      </x:c>
      <x:c r="E14" s="17" t="str">
        <x:v>确定</x:v>
      </x:c>
      <x:c r="F14" s="17" t="str">
        <x:v>统计冻结方案；质量监督盲法与链路；运营管理冷库和运输</x:v>
      </x:c>
      <x:c r="G14" s="17" t="str">
        <x:v>跨组制衡</x:v>
      </x:c>
      <x:c r="H14" s="17" t="str">
        <x:v>G0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0" hidden="0" customWidth="1"/>
    <x:col min="5" max="5" width="22" hidden="0" customWidth="1"/>
    <x:col min="6" max="6" width="24" hidden="0" customWidth="1"/>
    <x:col min="7" max="7" width="34" hidden="0" customWidth="1"/>
    <x:col min="8" max="8" width="38" hidden="0" customWidth="1"/>
    <x:col min="9" max="9" width="28" hidden="0" customWidth="1"/>
    <x:col min="10" max="10" width="14" hidden="0" customWidth="1"/>
    <x:col min="11" max="11" width="34" hidden="0" customWidth="1"/>
  </x:cols>
  <x:sheetData>
    <x:row r="1" ht="30" customHeight="1">
      <x:c r="A1" s="3" t="str">
        <x:v>指标字典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指标名称、单位、方向和证据位置采用统一口径。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3" t="str">
        <x:v>指标ID</x:v>
      </x:c>
      <x:c r="B4" s="13" t="str">
        <x:v>中文名</x:v>
      </x:c>
      <x:c r="C4" s="13" t="str">
        <x:v>英文/符号</x:v>
      </x:c>
      <x:c r="D4" s="13" t="str">
        <x:v>单位</x:v>
      </x:c>
      <x:c r="E4" s="13" t="str">
        <x:v>方向</x:v>
      </x:c>
      <x:c r="F4" s="13" t="str">
        <x:v>定义/取得方式</x:v>
      </x:c>
      <x:c r="G4" s="13" t="str">
        <x:v>源文件</x:v>
      </x:c>
      <x:c r="H4" s="13" t="str">
        <x:v>源位置</x:v>
      </x:c>
      <x:c r="I4" s="13" t="str">
        <x:v>分析方法</x:v>
      </x:c>
      <x:c r="J4" s="13" t="str">
        <x:v>角色</x:v>
      </x:c>
      <x:c r="K4" s="13" t="str">
        <x:v>边界</x:v>
      </x:c>
    </x:row>
    <x:row r="5">
      <x:c r="A5" s="17" t="str">
        <x:v>M01</x:v>
      </x:c>
      <x:c r="B5" s="17" t="str">
        <x:v>硬度</x:v>
      </x:c>
      <x:c r="C5" s="17" t="str">
        <x:v>Hardness</x:v>
      </x:c>
      <x:c r="D5" s="17" t="str">
        <x:v>N</x:v>
      </x:c>
      <x:c r="E5" s="17" t="str">
        <x:v>高值通常代表较少软化</x:v>
      </x:c>
      <x:c r="F5" s="17" t="str">
        <x:v>直接测量</x:v>
      </x:c>
      <x:c r="G5" s="17" t="str">
        <x:v>硬度 (Hardness, N).xlsx</x:v>
      </x:c>
      <x:c r="H5" s="17" t="str">
        <x:v>硬度 (Hardness, N)!A1:G8</x:v>
      </x:c>
      <x:c r="I5" s="17" t="str">
        <x:v>均值、SD、端点差、下降幅度</x:v>
      </x:c>
      <x:c r="J5" s="17" t="str">
        <x:v>主要终点</x:v>
      </x:c>
      <x:c r="K5" s="17" t="str">
        <x:v>不等同于商品放行阈值</x:v>
      </x:c>
    </x:row>
    <x:row r="6">
      <x:c r="A6" s="17" t="str">
        <x:v>M02</x:v>
      </x:c>
      <x:c r="B6" s="17" t="str">
        <x:v>失重率</x:v>
      </x:c>
      <x:c r="C6" s="17" t="str">
        <x:v>Weight loss</x:v>
      </x:c>
      <x:c r="D6" s="17" t="str">
        <x:v>%</x:v>
      </x:c>
      <x:c r="E6" s="17" t="str">
        <x:v>低值通常较优</x:v>
      </x:c>
      <x:c r="F6" s="17" t="str">
        <x:v>直接提供</x:v>
      </x:c>
      <x:c r="G6" s="17" t="str">
        <x:v>失重率 (Weight loss, %).xlsx</x:v>
      </x:c>
      <x:c r="H6" s="17" t="str">
        <x:v>失重率 (Weight loss, %)!A1:G8</x:v>
      </x:c>
      <x:c r="I6" s="17" t="str">
        <x:v>均值、SD、端点相对降低</x:v>
      </x:c>
      <x:c r="J6" s="17" t="str">
        <x:v>主要终点</x:v>
      </x:c>
      <x:c r="K6" s="17" t="str">
        <x:v>实验失重率不等同于库存报损率</x:v>
      </x:c>
    </x:row>
    <x:row r="7">
      <x:c r="A7" s="17" t="str">
        <x:v>M03</x:v>
      </x:c>
      <x:c r="B7" s="17" t="str">
        <x:v>水溶性果胶</x:v>
      </x:c>
      <x:c r="C7" s="17" t="str">
        <x:v>WSP</x:v>
      </x:c>
      <x:c r="D7" s="17" t="str">
        <x:v>mg/g</x:v>
      </x:c>
      <x:c r="E7" s="17" t="str">
        <x:v>低值通常对应较少果胶溶解</x:v>
      </x:c>
      <x:c r="F7" s="17" t="str">
        <x:v>直接测量</x:v>
      </x:c>
      <x:c r="G7" s="17" t="str">
        <x:v>水溶性果胶 (WSP, mg-g).xlsx</x:v>
      </x:c>
      <x:c r="H7" s="17" t="str">
        <x:v>水溶性果胶 (WSP, mg-g)!A1:G8</x:v>
      </x:c>
      <x:c r="I7" s="17" t="str">
        <x:v>均值、SD、端点相对降低</x:v>
      </x:c>
      <x:c r="J7" s="17" t="str">
        <x:v>机制支持</x:v>
      </x:c>
      <x:c r="K7" s="17" t="str">
        <x:v>不能单独证明因果机制</x:v>
      </x:c>
    </x:row>
    <x:row r="8">
      <x:c r="A8" s="17" t="str">
        <x:v>M04</x:v>
      </x:c>
      <x:c r="B8" s="17" t="str">
        <x:v>多聚半乳糖醛酸酶活性</x:v>
      </x:c>
      <x:c r="C8" s="17" t="str">
        <x:v>PG activity</x:v>
      </x:c>
      <x:c r="D8" s="17" t="str">
        <x:v>U/kg</x:v>
      </x:c>
      <x:c r="E8" s="17" t="str">
        <x:v>低值通常对应较低果胶降解活性</x:v>
      </x:c>
      <x:c r="F8" s="17" t="str">
        <x:v>直接测量</x:v>
      </x:c>
      <x:c r="G8" s="17" t="str">
        <x:v>多聚半乳糖醛酸酶活性 (PG activity, U-kg).xlsx</x:v>
      </x:c>
      <x:c r="H8" s="17" t="str">
        <x:v>多聚半乳糖醛酸酶活性 (PG activity, U-kg)!A1:G8</x:v>
      </x:c>
      <x:c r="I8" s="17" t="str">
        <x:v>均值、SD、端点相对降低</x:v>
      </x:c>
      <x:c r="J8" s="17" t="str">
        <x:v>机制支持</x:v>
      </x:c>
      <x:c r="K8" s="17" t="str">
        <x:v>仅有PG，不支持扩展到PME/PL/EG</x:v>
      </x:c>
    </x:row>
    <x:row r="9">
      <x:c r="A9" s="17" t="str">
        <x:v>M05</x:v>
      </x:c>
      <x:c r="B9" s="17" t="str">
        <x:v>颜色L*</x:v>
      </x:c>
      <x:c r="C9" s="17" t="str">
        <x:v>L*</x:v>
      </x:c>
      <x:c r="D9" s="17" t="str">
        <x:v>-</x:v>
      </x:c>
      <x:c r="E9" s="17" t="str">
        <x:v>高值代表更高亮度</x:v>
      </x:c>
      <x:c r="F9" s="17" t="str">
        <x:v>直接测量</x:v>
      </x:c>
      <x:c r="G9" s="17" t="str">
        <x:v>颜色 L★ (亮度).xlsx</x:v>
      </x:c>
      <x:c r="H9" s="17" t="str">
        <x:v>颜色 L★ (亮度)!A1:G8</x:v>
      </x:c>
      <x:c r="I9" s="17" t="str">
        <x:v>均值、SD、端点差</x:v>
      </x:c>
      <x:c r="J9" s="17" t="str">
        <x:v>外观指标</x:v>
      </x:c>
      <x:c r="K9" s="17" t="str">
        <x:v>无量纲</x:v>
      </x:c>
    </x:row>
    <x:row r="10">
      <x:c r="A10" s="17" t="str">
        <x:v>M06</x:v>
      </x:c>
      <x:c r="B10" s="17" t="str">
        <x:v>颜色a*</x:v>
      </x:c>
      <x:c r="C10" s="17" t="str">
        <x:v>a*</x:v>
      </x:c>
      <x:c r="D10" s="17" t="str">
        <x:v>-</x:v>
      </x:c>
      <x:c r="E10" s="17" t="str">
        <x:v>正值越高代表红色分量越强</x:v>
      </x:c>
      <x:c r="F10" s="17" t="str">
        <x:v>直接测量</x:v>
      </x:c>
      <x:c r="G10" s="17" t="str">
        <x:v>颜色 a★ (红绿度).xlsx</x:v>
      </x:c>
      <x:c r="H10" s="17" t="str">
        <x:v>颜色 a★ (红绿度)!A1:G8</x:v>
      </x:c>
      <x:c r="I10" s="17" t="str">
        <x:v>均值、SD、端点差</x:v>
      </x:c>
      <x:c r="J10" s="17" t="str">
        <x:v>外观指标</x:v>
      </x:c>
      <x:c r="K10" s="17" t="str">
        <x:v>需结合成熟变化解释</x:v>
      </x:c>
    </x:row>
    <x:row r="11">
      <x:c r="A11" s="17" t="str">
        <x:v>M07</x:v>
      </x:c>
      <x:c r="B11" s="17" t="str">
        <x:v>总色差</x:v>
      </x:c>
      <x:c r="C11" s="17" t="str">
        <x:v>ΔE</x:v>
      </x:c>
      <x:c r="D11" s="17" t="str">
        <x:v>-</x:v>
      </x:c>
      <x:c r="E11" s="17" t="str">
        <x:v>低值代表相对起点的综合色差较小</x:v>
      </x:c>
      <x:c r="F11" s="17" t="str">
        <x:v>直接提供</x:v>
      </x:c>
      <x:c r="G11" s="17" t="str">
        <x:v>总色差 ΔE.xlsx</x:v>
      </x:c>
      <x:c r="H11" s="17" t="str">
        <x:v>总色差 ΔE!A1:G8</x:v>
      </x:c>
      <x:c r="I11" s="17" t="str">
        <x:v>均值、SD、端点相对降低</x:v>
      </x:c>
      <x:c r="J11" s="17" t="str">
        <x:v>外观指标</x:v>
      </x:c>
      <x:c r="K11" s="17" t="str">
        <x:v>缺b*与参考色，不能独立复算</x:v>
      </x:c>
    </x:row>
    <x:row r="12">
      <x:c r="A12" s="17" t="str">
        <x:v>B01</x:v>
      </x:c>
      <x:c r="B12" s="17" t="str">
        <x:v>库存报损率</x:v>
      </x:c>
      <x:c r="C12" s="17" t="str">
        <x:v>Inventory loss rate</x:v>
      </x:c>
      <x:c r="D12" s="17" t="str">
        <x:v>%</x:v>
      </x:c>
      <x:c r="E12" s="17" t="str">
        <x:v>低值较优</x:v>
      </x:c>
      <x:c r="F12" s="17" t="str">
        <x:v>库存报损kg/到货kg</x:v>
      </x:c>
      <x:c r="G12" s="17" t="str">
        <x:v>草莓静磁场多基地验证项目输入.xlsx</x:v>
      </x:c>
      <x:c r="H12" s="17" t="str">
        <x:v>库存流水、经营预算</x:v>
      </x:c>
      <x:c r="I12" s="17" t="str">
        <x:v>按批次汇总</x:v>
      </x:c>
      <x:c r="J12" s="17" t="str">
        <x:v>经营终点</x:v>
      </x:c>
      <x:c r="K12" s="17" t="str">
        <x:v>与实验失重率分别核算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0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14" hidden="0" customWidth="1"/>
    <x:col min="9" max="9" width="36" hidden="0" customWidth="1"/>
    <x:col min="10" max="10" width="34" hidden="0" customWidth="1"/>
    <x:col min="11" max="11" width="12" hidden="0" customWidth="1"/>
  </x:cols>
  <x:sheetData>
    <x:row r="1" ht="30" customHeight="1">
      <x:c r="A1" s="3" t="str">
        <x:v>原始测量（长表）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所有值逐项保留并指向原始文件、工作表和单元格。原始测量不在本表中修正。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3" t="str">
        <x:v>指标ID</x:v>
      </x:c>
      <x:c r="B4" s="13" t="str">
        <x:v>指标</x:v>
      </x:c>
      <x:c r="C4" s="13" t="str">
        <x:v>单位</x:v>
      </x:c>
      <x:c r="D4" s="13" t="str">
        <x:v>方向</x:v>
      </x:c>
      <x:c r="E4" s="13" t="str">
        <x:v>天数</x:v>
      </x:c>
      <x:c r="F4" s="13" t="str">
        <x:v>处理</x:v>
      </x:c>
      <x:c r="G4" s="13" t="str">
        <x:v>重复</x:v>
      </x:c>
      <x:c r="H4" s="13" t="str">
        <x:v>测量值</x:v>
      </x:c>
      <x:c r="I4" s="13" t="str">
        <x:v>源文件</x:v>
      </x:c>
      <x:c r="J4" s="13" t="str">
        <x:v>源工作表</x:v>
      </x:c>
      <x:c r="K4" s="13" t="str">
        <x:v>源单元格</x:v>
      </x:c>
    </x:row>
    <x:row r="5">
      <x:c r="A5" s="17" t="str">
        <x:v>hardness</x:v>
      </x:c>
      <x:c r="B5" s="17" t="str">
        <x:v>硬度</x:v>
      </x:c>
      <x:c r="C5" s="17" t="str">
        <x:v>N</x:v>
      </x:c>
      <x:c r="D5" s="17" t="str">
        <x:v>higher_better</x:v>
      </x:c>
      <x:c r="E5" s="18" t="n">
        <x:v>0</x:v>
      </x:c>
      <x:c r="F5" s="17" t="str">
        <x:v>CR</x:v>
      </x:c>
      <x:c r="G5" s="17" t="n">
        <x:v>1</x:v>
      </x:c>
      <x:c r="H5" s="19" t="n">
        <x:v>84.2</x:v>
      </x:c>
      <x:c r="I5" s="17" t="str">
        <x:v>硬度 (Hardness, N).xlsx</x:v>
      </x:c>
      <x:c r="J5" s="17" t="str">
        <x:v>硬度 (Hardness, N)</x:v>
      </x:c>
      <x:c r="K5" s="17" t="str">
        <x:v>B3</x:v>
      </x:c>
    </x:row>
    <x:row r="6">
      <x:c r="A6" s="17" t="str">
        <x:v>hardness</x:v>
      </x:c>
      <x:c r="B6" s="17" t="str">
        <x:v>硬度</x:v>
      </x:c>
      <x:c r="C6" s="17" t="str">
        <x:v>N</x:v>
      </x:c>
      <x:c r="D6" s="17" t="str">
        <x:v>higher_better</x:v>
      </x:c>
      <x:c r="E6" s="18" t="n">
        <x:v>0</x:v>
      </x:c>
      <x:c r="F6" s="17" t="str">
        <x:v>CR</x:v>
      </x:c>
      <x:c r="G6" s="17" t="n">
        <x:v>2</x:v>
      </x:c>
      <x:c r="H6" s="19" t="n">
        <x:v>83.8</x:v>
      </x:c>
      <x:c r="I6" s="17" t="str">
        <x:v>硬度 (Hardness, N).xlsx</x:v>
      </x:c>
      <x:c r="J6" s="17" t="str">
        <x:v>硬度 (Hardness, N)</x:v>
      </x:c>
      <x:c r="K6" s="17" t="str">
        <x:v>C3</x:v>
      </x:c>
    </x:row>
    <x:row r="7">
      <x:c r="A7" s="17" t="str">
        <x:v>hardness</x:v>
      </x:c>
      <x:c r="B7" s="17" t="str">
        <x:v>硬度</x:v>
      </x:c>
      <x:c r="C7" s="17" t="str">
        <x:v>N</x:v>
      </x:c>
      <x:c r="D7" s="17" t="str">
        <x:v>higher_better</x:v>
      </x:c>
      <x:c r="E7" s="18" t="n">
        <x:v>0</x:v>
      </x:c>
      <x:c r="F7" s="17" t="str">
        <x:v>CR</x:v>
      </x:c>
      <x:c r="G7" s="17" t="n">
        <x:v>3</x:v>
      </x:c>
      <x:c r="H7" s="19" t="n">
        <x:v>84</x:v>
      </x:c>
      <x:c r="I7" s="17" t="str">
        <x:v>硬度 (Hardness, N).xlsx</x:v>
      </x:c>
      <x:c r="J7" s="17" t="str">
        <x:v>硬度 (Hardness, N)</x:v>
      </x:c>
      <x:c r="K7" s="17" t="str">
        <x:v>D3</x:v>
      </x:c>
    </x:row>
    <x:row r="8">
      <x:c r="A8" s="17" t="str">
        <x:v>hardness</x:v>
      </x:c>
      <x:c r="B8" s="17" t="str">
        <x:v>硬度</x:v>
      </x:c>
      <x:c r="C8" s="17" t="str">
        <x:v>N</x:v>
      </x:c>
      <x:c r="D8" s="17" t="str">
        <x:v>higher_better</x:v>
      </x:c>
      <x:c r="E8" s="18" t="n">
        <x:v>0</x:v>
      </x:c>
      <x:c r="F8" s="17" t="str">
        <x:v>MF</x:v>
      </x:c>
      <x:c r="G8" s="17" t="n">
        <x:v>1</x:v>
      </x:c>
      <x:c r="H8" s="19" t="n">
        <x:v>84.1</x:v>
      </x:c>
      <x:c r="I8" s="17" t="str">
        <x:v>硬度 (Hardness, N).xlsx</x:v>
      </x:c>
      <x:c r="J8" s="17" t="str">
        <x:v>硬度 (Hardness, N)</x:v>
      </x:c>
      <x:c r="K8" s="17" t="str">
        <x:v>E3</x:v>
      </x:c>
    </x:row>
    <x:row r="9">
      <x:c r="A9" s="17" t="str">
        <x:v>hardness</x:v>
      </x:c>
      <x:c r="B9" s="17" t="str">
        <x:v>硬度</x:v>
      </x:c>
      <x:c r="C9" s="17" t="str">
        <x:v>N</x:v>
      </x:c>
      <x:c r="D9" s="17" t="str">
        <x:v>higher_better</x:v>
      </x:c>
      <x:c r="E9" s="18" t="n">
        <x:v>0</x:v>
      </x:c>
      <x:c r="F9" s="17" t="str">
        <x:v>MF</x:v>
      </x:c>
      <x:c r="G9" s="17" t="n">
        <x:v>2</x:v>
      </x:c>
      <x:c r="H9" s="19" t="n">
        <x:v>84</x:v>
      </x:c>
      <x:c r="I9" s="17" t="str">
        <x:v>硬度 (Hardness, N).xlsx</x:v>
      </x:c>
      <x:c r="J9" s="17" t="str">
        <x:v>硬度 (Hardness, N)</x:v>
      </x:c>
      <x:c r="K9" s="17" t="str">
        <x:v>F3</x:v>
      </x:c>
    </x:row>
    <x:row r="10">
      <x:c r="A10" s="17" t="str">
        <x:v>hardness</x:v>
      </x:c>
      <x:c r="B10" s="17" t="str">
        <x:v>硬度</x:v>
      </x:c>
      <x:c r="C10" s="17" t="str">
        <x:v>N</x:v>
      </x:c>
      <x:c r="D10" s="17" t="str">
        <x:v>higher_better</x:v>
      </x:c>
      <x:c r="E10" s="18" t="n">
        <x:v>0</x:v>
      </x:c>
      <x:c r="F10" s="17" t="str">
        <x:v>MF</x:v>
      </x:c>
      <x:c r="G10" s="17" t="n">
        <x:v>3</x:v>
      </x:c>
      <x:c r="H10" s="19" t="n">
        <x:v>83.9</x:v>
      </x:c>
      <x:c r="I10" s="17" t="str">
        <x:v>硬度 (Hardness, N).xlsx</x:v>
      </x:c>
      <x:c r="J10" s="17" t="str">
        <x:v>硬度 (Hardness, N)</x:v>
      </x:c>
      <x:c r="K10" s="17" t="str">
        <x:v>G3</x:v>
      </x:c>
    </x:row>
    <x:row r="11">
      <x:c r="A11" s="17" t="str">
        <x:v>hardness</x:v>
      </x:c>
      <x:c r="B11" s="17" t="str">
        <x:v>硬度</x:v>
      </x:c>
      <x:c r="C11" s="17" t="str">
        <x:v>N</x:v>
      </x:c>
      <x:c r="D11" s="17" t="str">
        <x:v>higher_better</x:v>
      </x:c>
      <x:c r="E11" s="18" t="n">
        <x:v>3</x:v>
      </x:c>
      <x:c r="F11" s="17" t="str">
        <x:v>CR</x:v>
      </x:c>
      <x:c r="G11" s="17" t="n">
        <x:v>1</x:v>
      </x:c>
      <x:c r="H11" s="19" t="n">
        <x:v>68.5</x:v>
      </x:c>
      <x:c r="I11" s="17" t="str">
        <x:v>硬度 (Hardness, N).xlsx</x:v>
      </x:c>
      <x:c r="J11" s="17" t="str">
        <x:v>硬度 (Hardness, N)</x:v>
      </x:c>
      <x:c r="K11" s="17" t="str">
        <x:v>B4</x:v>
      </x:c>
    </x:row>
    <x:row r="12">
      <x:c r="A12" s="17" t="str">
        <x:v>hardness</x:v>
      </x:c>
      <x:c r="B12" s="17" t="str">
        <x:v>硬度</x:v>
      </x:c>
      <x:c r="C12" s="17" t="str">
        <x:v>N</x:v>
      </x:c>
      <x:c r="D12" s="17" t="str">
        <x:v>higher_better</x:v>
      </x:c>
      <x:c r="E12" s="18" t="n">
        <x:v>3</x:v>
      </x:c>
      <x:c r="F12" s="17" t="str">
        <x:v>CR</x:v>
      </x:c>
      <x:c r="G12" s="17" t="n">
        <x:v>2</x:v>
      </x:c>
      <x:c r="H12" s="19" t="n">
        <x:v>65</x:v>
      </x:c>
      <x:c r="I12" s="17" t="str">
        <x:v>硬度 (Hardness, N).xlsx</x:v>
      </x:c>
      <x:c r="J12" s="17" t="str">
        <x:v>硬度 (Hardness, N)</x:v>
      </x:c>
      <x:c r="K12" s="17" t="str">
        <x:v>C4</x:v>
      </x:c>
    </x:row>
    <x:row r="13">
      <x:c r="A13" s="17" t="str">
        <x:v>hardness</x:v>
      </x:c>
      <x:c r="B13" s="17" t="str">
        <x:v>硬度</x:v>
      </x:c>
      <x:c r="C13" s="17" t="str">
        <x:v>N</x:v>
      </x:c>
      <x:c r="D13" s="17" t="str">
        <x:v>higher_better</x:v>
      </x:c>
      <x:c r="E13" s="18" t="n">
        <x:v>3</x:v>
      </x:c>
      <x:c r="F13" s="17" t="str">
        <x:v>CR</x:v>
      </x:c>
      <x:c r="G13" s="17" t="n">
        <x:v>3</x:v>
      </x:c>
      <x:c r="H13" s="19" t="n">
        <x:v>66.8</x:v>
      </x:c>
      <x:c r="I13" s="17" t="str">
        <x:v>硬度 (Hardness, N).xlsx</x:v>
      </x:c>
      <x:c r="J13" s="17" t="str">
        <x:v>硬度 (Hardness, N)</x:v>
      </x:c>
      <x:c r="K13" s="17" t="str">
        <x:v>D4</x:v>
      </x:c>
    </x:row>
    <x:row r="14">
      <x:c r="A14" s="17" t="str">
        <x:v>hardness</x:v>
      </x:c>
      <x:c r="B14" s="17" t="str">
        <x:v>硬度</x:v>
      </x:c>
      <x:c r="C14" s="17" t="str">
        <x:v>N</x:v>
      </x:c>
      <x:c r="D14" s="17" t="str">
        <x:v>higher_better</x:v>
      </x:c>
      <x:c r="E14" s="18" t="n">
        <x:v>3</x:v>
      </x:c>
      <x:c r="F14" s="17" t="str">
        <x:v>MF</x:v>
      </x:c>
      <x:c r="G14" s="17" t="n">
        <x:v>1</x:v>
      </x:c>
      <x:c r="H14" s="19" t="n">
        <x:v>78</x:v>
      </x:c>
      <x:c r="I14" s="17" t="str">
        <x:v>硬度 (Hardness, N).xlsx</x:v>
      </x:c>
      <x:c r="J14" s="17" t="str">
        <x:v>硬度 (Hardness, N)</x:v>
      </x:c>
      <x:c r="K14" s="17" t="str">
        <x:v>E4</x:v>
      </x:c>
    </x:row>
    <x:row r="15">
      <x:c r="A15" s="17" t="str">
        <x:v>hardness</x:v>
      </x:c>
      <x:c r="B15" s="17" t="str">
        <x:v>硬度</x:v>
      </x:c>
      <x:c r="C15" s="17" t="str">
        <x:v>N</x:v>
      </x:c>
      <x:c r="D15" s="17" t="str">
        <x:v>higher_better</x:v>
      </x:c>
      <x:c r="E15" s="18" t="n">
        <x:v>3</x:v>
      </x:c>
      <x:c r="F15" s="17" t="str">
        <x:v>MF</x:v>
      </x:c>
      <x:c r="G15" s="17" t="n">
        <x:v>2</x:v>
      </x:c>
      <x:c r="H15" s="19" t="n">
        <x:v>76.5</x:v>
      </x:c>
      <x:c r="I15" s="17" t="str">
        <x:v>硬度 (Hardness, N).xlsx</x:v>
      </x:c>
      <x:c r="J15" s="17" t="str">
        <x:v>硬度 (Hardness, N)</x:v>
      </x:c>
      <x:c r="K15" s="17" t="str">
        <x:v>F4</x:v>
      </x:c>
    </x:row>
    <x:row r="16">
      <x:c r="A16" s="17" t="str">
        <x:v>hardness</x:v>
      </x:c>
      <x:c r="B16" s="17" t="str">
        <x:v>硬度</x:v>
      </x:c>
      <x:c r="C16" s="17" t="str">
        <x:v>N</x:v>
      </x:c>
      <x:c r="D16" s="17" t="str">
        <x:v>higher_better</x:v>
      </x:c>
      <x:c r="E16" s="18" t="n">
        <x:v>3</x:v>
      </x:c>
      <x:c r="F16" s="17" t="str">
        <x:v>MF</x:v>
      </x:c>
      <x:c r="G16" s="17" t="n">
        <x:v>3</x:v>
      </x:c>
      <x:c r="H16" s="19" t="n">
        <x:v>77.2</x:v>
      </x:c>
      <x:c r="I16" s="17" t="str">
        <x:v>硬度 (Hardness, N).xlsx</x:v>
      </x:c>
      <x:c r="J16" s="17" t="str">
        <x:v>硬度 (Hardness, N)</x:v>
      </x:c>
      <x:c r="K16" s="17" t="str">
        <x:v>G4</x:v>
      </x:c>
    </x:row>
    <x:row r="17">
      <x:c r="A17" s="17" t="str">
        <x:v>hardness</x:v>
      </x:c>
      <x:c r="B17" s="17" t="str">
        <x:v>硬度</x:v>
      </x:c>
      <x:c r="C17" s="17" t="str">
        <x:v>N</x:v>
      </x:c>
      <x:c r="D17" s="17" t="str">
        <x:v>higher_better</x:v>
      </x:c>
      <x:c r="E17" s="18" t="n">
        <x:v>6</x:v>
      </x:c>
      <x:c r="F17" s="17" t="str">
        <x:v>CR</x:v>
      </x:c>
      <x:c r="G17" s="17" t="n">
        <x:v>1</x:v>
      </x:c>
      <x:c r="H17" s="19" t="n">
        <x:v>52</x:v>
      </x:c>
      <x:c r="I17" s="17" t="str">
        <x:v>硬度 (Hardness, N).xlsx</x:v>
      </x:c>
      <x:c r="J17" s="17" t="str">
        <x:v>硬度 (Hardness, N)</x:v>
      </x:c>
      <x:c r="K17" s="17" t="str">
        <x:v>B5</x:v>
      </x:c>
    </x:row>
    <x:row r="18">
      <x:c r="A18" s="17" t="str">
        <x:v>hardness</x:v>
      </x:c>
      <x:c r="B18" s="17" t="str">
        <x:v>硬度</x:v>
      </x:c>
      <x:c r="C18" s="17" t="str">
        <x:v>N</x:v>
      </x:c>
      <x:c r="D18" s="17" t="str">
        <x:v>higher_better</x:v>
      </x:c>
      <x:c r="E18" s="18" t="n">
        <x:v>6</x:v>
      </x:c>
      <x:c r="F18" s="17" t="str">
        <x:v>CR</x:v>
      </x:c>
      <x:c r="G18" s="17" t="n">
        <x:v>2</x:v>
      </x:c>
      <x:c r="H18" s="19" t="n">
        <x:v>48.5</x:v>
      </x:c>
      <x:c r="I18" s="17" t="str">
        <x:v>硬度 (Hardness, N).xlsx</x:v>
      </x:c>
      <x:c r="J18" s="17" t="str">
        <x:v>硬度 (Hardness, N)</x:v>
      </x:c>
      <x:c r="K18" s="17" t="str">
        <x:v>C5</x:v>
      </x:c>
    </x:row>
    <x:row r="19">
      <x:c r="A19" s="17" t="str">
        <x:v>hardness</x:v>
      </x:c>
      <x:c r="B19" s="17" t="str">
        <x:v>硬度</x:v>
      </x:c>
      <x:c r="C19" s="17" t="str">
        <x:v>N</x:v>
      </x:c>
      <x:c r="D19" s="17" t="str">
        <x:v>higher_better</x:v>
      </x:c>
      <x:c r="E19" s="18" t="n">
        <x:v>6</x:v>
      </x:c>
      <x:c r="F19" s="17" t="str">
        <x:v>CR</x:v>
      </x:c>
      <x:c r="G19" s="17" t="n">
        <x:v>3</x:v>
      </x:c>
      <x:c r="H19" s="19" t="n">
        <x:v>50.3</x:v>
      </x:c>
      <x:c r="I19" s="17" t="str">
        <x:v>硬度 (Hardness, N).xlsx</x:v>
      </x:c>
      <x:c r="J19" s="17" t="str">
        <x:v>硬度 (Hardness, N)</x:v>
      </x:c>
      <x:c r="K19" s="17" t="str">
        <x:v>D5</x:v>
      </x:c>
    </x:row>
    <x:row r="20">
      <x:c r="A20" s="17" t="str">
        <x:v>hardness</x:v>
      </x:c>
      <x:c r="B20" s="17" t="str">
        <x:v>硬度</x:v>
      </x:c>
      <x:c r="C20" s="17" t="str">
        <x:v>N</x:v>
      </x:c>
      <x:c r="D20" s="17" t="str">
        <x:v>higher_better</x:v>
      </x:c>
      <x:c r="E20" s="18" t="n">
        <x:v>6</x:v>
      </x:c>
      <x:c r="F20" s="17" t="str">
        <x:v>MF</x:v>
      </x:c>
      <x:c r="G20" s="17" t="n">
        <x:v>1</x:v>
      </x:c>
      <x:c r="H20" s="19" t="n">
        <x:v>70.5</x:v>
      </x:c>
      <x:c r="I20" s="17" t="str">
        <x:v>硬度 (Hardness, N).xlsx</x:v>
      </x:c>
      <x:c r="J20" s="17" t="str">
        <x:v>硬度 (Hardness, N)</x:v>
      </x:c>
      <x:c r="K20" s="17" t="str">
        <x:v>E5</x:v>
      </x:c>
    </x:row>
    <x:row r="21">
      <x:c r="A21" s="17" t="str">
        <x:v>hardness</x:v>
      </x:c>
      <x:c r="B21" s="17" t="str">
        <x:v>硬度</x:v>
      </x:c>
      <x:c r="C21" s="17" t="str">
        <x:v>N</x:v>
      </x:c>
      <x:c r="D21" s="17" t="str">
        <x:v>higher_better</x:v>
      </x:c>
      <x:c r="E21" s="18" t="n">
        <x:v>6</x:v>
      </x:c>
      <x:c r="F21" s="17" t="str">
        <x:v>MF</x:v>
      </x:c>
      <x:c r="G21" s="17" t="n">
        <x:v>2</x:v>
      </x:c>
      <x:c r="H21" s="19" t="n">
        <x:v>68</x:v>
      </x:c>
      <x:c r="I21" s="17" t="str">
        <x:v>硬度 (Hardness, N).xlsx</x:v>
      </x:c>
      <x:c r="J21" s="17" t="str">
        <x:v>硬度 (Hardness, N)</x:v>
      </x:c>
      <x:c r="K21" s="17" t="str">
        <x:v>F5</x:v>
      </x:c>
    </x:row>
    <x:row r="22">
      <x:c r="A22" s="17" t="str">
        <x:v>hardness</x:v>
      </x:c>
      <x:c r="B22" s="17" t="str">
        <x:v>硬度</x:v>
      </x:c>
      <x:c r="C22" s="17" t="str">
        <x:v>N</x:v>
      </x:c>
      <x:c r="D22" s="17" t="str">
        <x:v>higher_better</x:v>
      </x:c>
      <x:c r="E22" s="18" t="n">
        <x:v>6</x:v>
      </x:c>
      <x:c r="F22" s="17" t="str">
        <x:v>MF</x:v>
      </x:c>
      <x:c r="G22" s="17" t="n">
        <x:v>3</x:v>
      </x:c>
      <x:c r="H22" s="19" t="n">
        <x:v>69.2</x:v>
      </x:c>
      <x:c r="I22" s="17" t="str">
        <x:v>硬度 (Hardness, N).xlsx</x:v>
      </x:c>
      <x:c r="J22" s="17" t="str">
        <x:v>硬度 (Hardness, N)</x:v>
      </x:c>
      <x:c r="K22" s="17" t="str">
        <x:v>G5</x:v>
      </x:c>
    </x:row>
    <x:row r="23">
      <x:c r="A23" s="17" t="str">
        <x:v>hardness</x:v>
      </x:c>
      <x:c r="B23" s="17" t="str">
        <x:v>硬度</x:v>
      </x:c>
      <x:c r="C23" s="17" t="str">
        <x:v>N</x:v>
      </x:c>
      <x:c r="D23" s="17" t="str">
        <x:v>higher_better</x:v>
      </x:c>
      <x:c r="E23" s="18" t="n">
        <x:v>9</x:v>
      </x:c>
      <x:c r="F23" s="17" t="str">
        <x:v>CR</x:v>
      </x:c>
      <x:c r="G23" s="17" t="n">
        <x:v>1</x:v>
      </x:c>
      <x:c r="H23" s="19" t="n">
        <x:v>35</x:v>
      </x:c>
      <x:c r="I23" s="17" t="str">
        <x:v>硬度 (Hardness, N).xlsx</x:v>
      </x:c>
      <x:c r="J23" s="17" t="str">
        <x:v>硬度 (Hardness, N)</x:v>
      </x:c>
      <x:c r="K23" s="17" t="str">
        <x:v>B6</x:v>
      </x:c>
    </x:row>
    <x:row r="24">
      <x:c r="A24" s="17" t="str">
        <x:v>hardness</x:v>
      </x:c>
      <x:c r="B24" s="17" t="str">
        <x:v>硬度</x:v>
      </x:c>
      <x:c r="C24" s="17" t="str">
        <x:v>N</x:v>
      </x:c>
      <x:c r="D24" s="17" t="str">
        <x:v>higher_better</x:v>
      </x:c>
      <x:c r="E24" s="18" t="n">
        <x:v>9</x:v>
      </x:c>
      <x:c r="F24" s="17" t="str">
        <x:v>CR</x:v>
      </x:c>
      <x:c r="G24" s="17" t="n">
        <x:v>2</x:v>
      </x:c>
      <x:c r="H24" s="19" t="n">
        <x:v>32</x:v>
      </x:c>
      <x:c r="I24" s="17" t="str">
        <x:v>硬度 (Hardness, N).xlsx</x:v>
      </x:c>
      <x:c r="J24" s="17" t="str">
        <x:v>硬度 (Hardness, N)</x:v>
      </x:c>
      <x:c r="K24" s="17" t="str">
        <x:v>C6</x:v>
      </x:c>
    </x:row>
    <x:row r="25">
      <x:c r="A25" s="17" t="str">
        <x:v>hardness</x:v>
      </x:c>
      <x:c r="B25" s="17" t="str">
        <x:v>硬度</x:v>
      </x:c>
      <x:c r="C25" s="17" t="str">
        <x:v>N</x:v>
      </x:c>
      <x:c r="D25" s="17" t="str">
        <x:v>higher_better</x:v>
      </x:c>
      <x:c r="E25" s="18" t="n">
        <x:v>9</x:v>
      </x:c>
      <x:c r="F25" s="17" t="str">
        <x:v>CR</x:v>
      </x:c>
      <x:c r="G25" s="17" t="n">
        <x:v>3</x:v>
      </x:c>
      <x:c r="H25" s="19" t="n">
        <x:v>33.5</x:v>
      </x:c>
      <x:c r="I25" s="17" t="str">
        <x:v>硬度 (Hardness, N).xlsx</x:v>
      </x:c>
      <x:c r="J25" s="17" t="str">
        <x:v>硬度 (Hardness, N)</x:v>
      </x:c>
      <x:c r="K25" s="17" t="str">
        <x:v>D6</x:v>
      </x:c>
    </x:row>
    <x:row r="26">
      <x:c r="A26" s="17" t="str">
        <x:v>hardness</x:v>
      </x:c>
      <x:c r="B26" s="17" t="str">
        <x:v>硬度</x:v>
      </x:c>
      <x:c r="C26" s="17" t="str">
        <x:v>N</x:v>
      </x:c>
      <x:c r="D26" s="17" t="str">
        <x:v>higher_better</x:v>
      </x:c>
      <x:c r="E26" s="18" t="n">
        <x:v>9</x:v>
      </x:c>
      <x:c r="F26" s="17" t="str">
        <x:v>MF</x:v>
      </x:c>
      <x:c r="G26" s="17" t="n">
        <x:v>1</x:v>
      </x:c>
      <x:c r="H26" s="19" t="n">
        <x:v>60</x:v>
      </x:c>
      <x:c r="I26" s="17" t="str">
        <x:v>硬度 (Hardness, N).xlsx</x:v>
      </x:c>
      <x:c r="J26" s="17" t="str">
        <x:v>硬度 (Hardness, N)</x:v>
      </x:c>
      <x:c r="K26" s="17" t="str">
        <x:v>E6</x:v>
      </x:c>
    </x:row>
    <x:row r="27">
      <x:c r="A27" s="17" t="str">
        <x:v>hardness</x:v>
      </x:c>
      <x:c r="B27" s="17" t="str">
        <x:v>硬度</x:v>
      </x:c>
      <x:c r="C27" s="17" t="str">
        <x:v>N</x:v>
      </x:c>
      <x:c r="D27" s="17" t="str">
        <x:v>higher_better</x:v>
      </x:c>
      <x:c r="E27" s="18" t="n">
        <x:v>9</x:v>
      </x:c>
      <x:c r="F27" s="17" t="str">
        <x:v>MF</x:v>
      </x:c>
      <x:c r="G27" s="17" t="n">
        <x:v>2</x:v>
      </x:c>
      <x:c r="H27" s="19" t="n">
        <x:v>57</x:v>
      </x:c>
      <x:c r="I27" s="17" t="str">
        <x:v>硬度 (Hardness, N).xlsx</x:v>
      </x:c>
      <x:c r="J27" s="17" t="str">
        <x:v>硬度 (Hardness, N)</x:v>
      </x:c>
      <x:c r="K27" s="17" t="str">
        <x:v>F6</x:v>
      </x:c>
    </x:row>
    <x:row r="28">
      <x:c r="A28" s="17" t="str">
        <x:v>hardness</x:v>
      </x:c>
      <x:c r="B28" s="17" t="str">
        <x:v>硬度</x:v>
      </x:c>
      <x:c r="C28" s="17" t="str">
        <x:v>N</x:v>
      </x:c>
      <x:c r="D28" s="17" t="str">
        <x:v>higher_better</x:v>
      </x:c>
      <x:c r="E28" s="18" t="n">
        <x:v>9</x:v>
      </x:c>
      <x:c r="F28" s="17" t="str">
        <x:v>MF</x:v>
      </x:c>
      <x:c r="G28" s="17" t="n">
        <x:v>3</x:v>
      </x:c>
      <x:c r="H28" s="19" t="n">
        <x:v>58.5</x:v>
      </x:c>
      <x:c r="I28" s="17" t="str">
        <x:v>硬度 (Hardness, N).xlsx</x:v>
      </x:c>
      <x:c r="J28" s="17" t="str">
        <x:v>硬度 (Hardness, N)</x:v>
      </x:c>
      <x:c r="K28" s="17" t="str">
        <x:v>G6</x:v>
      </x:c>
    </x:row>
    <x:row r="29">
      <x:c r="A29" s="17" t="str">
        <x:v>hardness</x:v>
      </x:c>
      <x:c r="B29" s="17" t="str">
        <x:v>硬度</x:v>
      </x:c>
      <x:c r="C29" s="17" t="str">
        <x:v>N</x:v>
      </x:c>
      <x:c r="D29" s="17" t="str">
        <x:v>higher_better</x:v>
      </x:c>
      <x:c r="E29" s="18" t="n">
        <x:v>12</x:v>
      </x:c>
      <x:c r="F29" s="17" t="str">
        <x:v>CR</x:v>
      </x:c>
      <x:c r="G29" s="17" t="n">
        <x:v>1</x:v>
      </x:c>
      <x:c r="H29" s="19" t="n">
        <x:v>18</x:v>
      </x:c>
      <x:c r="I29" s="17" t="str">
        <x:v>硬度 (Hardness, N).xlsx</x:v>
      </x:c>
      <x:c r="J29" s="17" t="str">
        <x:v>硬度 (Hardness, N)</x:v>
      </x:c>
      <x:c r="K29" s="17" t="str">
        <x:v>B7</x:v>
      </x:c>
    </x:row>
    <x:row r="30">
      <x:c r="A30" s="17" t="str">
        <x:v>hardness</x:v>
      </x:c>
      <x:c r="B30" s="17" t="str">
        <x:v>硬度</x:v>
      </x:c>
      <x:c r="C30" s="17" t="str">
        <x:v>N</x:v>
      </x:c>
      <x:c r="D30" s="17" t="str">
        <x:v>higher_better</x:v>
      </x:c>
      <x:c r="E30" s="18" t="n">
        <x:v>12</x:v>
      </x:c>
      <x:c r="F30" s="17" t="str">
        <x:v>CR</x:v>
      </x:c>
      <x:c r="G30" s="17" t="n">
        <x:v>2</x:v>
      </x:c>
      <x:c r="H30" s="19" t="n">
        <x:v>15.5</x:v>
      </x:c>
      <x:c r="I30" s="17" t="str">
        <x:v>硬度 (Hardness, N).xlsx</x:v>
      </x:c>
      <x:c r="J30" s="17" t="str">
        <x:v>硬度 (Hardness, N)</x:v>
      </x:c>
      <x:c r="K30" s="17" t="str">
        <x:v>C7</x:v>
      </x:c>
    </x:row>
    <x:row r="31">
      <x:c r="A31" s="17" t="str">
        <x:v>hardness</x:v>
      </x:c>
      <x:c r="B31" s="17" t="str">
        <x:v>硬度</x:v>
      </x:c>
      <x:c r="C31" s="17" t="str">
        <x:v>N</x:v>
      </x:c>
      <x:c r="D31" s="17" t="str">
        <x:v>higher_better</x:v>
      </x:c>
      <x:c r="E31" s="18" t="n">
        <x:v>12</x:v>
      </x:c>
      <x:c r="F31" s="17" t="str">
        <x:v>CR</x:v>
      </x:c>
      <x:c r="G31" s="17" t="n">
        <x:v>3</x:v>
      </x:c>
      <x:c r="H31" s="19" t="n">
        <x:v>16.8</x:v>
      </x:c>
      <x:c r="I31" s="17" t="str">
        <x:v>硬度 (Hardness, N).xlsx</x:v>
      </x:c>
      <x:c r="J31" s="17" t="str">
        <x:v>硬度 (Hardness, N)</x:v>
      </x:c>
      <x:c r="K31" s="17" t="str">
        <x:v>D7</x:v>
      </x:c>
    </x:row>
    <x:row r="32">
      <x:c r="A32" s="17" t="str">
        <x:v>hardness</x:v>
      </x:c>
      <x:c r="B32" s="17" t="str">
        <x:v>硬度</x:v>
      </x:c>
      <x:c r="C32" s="17" t="str">
        <x:v>N</x:v>
      </x:c>
      <x:c r="D32" s="17" t="str">
        <x:v>higher_better</x:v>
      </x:c>
      <x:c r="E32" s="18" t="n">
        <x:v>12</x:v>
      </x:c>
      <x:c r="F32" s="17" t="str">
        <x:v>MF</x:v>
      </x:c>
      <x:c r="G32" s="17" t="n">
        <x:v>1</x:v>
      </x:c>
      <x:c r="H32" s="19" t="n">
        <x:v>40</x:v>
      </x:c>
      <x:c r="I32" s="17" t="str">
        <x:v>硬度 (Hardness, N).xlsx</x:v>
      </x:c>
      <x:c r="J32" s="17" t="str">
        <x:v>硬度 (Hardness, N)</x:v>
      </x:c>
      <x:c r="K32" s="17" t="str">
        <x:v>E7</x:v>
      </x:c>
    </x:row>
    <x:row r="33">
      <x:c r="A33" s="17" t="str">
        <x:v>hardness</x:v>
      </x:c>
      <x:c r="B33" s="17" t="str">
        <x:v>硬度</x:v>
      </x:c>
      <x:c r="C33" s="17" t="str">
        <x:v>N</x:v>
      </x:c>
      <x:c r="D33" s="17" t="str">
        <x:v>higher_better</x:v>
      </x:c>
      <x:c r="E33" s="18" t="n">
        <x:v>12</x:v>
      </x:c>
      <x:c r="F33" s="17" t="str">
        <x:v>MF</x:v>
      </x:c>
      <x:c r="G33" s="17" t="n">
        <x:v>2</x:v>
      </x:c>
      <x:c r="H33" s="19" t="n">
        <x:v>37.5</x:v>
      </x:c>
      <x:c r="I33" s="17" t="str">
        <x:v>硬度 (Hardness, N).xlsx</x:v>
      </x:c>
      <x:c r="J33" s="17" t="str">
        <x:v>硬度 (Hardness, N)</x:v>
      </x:c>
      <x:c r="K33" s="17" t="str">
        <x:v>F7</x:v>
      </x:c>
    </x:row>
    <x:row r="34">
      <x:c r="A34" s="17" t="str">
        <x:v>hardness</x:v>
      </x:c>
      <x:c r="B34" s="17" t="str">
        <x:v>硬度</x:v>
      </x:c>
      <x:c r="C34" s="17" t="str">
        <x:v>N</x:v>
      </x:c>
      <x:c r="D34" s="17" t="str">
        <x:v>higher_better</x:v>
      </x:c>
      <x:c r="E34" s="18" t="n">
        <x:v>12</x:v>
      </x:c>
      <x:c r="F34" s="17" t="str">
        <x:v>MF</x:v>
      </x:c>
      <x:c r="G34" s="17" t="n">
        <x:v>3</x:v>
      </x:c>
      <x:c r="H34" s="19" t="n">
        <x:v>38.8</x:v>
      </x:c>
      <x:c r="I34" s="17" t="str">
        <x:v>硬度 (Hardness, N).xlsx</x:v>
      </x:c>
      <x:c r="J34" s="17" t="str">
        <x:v>硬度 (Hardness, N)</x:v>
      </x:c>
      <x:c r="K34" s="17" t="str">
        <x:v>G7</x:v>
      </x:c>
    </x:row>
    <x:row r="35">
      <x:c r="A35" s="17" t="str">
        <x:v>hardness</x:v>
      </x:c>
      <x:c r="B35" s="17" t="str">
        <x:v>硬度</x:v>
      </x:c>
      <x:c r="C35" s="17" t="str">
        <x:v>N</x:v>
      </x:c>
      <x:c r="D35" s="17" t="str">
        <x:v>higher_better</x:v>
      </x:c>
      <x:c r="E35" s="18" t="n">
        <x:v>15</x:v>
      </x:c>
      <x:c r="F35" s="17" t="str">
        <x:v>CR</x:v>
      </x:c>
      <x:c r="G35" s="17" t="n">
        <x:v>1</x:v>
      </x:c>
      <x:c r="H35" s="19" t="n">
        <x:v>3.5</x:v>
      </x:c>
      <x:c r="I35" s="17" t="str">
        <x:v>硬度 (Hardness, N).xlsx</x:v>
      </x:c>
      <x:c r="J35" s="17" t="str">
        <x:v>硬度 (Hardness, N)</x:v>
      </x:c>
      <x:c r="K35" s="17" t="str">
        <x:v>B8</x:v>
      </x:c>
    </x:row>
    <x:row r="36">
      <x:c r="A36" s="17" t="str">
        <x:v>hardness</x:v>
      </x:c>
      <x:c r="B36" s="17" t="str">
        <x:v>硬度</x:v>
      </x:c>
      <x:c r="C36" s="17" t="str">
        <x:v>N</x:v>
      </x:c>
      <x:c r="D36" s="17" t="str">
        <x:v>higher_better</x:v>
      </x:c>
      <x:c r="E36" s="18" t="n">
        <x:v>15</x:v>
      </x:c>
      <x:c r="F36" s="17" t="str">
        <x:v>CR</x:v>
      </x:c>
      <x:c r="G36" s="17" t="n">
        <x:v>2</x:v>
      </x:c>
      <x:c r="H36" s="19" t="n">
        <x:v>2.5</x:v>
      </x:c>
      <x:c r="I36" s="17" t="str">
        <x:v>硬度 (Hardness, N).xlsx</x:v>
      </x:c>
      <x:c r="J36" s="17" t="str">
        <x:v>硬度 (Hardness, N)</x:v>
      </x:c>
      <x:c r="K36" s="17" t="str">
        <x:v>C8</x:v>
      </x:c>
    </x:row>
    <x:row r="37">
      <x:c r="A37" s="17" t="str">
        <x:v>hardness</x:v>
      </x:c>
      <x:c r="B37" s="17" t="str">
        <x:v>硬度</x:v>
      </x:c>
      <x:c r="C37" s="17" t="str">
        <x:v>N</x:v>
      </x:c>
      <x:c r="D37" s="17" t="str">
        <x:v>higher_better</x:v>
      </x:c>
      <x:c r="E37" s="18" t="n">
        <x:v>15</x:v>
      </x:c>
      <x:c r="F37" s="17" t="str">
        <x:v>CR</x:v>
      </x:c>
      <x:c r="G37" s="17" t="n">
        <x:v>3</x:v>
      </x:c>
      <x:c r="H37" s="19" t="n">
        <x:v>3</x:v>
      </x:c>
      <x:c r="I37" s="17" t="str">
        <x:v>硬度 (Hardness, N).xlsx</x:v>
      </x:c>
      <x:c r="J37" s="17" t="str">
        <x:v>硬度 (Hardness, N)</x:v>
      </x:c>
      <x:c r="K37" s="17" t="str">
        <x:v>D8</x:v>
      </x:c>
    </x:row>
    <x:row r="38">
      <x:c r="A38" s="17" t="str">
        <x:v>hardness</x:v>
      </x:c>
      <x:c r="B38" s="17" t="str">
        <x:v>硬度</x:v>
      </x:c>
      <x:c r="C38" s="17" t="str">
        <x:v>N</x:v>
      </x:c>
      <x:c r="D38" s="17" t="str">
        <x:v>higher_better</x:v>
      </x:c>
      <x:c r="E38" s="18" t="n">
        <x:v>15</x:v>
      </x:c>
      <x:c r="F38" s="17" t="str">
        <x:v>MF</x:v>
      </x:c>
      <x:c r="G38" s="17" t="n">
        <x:v>1</x:v>
      </x:c>
      <x:c r="H38" s="19" t="n">
        <x:v>17</x:v>
      </x:c>
      <x:c r="I38" s="17" t="str">
        <x:v>硬度 (Hardness, N).xlsx</x:v>
      </x:c>
      <x:c r="J38" s="17" t="str">
        <x:v>硬度 (Hardness, N)</x:v>
      </x:c>
      <x:c r="K38" s="17" t="str">
        <x:v>E8</x:v>
      </x:c>
    </x:row>
    <x:row r="39">
      <x:c r="A39" s="17" t="str">
        <x:v>hardness</x:v>
      </x:c>
      <x:c r="B39" s="17" t="str">
        <x:v>硬度</x:v>
      </x:c>
      <x:c r="C39" s="17" t="str">
        <x:v>N</x:v>
      </x:c>
      <x:c r="D39" s="17" t="str">
        <x:v>higher_better</x:v>
      </x:c>
      <x:c r="E39" s="18" t="n">
        <x:v>15</x:v>
      </x:c>
      <x:c r="F39" s="17" t="str">
        <x:v>MF</x:v>
      </x:c>
      <x:c r="G39" s="17" t="n">
        <x:v>2</x:v>
      </x:c>
      <x:c r="H39" s="19" t="n">
        <x:v>15.5</x:v>
      </x:c>
      <x:c r="I39" s="17" t="str">
        <x:v>硬度 (Hardness, N).xlsx</x:v>
      </x:c>
      <x:c r="J39" s="17" t="str">
        <x:v>硬度 (Hardness, N)</x:v>
      </x:c>
      <x:c r="K39" s="17" t="str">
        <x:v>F8</x:v>
      </x:c>
    </x:row>
    <x:row r="40">
      <x:c r="A40" s="17" t="str">
        <x:v>hardness</x:v>
      </x:c>
      <x:c r="B40" s="17" t="str">
        <x:v>硬度</x:v>
      </x:c>
      <x:c r="C40" s="17" t="str">
        <x:v>N</x:v>
      </x:c>
      <x:c r="D40" s="17" t="str">
        <x:v>higher_better</x:v>
      </x:c>
      <x:c r="E40" s="18" t="n">
        <x:v>15</x:v>
      </x:c>
      <x:c r="F40" s="17" t="str">
        <x:v>MF</x:v>
      </x:c>
      <x:c r="G40" s="17" t="n">
        <x:v>3</x:v>
      </x:c>
      <x:c r="H40" s="19" t="n">
        <x:v>16.2</x:v>
      </x:c>
      <x:c r="I40" s="17" t="str">
        <x:v>硬度 (Hardness, N).xlsx</x:v>
      </x:c>
      <x:c r="J40" s="17" t="str">
        <x:v>硬度 (Hardness, N)</x:v>
      </x:c>
      <x:c r="K40" s="17" t="str">
        <x:v>G8</x:v>
      </x:c>
    </x:row>
    <x:row r="41">
      <x:c r="A41" s="17" t="str">
        <x:v>weight_loss</x:v>
      </x:c>
      <x:c r="B41" s="17" t="str">
        <x:v>失重率</x:v>
      </x:c>
      <x:c r="C41" s="17" t="str">
        <x:v>%</x:v>
      </x:c>
      <x:c r="D41" s="17" t="str">
        <x:v>lower_better</x:v>
      </x:c>
      <x:c r="E41" s="18" t="n">
        <x:v>0</x:v>
      </x:c>
      <x:c r="F41" s="17" t="str">
        <x:v>CR</x:v>
      </x:c>
      <x:c r="G41" s="17" t="n">
        <x:v>1</x:v>
      </x:c>
      <x:c r="H41" s="19" t="n">
        <x:v>0</x:v>
      </x:c>
      <x:c r="I41" s="17" t="str">
        <x:v>失重率 (Weight loss, %).xlsx</x:v>
      </x:c>
      <x:c r="J41" s="17" t="str">
        <x:v>失重率 (Weight loss, %)</x:v>
      </x:c>
      <x:c r="K41" s="17" t="str">
        <x:v>B3</x:v>
      </x:c>
    </x:row>
    <x:row r="42">
      <x:c r="A42" s="17" t="str">
        <x:v>weight_loss</x:v>
      </x:c>
      <x:c r="B42" s="17" t="str">
        <x:v>失重率</x:v>
      </x:c>
      <x:c r="C42" s="17" t="str">
        <x:v>%</x:v>
      </x:c>
      <x:c r="D42" s="17" t="str">
        <x:v>lower_better</x:v>
      </x:c>
      <x:c r="E42" s="18" t="n">
        <x:v>0</x:v>
      </x:c>
      <x:c r="F42" s="17" t="str">
        <x:v>CR</x:v>
      </x:c>
      <x:c r="G42" s="17" t="n">
        <x:v>2</x:v>
      </x:c>
      <x:c r="H42" s="19" t="n">
        <x:v>0</x:v>
      </x:c>
      <x:c r="I42" s="17" t="str">
        <x:v>失重率 (Weight loss, %).xlsx</x:v>
      </x:c>
      <x:c r="J42" s="17" t="str">
        <x:v>失重率 (Weight loss, %)</x:v>
      </x:c>
      <x:c r="K42" s="17" t="str">
        <x:v>C3</x:v>
      </x:c>
    </x:row>
    <x:row r="43">
      <x:c r="A43" s="17" t="str">
        <x:v>weight_loss</x:v>
      </x:c>
      <x:c r="B43" s="17" t="str">
        <x:v>失重率</x:v>
      </x:c>
      <x:c r="C43" s="17" t="str">
        <x:v>%</x:v>
      </x:c>
      <x:c r="D43" s="17" t="str">
        <x:v>lower_better</x:v>
      </x:c>
      <x:c r="E43" s="18" t="n">
        <x:v>0</x:v>
      </x:c>
      <x:c r="F43" s="17" t="str">
        <x:v>CR</x:v>
      </x:c>
      <x:c r="G43" s="17" t="n">
        <x:v>3</x:v>
      </x:c>
      <x:c r="H43" s="19" t="n">
        <x:v>0</x:v>
      </x:c>
      <x:c r="I43" s="17" t="str">
        <x:v>失重率 (Weight loss, %).xlsx</x:v>
      </x:c>
      <x:c r="J43" s="17" t="str">
        <x:v>失重率 (Weight loss, %)</x:v>
      </x:c>
      <x:c r="K43" s="17" t="str">
        <x:v>D3</x:v>
      </x:c>
    </x:row>
    <x:row r="44">
      <x:c r="A44" s="17" t="str">
        <x:v>weight_loss</x:v>
      </x:c>
      <x:c r="B44" s="17" t="str">
        <x:v>失重率</x:v>
      </x:c>
      <x:c r="C44" s="17" t="str">
        <x:v>%</x:v>
      </x:c>
      <x:c r="D44" s="17" t="str">
        <x:v>lower_better</x:v>
      </x:c>
      <x:c r="E44" s="18" t="n">
        <x:v>0</x:v>
      </x:c>
      <x:c r="F44" s="17" t="str">
        <x:v>MF</x:v>
      </x:c>
      <x:c r="G44" s="17" t="n">
        <x:v>1</x:v>
      </x:c>
      <x:c r="H44" s="19" t="n">
        <x:v>0</x:v>
      </x:c>
      <x:c r="I44" s="17" t="str">
        <x:v>失重率 (Weight loss, %).xlsx</x:v>
      </x:c>
      <x:c r="J44" s="17" t="str">
        <x:v>失重率 (Weight loss, %)</x:v>
      </x:c>
      <x:c r="K44" s="17" t="str">
        <x:v>E3</x:v>
      </x:c>
    </x:row>
    <x:row r="45">
      <x:c r="A45" s="17" t="str">
        <x:v>weight_loss</x:v>
      </x:c>
      <x:c r="B45" s="17" t="str">
        <x:v>失重率</x:v>
      </x:c>
      <x:c r="C45" s="17" t="str">
        <x:v>%</x:v>
      </x:c>
      <x:c r="D45" s="17" t="str">
        <x:v>lower_better</x:v>
      </x:c>
      <x:c r="E45" s="18" t="n">
        <x:v>0</x:v>
      </x:c>
      <x:c r="F45" s="17" t="str">
        <x:v>MF</x:v>
      </x:c>
      <x:c r="G45" s="17" t="n">
        <x:v>2</x:v>
      </x:c>
      <x:c r="H45" s="19" t="n">
        <x:v>0</x:v>
      </x:c>
      <x:c r="I45" s="17" t="str">
        <x:v>失重率 (Weight loss, %).xlsx</x:v>
      </x:c>
      <x:c r="J45" s="17" t="str">
        <x:v>失重率 (Weight loss, %)</x:v>
      </x:c>
      <x:c r="K45" s="17" t="str">
        <x:v>F3</x:v>
      </x:c>
    </x:row>
    <x:row r="46">
      <x:c r="A46" s="17" t="str">
        <x:v>weight_loss</x:v>
      </x:c>
      <x:c r="B46" s="17" t="str">
        <x:v>失重率</x:v>
      </x:c>
      <x:c r="C46" s="17" t="str">
        <x:v>%</x:v>
      </x:c>
      <x:c r="D46" s="17" t="str">
        <x:v>lower_better</x:v>
      </x:c>
      <x:c r="E46" s="18" t="n">
        <x:v>0</x:v>
      </x:c>
      <x:c r="F46" s="17" t="str">
        <x:v>MF</x:v>
      </x:c>
      <x:c r="G46" s="17" t="n">
        <x:v>3</x:v>
      </x:c>
      <x:c r="H46" s="19" t="n">
        <x:v>0</x:v>
      </x:c>
      <x:c r="I46" s="17" t="str">
        <x:v>失重率 (Weight loss, %).xlsx</x:v>
      </x:c>
      <x:c r="J46" s="17" t="str">
        <x:v>失重率 (Weight loss, %)</x:v>
      </x:c>
      <x:c r="K46" s="17" t="str">
        <x:v>G3</x:v>
      </x:c>
    </x:row>
    <x:row r="47">
      <x:c r="A47" s="17" t="str">
        <x:v>weight_loss</x:v>
      </x:c>
      <x:c r="B47" s="17" t="str">
        <x:v>失重率</x:v>
      </x:c>
      <x:c r="C47" s="17" t="str">
        <x:v>%</x:v>
      </x:c>
      <x:c r="D47" s="17" t="str">
        <x:v>lower_better</x:v>
      </x:c>
      <x:c r="E47" s="18" t="n">
        <x:v>3</x:v>
      </x:c>
      <x:c r="F47" s="17" t="str">
        <x:v>CR</x:v>
      </x:c>
      <x:c r="G47" s="17" t="n">
        <x:v>1</x:v>
      </x:c>
      <x:c r="H47" s="19" t="n">
        <x:v>2.1</x:v>
      </x:c>
      <x:c r="I47" s="17" t="str">
        <x:v>失重率 (Weight loss, %).xlsx</x:v>
      </x:c>
      <x:c r="J47" s="17" t="str">
        <x:v>失重率 (Weight loss, %)</x:v>
      </x:c>
      <x:c r="K47" s="17" t="str">
        <x:v>B4</x:v>
      </x:c>
    </x:row>
    <x:row r="48">
      <x:c r="A48" s="17" t="str">
        <x:v>weight_loss</x:v>
      </x:c>
      <x:c r="B48" s="17" t="str">
        <x:v>失重率</x:v>
      </x:c>
      <x:c r="C48" s="17" t="str">
        <x:v>%</x:v>
      </x:c>
      <x:c r="D48" s="17" t="str">
        <x:v>lower_better</x:v>
      </x:c>
      <x:c r="E48" s="18" t="n">
        <x:v>3</x:v>
      </x:c>
      <x:c r="F48" s="17" t="str">
        <x:v>CR</x:v>
      </x:c>
      <x:c r="G48" s="17" t="n">
        <x:v>2</x:v>
      </x:c>
      <x:c r="H48" s="19" t="n">
        <x:v>2.5</x:v>
      </x:c>
      <x:c r="I48" s="17" t="str">
        <x:v>失重率 (Weight loss, %).xlsx</x:v>
      </x:c>
      <x:c r="J48" s="17" t="str">
        <x:v>失重率 (Weight loss, %)</x:v>
      </x:c>
      <x:c r="K48" s="17" t="str">
        <x:v>C4</x:v>
      </x:c>
    </x:row>
    <x:row r="49">
      <x:c r="A49" s="17" t="str">
        <x:v>weight_loss</x:v>
      </x:c>
      <x:c r="B49" s="17" t="str">
        <x:v>失重率</x:v>
      </x:c>
      <x:c r="C49" s="17" t="str">
        <x:v>%</x:v>
      </x:c>
      <x:c r="D49" s="17" t="str">
        <x:v>lower_better</x:v>
      </x:c>
      <x:c r="E49" s="18" t="n">
        <x:v>3</x:v>
      </x:c>
      <x:c r="F49" s="17" t="str">
        <x:v>CR</x:v>
      </x:c>
      <x:c r="G49" s="17" t="n">
        <x:v>3</x:v>
      </x:c>
      <x:c r="H49" s="19" t="n">
        <x:v>2.3</x:v>
      </x:c>
      <x:c r="I49" s="17" t="str">
        <x:v>失重率 (Weight loss, %).xlsx</x:v>
      </x:c>
      <x:c r="J49" s="17" t="str">
        <x:v>失重率 (Weight loss, %)</x:v>
      </x:c>
      <x:c r="K49" s="17" t="str">
        <x:v>D4</x:v>
      </x:c>
    </x:row>
    <x:row r="50">
      <x:c r="A50" s="17" t="str">
        <x:v>weight_loss</x:v>
      </x:c>
      <x:c r="B50" s="17" t="str">
        <x:v>失重率</x:v>
      </x:c>
      <x:c r="C50" s="17" t="str">
        <x:v>%</x:v>
      </x:c>
      <x:c r="D50" s="17" t="str">
        <x:v>lower_better</x:v>
      </x:c>
      <x:c r="E50" s="18" t="n">
        <x:v>3</x:v>
      </x:c>
      <x:c r="F50" s="17" t="str">
        <x:v>MF</x:v>
      </x:c>
      <x:c r="G50" s="17" t="n">
        <x:v>1</x:v>
      </x:c>
      <x:c r="H50" s="19" t="n">
        <x:v>1</x:v>
      </x:c>
      <x:c r="I50" s="17" t="str">
        <x:v>失重率 (Weight loss, %).xlsx</x:v>
      </x:c>
      <x:c r="J50" s="17" t="str">
        <x:v>失重率 (Weight loss, %)</x:v>
      </x:c>
      <x:c r="K50" s="17" t="str">
        <x:v>E4</x:v>
      </x:c>
    </x:row>
    <x:row r="51">
      <x:c r="A51" s="17" t="str">
        <x:v>weight_loss</x:v>
      </x:c>
      <x:c r="B51" s="17" t="str">
        <x:v>失重率</x:v>
      </x:c>
      <x:c r="C51" s="17" t="str">
        <x:v>%</x:v>
      </x:c>
      <x:c r="D51" s="17" t="str">
        <x:v>lower_better</x:v>
      </x:c>
      <x:c r="E51" s="18" t="n">
        <x:v>3</x:v>
      </x:c>
      <x:c r="F51" s="17" t="str">
        <x:v>MF</x:v>
      </x:c>
      <x:c r="G51" s="17" t="n">
        <x:v>2</x:v>
      </x:c>
      <x:c r="H51" s="19" t="n">
        <x:v>1.2</x:v>
      </x:c>
      <x:c r="I51" s="17" t="str">
        <x:v>失重率 (Weight loss, %).xlsx</x:v>
      </x:c>
      <x:c r="J51" s="17" t="str">
        <x:v>失重率 (Weight loss, %)</x:v>
      </x:c>
      <x:c r="K51" s="17" t="str">
        <x:v>F4</x:v>
      </x:c>
    </x:row>
    <x:row r="52">
      <x:c r="A52" s="17" t="str">
        <x:v>weight_loss</x:v>
      </x:c>
      <x:c r="B52" s="17" t="str">
        <x:v>失重率</x:v>
      </x:c>
      <x:c r="C52" s="17" t="str">
        <x:v>%</x:v>
      </x:c>
      <x:c r="D52" s="17" t="str">
        <x:v>lower_better</x:v>
      </x:c>
      <x:c r="E52" s="18" t="n">
        <x:v>3</x:v>
      </x:c>
      <x:c r="F52" s="17" t="str">
        <x:v>MF</x:v>
      </x:c>
      <x:c r="G52" s="17" t="n">
        <x:v>3</x:v>
      </x:c>
      <x:c r="H52" s="19" t="n">
        <x:v>1.1</x:v>
      </x:c>
      <x:c r="I52" s="17" t="str">
        <x:v>失重率 (Weight loss, %).xlsx</x:v>
      </x:c>
      <x:c r="J52" s="17" t="str">
        <x:v>失重率 (Weight loss, %)</x:v>
      </x:c>
      <x:c r="K52" s="17" t="str">
        <x:v>G4</x:v>
      </x:c>
    </x:row>
    <x:row r="53">
      <x:c r="A53" s="17" t="str">
        <x:v>weight_loss</x:v>
      </x:c>
      <x:c r="B53" s="17" t="str">
        <x:v>失重率</x:v>
      </x:c>
      <x:c r="C53" s="17" t="str">
        <x:v>%</x:v>
      </x:c>
      <x:c r="D53" s="17" t="str">
        <x:v>lower_better</x:v>
      </x:c>
      <x:c r="E53" s="18" t="n">
        <x:v>6</x:v>
      </x:c>
      <x:c r="F53" s="17" t="str">
        <x:v>CR</x:v>
      </x:c>
      <x:c r="G53" s="17" t="n">
        <x:v>1</x:v>
      </x:c>
      <x:c r="H53" s="19" t="n">
        <x:v>5.5</x:v>
      </x:c>
      <x:c r="I53" s="17" t="str">
        <x:v>失重率 (Weight loss, %).xlsx</x:v>
      </x:c>
      <x:c r="J53" s="17" t="str">
        <x:v>失重率 (Weight loss, %)</x:v>
      </x:c>
      <x:c r="K53" s="17" t="str">
        <x:v>B5</x:v>
      </x:c>
    </x:row>
    <x:row r="54">
      <x:c r="A54" s="17" t="str">
        <x:v>weight_loss</x:v>
      </x:c>
      <x:c r="B54" s="17" t="str">
        <x:v>失重率</x:v>
      </x:c>
      <x:c r="C54" s="17" t="str">
        <x:v>%</x:v>
      </x:c>
      <x:c r="D54" s="17" t="str">
        <x:v>lower_better</x:v>
      </x:c>
      <x:c r="E54" s="18" t="n">
        <x:v>6</x:v>
      </x:c>
      <x:c r="F54" s="17" t="str">
        <x:v>CR</x:v>
      </x:c>
      <x:c r="G54" s="17" t="n">
        <x:v>2</x:v>
      </x:c>
      <x:c r="H54" s="19" t="n">
        <x:v>6</x:v>
      </x:c>
      <x:c r="I54" s="17" t="str">
        <x:v>失重率 (Weight loss, %).xlsx</x:v>
      </x:c>
      <x:c r="J54" s="17" t="str">
        <x:v>失重率 (Weight loss, %)</x:v>
      </x:c>
      <x:c r="K54" s="17" t="str">
        <x:v>C5</x:v>
      </x:c>
    </x:row>
    <x:row r="55">
      <x:c r="A55" s="17" t="str">
        <x:v>weight_loss</x:v>
      </x:c>
      <x:c r="B55" s="17" t="str">
        <x:v>失重率</x:v>
      </x:c>
      <x:c r="C55" s="17" t="str">
        <x:v>%</x:v>
      </x:c>
      <x:c r="D55" s="17" t="str">
        <x:v>lower_better</x:v>
      </x:c>
      <x:c r="E55" s="18" t="n">
        <x:v>6</x:v>
      </x:c>
      <x:c r="F55" s="17" t="str">
        <x:v>CR</x:v>
      </x:c>
      <x:c r="G55" s="17" t="n">
        <x:v>3</x:v>
      </x:c>
      <x:c r="H55" s="19" t="n">
        <x:v>5.8</x:v>
      </x:c>
      <x:c r="I55" s="17" t="str">
        <x:v>失重率 (Weight loss, %).xlsx</x:v>
      </x:c>
      <x:c r="J55" s="17" t="str">
        <x:v>失重率 (Weight loss, %)</x:v>
      </x:c>
      <x:c r="K55" s="17" t="str">
        <x:v>D5</x:v>
      </x:c>
    </x:row>
    <x:row r="56">
      <x:c r="A56" s="17" t="str">
        <x:v>weight_loss</x:v>
      </x:c>
      <x:c r="B56" s="17" t="str">
        <x:v>失重率</x:v>
      </x:c>
      <x:c r="C56" s="17" t="str">
        <x:v>%</x:v>
      </x:c>
      <x:c r="D56" s="17" t="str">
        <x:v>lower_better</x:v>
      </x:c>
      <x:c r="E56" s="18" t="n">
        <x:v>6</x:v>
      </x:c>
      <x:c r="F56" s="17" t="str">
        <x:v>MF</x:v>
      </x:c>
      <x:c r="G56" s="17" t="n">
        <x:v>1</x:v>
      </x:c>
      <x:c r="H56" s="19" t="n">
        <x:v>2.8</x:v>
      </x:c>
      <x:c r="I56" s="17" t="str">
        <x:v>失重率 (Weight loss, %).xlsx</x:v>
      </x:c>
      <x:c r="J56" s="17" t="str">
        <x:v>失重率 (Weight loss, %)</x:v>
      </x:c>
      <x:c r="K56" s="17" t="str">
        <x:v>E5</x:v>
      </x:c>
    </x:row>
    <x:row r="57">
      <x:c r="A57" s="17" t="str">
        <x:v>weight_loss</x:v>
      </x:c>
      <x:c r="B57" s="17" t="str">
        <x:v>失重率</x:v>
      </x:c>
      <x:c r="C57" s="17" t="str">
        <x:v>%</x:v>
      </x:c>
      <x:c r="D57" s="17" t="str">
        <x:v>lower_better</x:v>
      </x:c>
      <x:c r="E57" s="18" t="n">
        <x:v>6</x:v>
      </x:c>
      <x:c r="F57" s="17" t="str">
        <x:v>MF</x:v>
      </x:c>
      <x:c r="G57" s="17" t="n">
        <x:v>2</x:v>
      </x:c>
      <x:c r="H57" s="19" t="n">
        <x:v>3.2</x:v>
      </x:c>
      <x:c r="I57" s="17" t="str">
        <x:v>失重率 (Weight loss, %).xlsx</x:v>
      </x:c>
      <x:c r="J57" s="17" t="str">
        <x:v>失重率 (Weight loss, %)</x:v>
      </x:c>
      <x:c r="K57" s="17" t="str">
        <x:v>F5</x:v>
      </x:c>
    </x:row>
    <x:row r="58">
      <x:c r="A58" s="17" t="str">
        <x:v>weight_loss</x:v>
      </x:c>
      <x:c r="B58" s="17" t="str">
        <x:v>失重率</x:v>
      </x:c>
      <x:c r="C58" s="17" t="str">
        <x:v>%</x:v>
      </x:c>
      <x:c r="D58" s="17" t="str">
        <x:v>lower_better</x:v>
      </x:c>
      <x:c r="E58" s="18" t="n">
        <x:v>6</x:v>
      </x:c>
      <x:c r="F58" s="17" t="str">
        <x:v>MF</x:v>
      </x:c>
      <x:c r="G58" s="17" t="n">
        <x:v>3</x:v>
      </x:c>
      <x:c r="H58" s="19" t="n">
        <x:v>3</x:v>
      </x:c>
      <x:c r="I58" s="17" t="str">
        <x:v>失重率 (Weight loss, %).xlsx</x:v>
      </x:c>
      <x:c r="J58" s="17" t="str">
        <x:v>失重率 (Weight loss, %)</x:v>
      </x:c>
      <x:c r="K58" s="17" t="str">
        <x:v>G5</x:v>
      </x:c>
    </x:row>
    <x:row r="59">
      <x:c r="A59" s="17" t="str">
        <x:v>weight_loss</x:v>
      </x:c>
      <x:c r="B59" s="17" t="str">
        <x:v>失重率</x:v>
      </x:c>
      <x:c r="C59" s="17" t="str">
        <x:v>%</x:v>
      </x:c>
      <x:c r="D59" s="17" t="str">
        <x:v>lower_better</x:v>
      </x:c>
      <x:c r="E59" s="18" t="n">
        <x:v>9</x:v>
      </x:c>
      <x:c r="F59" s="17" t="str">
        <x:v>CR</x:v>
      </x:c>
      <x:c r="G59" s="17" t="n">
        <x:v>1</x:v>
      </x:c>
      <x:c r="H59" s="19" t="n">
        <x:v>9</x:v>
      </x:c>
      <x:c r="I59" s="17" t="str">
        <x:v>失重率 (Weight loss, %).xlsx</x:v>
      </x:c>
      <x:c r="J59" s="17" t="str">
        <x:v>失重率 (Weight loss, %)</x:v>
      </x:c>
      <x:c r="K59" s="17" t="str">
        <x:v>B6</x:v>
      </x:c>
    </x:row>
    <x:row r="60">
      <x:c r="A60" s="17" t="str">
        <x:v>weight_loss</x:v>
      </x:c>
      <x:c r="B60" s="17" t="str">
        <x:v>失重率</x:v>
      </x:c>
      <x:c r="C60" s="17" t="str">
        <x:v>%</x:v>
      </x:c>
      <x:c r="D60" s="17" t="str">
        <x:v>lower_better</x:v>
      </x:c>
      <x:c r="E60" s="18" t="n">
        <x:v>9</x:v>
      </x:c>
      <x:c r="F60" s="17" t="str">
        <x:v>CR</x:v>
      </x:c>
      <x:c r="G60" s="17" t="n">
        <x:v>2</x:v>
      </x:c>
      <x:c r="H60" s="19" t="n">
        <x:v>9.5</x:v>
      </x:c>
      <x:c r="I60" s="17" t="str">
        <x:v>失重率 (Weight loss, %).xlsx</x:v>
      </x:c>
      <x:c r="J60" s="17" t="str">
        <x:v>失重率 (Weight loss, %)</x:v>
      </x:c>
      <x:c r="K60" s="17" t="str">
        <x:v>C6</x:v>
      </x:c>
    </x:row>
    <x:row r="61">
      <x:c r="A61" s="17" t="str">
        <x:v>weight_loss</x:v>
      </x:c>
      <x:c r="B61" s="17" t="str">
        <x:v>失重率</x:v>
      </x:c>
      <x:c r="C61" s="17" t="str">
        <x:v>%</x:v>
      </x:c>
      <x:c r="D61" s="17" t="str">
        <x:v>lower_better</x:v>
      </x:c>
      <x:c r="E61" s="18" t="n">
        <x:v>9</x:v>
      </x:c>
      <x:c r="F61" s="17" t="str">
        <x:v>CR</x:v>
      </x:c>
      <x:c r="G61" s="17" t="n">
        <x:v>3</x:v>
      </x:c>
      <x:c r="H61" s="19" t="n">
        <x:v>9.3</x:v>
      </x:c>
      <x:c r="I61" s="17" t="str">
        <x:v>失重率 (Weight loss, %).xlsx</x:v>
      </x:c>
      <x:c r="J61" s="17" t="str">
        <x:v>失重率 (Weight loss, %)</x:v>
      </x:c>
      <x:c r="K61" s="17" t="str">
        <x:v>D6</x:v>
      </x:c>
    </x:row>
    <x:row r="62">
      <x:c r="A62" s="17" t="str">
        <x:v>weight_loss</x:v>
      </x:c>
      <x:c r="B62" s="17" t="str">
        <x:v>失重率</x:v>
      </x:c>
      <x:c r="C62" s="17" t="str">
        <x:v>%</x:v>
      </x:c>
      <x:c r="D62" s="17" t="str">
        <x:v>lower_better</x:v>
      </x:c>
      <x:c r="E62" s="18" t="n">
        <x:v>9</x:v>
      </x:c>
      <x:c r="F62" s="17" t="str">
        <x:v>MF</x:v>
      </x:c>
      <x:c r="G62" s="17" t="n">
        <x:v>1</x:v>
      </x:c>
      <x:c r="H62" s="19" t="n">
        <x:v>4.5</x:v>
      </x:c>
      <x:c r="I62" s="17" t="str">
        <x:v>失重率 (Weight loss, %).xlsx</x:v>
      </x:c>
      <x:c r="J62" s="17" t="str">
        <x:v>失重率 (Weight loss, %)</x:v>
      </x:c>
      <x:c r="K62" s="17" t="str">
        <x:v>E6</x:v>
      </x:c>
    </x:row>
    <x:row r="63">
      <x:c r="A63" s="17" t="str">
        <x:v>weight_loss</x:v>
      </x:c>
      <x:c r="B63" s="17" t="str">
        <x:v>失重率</x:v>
      </x:c>
      <x:c r="C63" s="17" t="str">
        <x:v>%</x:v>
      </x:c>
      <x:c r="D63" s="17" t="str">
        <x:v>lower_better</x:v>
      </x:c>
      <x:c r="E63" s="18" t="n">
        <x:v>9</x:v>
      </x:c>
      <x:c r="F63" s="17" t="str">
        <x:v>MF</x:v>
      </x:c>
      <x:c r="G63" s="17" t="n">
        <x:v>2</x:v>
      </x:c>
      <x:c r="H63" s="19" t="n">
        <x:v>5</x:v>
      </x:c>
      <x:c r="I63" s="17" t="str">
        <x:v>失重率 (Weight loss, %).xlsx</x:v>
      </x:c>
      <x:c r="J63" s="17" t="str">
        <x:v>失重率 (Weight loss, %)</x:v>
      </x:c>
      <x:c r="K63" s="17" t="str">
        <x:v>F6</x:v>
      </x:c>
    </x:row>
    <x:row r="64">
      <x:c r="A64" s="17" t="str">
        <x:v>weight_loss</x:v>
      </x:c>
      <x:c r="B64" s="17" t="str">
        <x:v>失重率</x:v>
      </x:c>
      <x:c r="C64" s="17" t="str">
        <x:v>%</x:v>
      </x:c>
      <x:c r="D64" s="17" t="str">
        <x:v>lower_better</x:v>
      </x:c>
      <x:c r="E64" s="18" t="n">
        <x:v>9</x:v>
      </x:c>
      <x:c r="F64" s="17" t="str">
        <x:v>MF</x:v>
      </x:c>
      <x:c r="G64" s="17" t="n">
        <x:v>3</x:v>
      </x:c>
      <x:c r="H64" s="19" t="n">
        <x:v>4.8</x:v>
      </x:c>
      <x:c r="I64" s="17" t="str">
        <x:v>失重率 (Weight loss, %).xlsx</x:v>
      </x:c>
      <x:c r="J64" s="17" t="str">
        <x:v>失重率 (Weight loss, %)</x:v>
      </x:c>
      <x:c r="K64" s="17" t="str">
        <x:v>G6</x:v>
      </x:c>
    </x:row>
    <x:row r="65">
      <x:c r="A65" s="17" t="str">
        <x:v>weight_loss</x:v>
      </x:c>
      <x:c r="B65" s="17" t="str">
        <x:v>失重率</x:v>
      </x:c>
      <x:c r="C65" s="17" t="str">
        <x:v>%</x:v>
      </x:c>
      <x:c r="D65" s="17" t="str">
        <x:v>lower_better</x:v>
      </x:c>
      <x:c r="E65" s="18" t="n">
        <x:v>12</x:v>
      </x:c>
      <x:c r="F65" s="17" t="str">
        <x:v>CR</x:v>
      </x:c>
      <x:c r="G65" s="17" t="n">
        <x:v>1</x:v>
      </x:c>
      <x:c r="H65" s="19" t="n">
        <x:v>13.5</x:v>
      </x:c>
      <x:c r="I65" s="17" t="str">
        <x:v>失重率 (Weight loss, %).xlsx</x:v>
      </x:c>
      <x:c r="J65" s="17" t="str">
        <x:v>失重率 (Weight loss, %)</x:v>
      </x:c>
      <x:c r="K65" s="17" t="str">
        <x:v>B7</x:v>
      </x:c>
    </x:row>
    <x:row r="66">
      <x:c r="A66" s="17" t="str">
        <x:v>weight_loss</x:v>
      </x:c>
      <x:c r="B66" s="17" t="str">
        <x:v>失重率</x:v>
      </x:c>
      <x:c r="C66" s="17" t="str">
        <x:v>%</x:v>
      </x:c>
      <x:c r="D66" s="17" t="str">
        <x:v>lower_better</x:v>
      </x:c>
      <x:c r="E66" s="18" t="n">
        <x:v>12</x:v>
      </x:c>
      <x:c r="F66" s="17" t="str">
        <x:v>CR</x:v>
      </x:c>
      <x:c r="G66" s="17" t="n">
        <x:v>2</x:v>
      </x:c>
      <x:c r="H66" s="19" t="n">
        <x:v>14</x:v>
      </x:c>
      <x:c r="I66" s="17" t="str">
        <x:v>失重率 (Weight loss, %).xlsx</x:v>
      </x:c>
      <x:c r="J66" s="17" t="str">
        <x:v>失重率 (Weight loss, %)</x:v>
      </x:c>
      <x:c r="K66" s="17" t="str">
        <x:v>C7</x:v>
      </x:c>
    </x:row>
    <x:row r="67">
      <x:c r="A67" s="17" t="str">
        <x:v>weight_loss</x:v>
      </x:c>
      <x:c r="B67" s="17" t="str">
        <x:v>失重率</x:v>
      </x:c>
      <x:c r="C67" s="17" t="str">
        <x:v>%</x:v>
      </x:c>
      <x:c r="D67" s="17" t="str">
        <x:v>lower_better</x:v>
      </x:c>
      <x:c r="E67" s="18" t="n">
        <x:v>12</x:v>
      </x:c>
      <x:c r="F67" s="17" t="str">
        <x:v>CR</x:v>
      </x:c>
      <x:c r="G67" s="17" t="n">
        <x:v>3</x:v>
      </x:c>
      <x:c r="H67" s="19" t="n">
        <x:v>13.8</x:v>
      </x:c>
      <x:c r="I67" s="17" t="str">
        <x:v>失重率 (Weight loss, %).xlsx</x:v>
      </x:c>
      <x:c r="J67" s="17" t="str">
        <x:v>失重率 (Weight loss, %)</x:v>
      </x:c>
      <x:c r="K67" s="17" t="str">
        <x:v>D7</x:v>
      </x:c>
    </x:row>
    <x:row r="68">
      <x:c r="A68" s="17" t="str">
        <x:v>weight_loss</x:v>
      </x:c>
      <x:c r="B68" s="17" t="str">
        <x:v>失重率</x:v>
      </x:c>
      <x:c r="C68" s="17" t="str">
        <x:v>%</x:v>
      </x:c>
      <x:c r="D68" s="17" t="str">
        <x:v>lower_better</x:v>
      </x:c>
      <x:c r="E68" s="18" t="n">
        <x:v>12</x:v>
      </x:c>
      <x:c r="F68" s="17" t="str">
        <x:v>MF</x:v>
      </x:c>
      <x:c r="G68" s="17" t="n">
        <x:v>1</x:v>
      </x:c>
      <x:c r="H68" s="19" t="n">
        <x:v>6.5</x:v>
      </x:c>
      <x:c r="I68" s="17" t="str">
        <x:v>失重率 (Weight loss, %).xlsx</x:v>
      </x:c>
      <x:c r="J68" s="17" t="str">
        <x:v>失重率 (Weight loss, %)</x:v>
      </x:c>
      <x:c r="K68" s="17" t="str">
        <x:v>E7</x:v>
      </x:c>
    </x:row>
    <x:row r="69">
      <x:c r="A69" s="17" t="str">
        <x:v>weight_loss</x:v>
      </x:c>
      <x:c r="B69" s="17" t="str">
        <x:v>失重率</x:v>
      </x:c>
      <x:c r="C69" s="17" t="str">
        <x:v>%</x:v>
      </x:c>
      <x:c r="D69" s="17" t="str">
        <x:v>lower_better</x:v>
      </x:c>
      <x:c r="E69" s="18" t="n">
        <x:v>12</x:v>
      </x:c>
      <x:c r="F69" s="17" t="str">
        <x:v>MF</x:v>
      </x:c>
      <x:c r="G69" s="17" t="n">
        <x:v>2</x:v>
      </x:c>
      <x:c r="H69" s="19" t="n">
        <x:v>7</x:v>
      </x:c>
      <x:c r="I69" s="17" t="str">
        <x:v>失重率 (Weight loss, %).xlsx</x:v>
      </x:c>
      <x:c r="J69" s="17" t="str">
        <x:v>失重率 (Weight loss, %)</x:v>
      </x:c>
      <x:c r="K69" s="17" t="str">
        <x:v>F7</x:v>
      </x:c>
    </x:row>
    <x:row r="70">
      <x:c r="A70" s="17" t="str">
        <x:v>weight_loss</x:v>
      </x:c>
      <x:c r="B70" s="17" t="str">
        <x:v>失重率</x:v>
      </x:c>
      <x:c r="C70" s="17" t="str">
        <x:v>%</x:v>
      </x:c>
      <x:c r="D70" s="17" t="str">
        <x:v>lower_better</x:v>
      </x:c>
      <x:c r="E70" s="18" t="n">
        <x:v>12</x:v>
      </x:c>
      <x:c r="F70" s="17" t="str">
        <x:v>MF</x:v>
      </x:c>
      <x:c r="G70" s="17" t="n">
        <x:v>3</x:v>
      </x:c>
      <x:c r="H70" s="19" t="n">
        <x:v>6.8</x:v>
      </x:c>
      <x:c r="I70" s="17" t="str">
        <x:v>失重率 (Weight loss, %).xlsx</x:v>
      </x:c>
      <x:c r="J70" s="17" t="str">
        <x:v>失重率 (Weight loss, %)</x:v>
      </x:c>
      <x:c r="K70" s="17" t="str">
        <x:v>G7</x:v>
      </x:c>
    </x:row>
    <x:row r="71">
      <x:c r="A71" s="17" t="str">
        <x:v>weight_loss</x:v>
      </x:c>
      <x:c r="B71" s="17" t="str">
        <x:v>失重率</x:v>
      </x:c>
      <x:c r="C71" s="17" t="str">
        <x:v>%</x:v>
      </x:c>
      <x:c r="D71" s="17" t="str">
        <x:v>lower_better</x:v>
      </x:c>
      <x:c r="E71" s="18" t="n">
        <x:v>15</x:v>
      </x:c>
      <x:c r="F71" s="17" t="str">
        <x:v>CR</x:v>
      </x:c>
      <x:c r="G71" s="17" t="n">
        <x:v>1</x:v>
      </x:c>
      <x:c r="H71" s="19" t="n">
        <x:v>18</x:v>
      </x:c>
      <x:c r="I71" s="17" t="str">
        <x:v>失重率 (Weight loss, %).xlsx</x:v>
      </x:c>
      <x:c r="J71" s="17" t="str">
        <x:v>失重率 (Weight loss, %)</x:v>
      </x:c>
      <x:c r="K71" s="17" t="str">
        <x:v>B8</x:v>
      </x:c>
    </x:row>
    <x:row r="72">
      <x:c r="A72" s="17" t="str">
        <x:v>weight_loss</x:v>
      </x:c>
      <x:c r="B72" s="17" t="str">
        <x:v>失重率</x:v>
      </x:c>
      <x:c r="C72" s="17" t="str">
        <x:v>%</x:v>
      </x:c>
      <x:c r="D72" s="17" t="str">
        <x:v>lower_better</x:v>
      </x:c>
      <x:c r="E72" s="18" t="n">
        <x:v>15</x:v>
      </x:c>
      <x:c r="F72" s="17" t="str">
        <x:v>CR</x:v>
      </x:c>
      <x:c r="G72" s="17" t="n">
        <x:v>2</x:v>
      </x:c>
      <x:c r="H72" s="19" t="n">
        <x:v>18.5</x:v>
      </x:c>
      <x:c r="I72" s="17" t="str">
        <x:v>失重率 (Weight loss, %).xlsx</x:v>
      </x:c>
      <x:c r="J72" s="17" t="str">
        <x:v>失重率 (Weight loss, %)</x:v>
      </x:c>
      <x:c r="K72" s="17" t="str">
        <x:v>C8</x:v>
      </x:c>
    </x:row>
    <x:row r="73">
      <x:c r="A73" s="17" t="str">
        <x:v>weight_loss</x:v>
      </x:c>
      <x:c r="B73" s="17" t="str">
        <x:v>失重率</x:v>
      </x:c>
      <x:c r="C73" s="17" t="str">
        <x:v>%</x:v>
      </x:c>
      <x:c r="D73" s="17" t="str">
        <x:v>lower_better</x:v>
      </x:c>
      <x:c r="E73" s="18" t="n">
        <x:v>15</x:v>
      </x:c>
      <x:c r="F73" s="17" t="str">
        <x:v>CR</x:v>
      </x:c>
      <x:c r="G73" s="17" t="n">
        <x:v>3</x:v>
      </x:c>
      <x:c r="H73" s="19" t="n">
        <x:v>18.2</x:v>
      </x:c>
      <x:c r="I73" s="17" t="str">
        <x:v>失重率 (Weight loss, %).xlsx</x:v>
      </x:c>
      <x:c r="J73" s="17" t="str">
        <x:v>失重率 (Weight loss, %)</x:v>
      </x:c>
      <x:c r="K73" s="17" t="str">
        <x:v>D8</x:v>
      </x:c>
    </x:row>
    <x:row r="74">
      <x:c r="A74" s="17" t="str">
        <x:v>weight_loss</x:v>
      </x:c>
      <x:c r="B74" s="17" t="str">
        <x:v>失重率</x:v>
      </x:c>
      <x:c r="C74" s="17" t="str">
        <x:v>%</x:v>
      </x:c>
      <x:c r="D74" s="17" t="str">
        <x:v>lower_better</x:v>
      </x:c>
      <x:c r="E74" s="18" t="n">
        <x:v>15</x:v>
      </x:c>
      <x:c r="F74" s="17" t="str">
        <x:v>MF</x:v>
      </x:c>
      <x:c r="G74" s="17" t="n">
        <x:v>1</x:v>
      </x:c>
      <x:c r="H74" s="19" t="n">
        <x:v>7.5</x:v>
      </x:c>
      <x:c r="I74" s="17" t="str">
        <x:v>失重率 (Weight loss, %).xlsx</x:v>
      </x:c>
      <x:c r="J74" s="17" t="str">
        <x:v>失重率 (Weight loss, %)</x:v>
      </x:c>
      <x:c r="K74" s="17" t="str">
        <x:v>E8</x:v>
      </x:c>
    </x:row>
    <x:row r="75">
      <x:c r="A75" s="17" t="str">
        <x:v>weight_loss</x:v>
      </x:c>
      <x:c r="B75" s="17" t="str">
        <x:v>失重率</x:v>
      </x:c>
      <x:c r="C75" s="17" t="str">
        <x:v>%</x:v>
      </x:c>
      <x:c r="D75" s="17" t="str">
        <x:v>lower_better</x:v>
      </x:c>
      <x:c r="E75" s="18" t="n">
        <x:v>15</x:v>
      </x:c>
      <x:c r="F75" s="17" t="str">
        <x:v>MF</x:v>
      </x:c>
      <x:c r="G75" s="17" t="n">
        <x:v>2</x:v>
      </x:c>
      <x:c r="H75" s="19" t="n">
        <x:v>8</x:v>
      </x:c>
      <x:c r="I75" s="17" t="str">
        <x:v>失重率 (Weight loss, %).xlsx</x:v>
      </x:c>
      <x:c r="J75" s="17" t="str">
        <x:v>失重率 (Weight loss, %)</x:v>
      </x:c>
      <x:c r="K75" s="17" t="str">
        <x:v>F8</x:v>
      </x:c>
    </x:row>
    <x:row r="76">
      <x:c r="A76" s="17" t="str">
        <x:v>weight_loss</x:v>
      </x:c>
      <x:c r="B76" s="17" t="str">
        <x:v>失重率</x:v>
      </x:c>
      <x:c r="C76" s="17" t="str">
        <x:v>%</x:v>
      </x:c>
      <x:c r="D76" s="17" t="str">
        <x:v>lower_better</x:v>
      </x:c>
      <x:c r="E76" s="18" t="n">
        <x:v>15</x:v>
      </x:c>
      <x:c r="F76" s="17" t="str">
        <x:v>MF</x:v>
      </x:c>
      <x:c r="G76" s="17" t="n">
        <x:v>3</x:v>
      </x:c>
      <x:c r="H76" s="19" t="n">
        <x:v>7.8</x:v>
      </x:c>
      <x:c r="I76" s="17" t="str">
        <x:v>失重率 (Weight loss, %).xlsx</x:v>
      </x:c>
      <x:c r="J76" s="17" t="str">
        <x:v>失重率 (Weight loss, %)</x:v>
      </x:c>
      <x:c r="K76" s="17" t="str">
        <x:v>G8</x:v>
      </x:c>
    </x:row>
    <x:row r="77">
      <x:c r="A77" s="17" t="str">
        <x:v>wsp</x:v>
      </x:c>
      <x:c r="B77" s="17" t="str">
        <x:v>水溶性果胶</x:v>
      </x:c>
      <x:c r="C77" s="17" t="str">
        <x:v>mg/g</x:v>
      </x:c>
      <x:c r="D77" s="17" t="str">
        <x:v>lower_better</x:v>
      </x:c>
      <x:c r="E77" s="18" t="n">
        <x:v>0</x:v>
      </x:c>
      <x:c r="F77" s="17" t="str">
        <x:v>CR</x:v>
      </x:c>
      <x:c r="G77" s="17" t="n">
        <x:v>1</x:v>
      </x:c>
      <x:c r="H77" s="19" t="n">
        <x:v>2.5</x:v>
      </x:c>
      <x:c r="I77" s="17" t="str">
        <x:v>水溶性果胶 (WSP, mg-g).xlsx</x:v>
      </x:c>
      <x:c r="J77" s="17" t="str">
        <x:v>水溶性果胶 (WSP, mg-g)</x:v>
      </x:c>
      <x:c r="K77" s="17" t="str">
        <x:v>B3</x:v>
      </x:c>
    </x:row>
    <x:row r="78">
      <x:c r="A78" s="17" t="str">
        <x:v>wsp</x:v>
      </x:c>
      <x:c r="B78" s="17" t="str">
        <x:v>水溶性果胶</x:v>
      </x:c>
      <x:c r="C78" s="17" t="str">
        <x:v>mg/g</x:v>
      </x:c>
      <x:c r="D78" s="17" t="str">
        <x:v>lower_better</x:v>
      </x:c>
      <x:c r="E78" s="18" t="n">
        <x:v>0</x:v>
      </x:c>
      <x:c r="F78" s="17" t="str">
        <x:v>CR</x:v>
      </x:c>
      <x:c r="G78" s="17" t="n">
        <x:v>2</x:v>
      </x:c>
      <x:c r="H78" s="19" t="n">
        <x:v>2.6</x:v>
      </x:c>
      <x:c r="I78" s="17" t="str">
        <x:v>水溶性果胶 (WSP, mg-g).xlsx</x:v>
      </x:c>
      <x:c r="J78" s="17" t="str">
        <x:v>水溶性果胶 (WSP, mg-g)</x:v>
      </x:c>
      <x:c r="K78" s="17" t="str">
        <x:v>C3</x:v>
      </x:c>
    </x:row>
    <x:row r="79">
      <x:c r="A79" s="17" t="str">
        <x:v>wsp</x:v>
      </x:c>
      <x:c r="B79" s="17" t="str">
        <x:v>水溶性果胶</x:v>
      </x:c>
      <x:c r="C79" s="17" t="str">
        <x:v>mg/g</x:v>
      </x:c>
      <x:c r="D79" s="17" t="str">
        <x:v>lower_better</x:v>
      </x:c>
      <x:c r="E79" s="18" t="n">
        <x:v>0</x:v>
      </x:c>
      <x:c r="F79" s="17" t="str">
        <x:v>CR</x:v>
      </x:c>
      <x:c r="G79" s="17" t="n">
        <x:v>3</x:v>
      </x:c>
      <x:c r="H79" s="19" t="n">
        <x:v>2.4</x:v>
      </x:c>
      <x:c r="I79" s="17" t="str">
        <x:v>水溶性果胶 (WSP, mg-g).xlsx</x:v>
      </x:c>
      <x:c r="J79" s="17" t="str">
        <x:v>水溶性果胶 (WSP, mg-g)</x:v>
      </x:c>
      <x:c r="K79" s="17" t="str">
        <x:v>D3</x:v>
      </x:c>
    </x:row>
    <x:row r="80">
      <x:c r="A80" s="17" t="str">
        <x:v>wsp</x:v>
      </x:c>
      <x:c r="B80" s="17" t="str">
        <x:v>水溶性果胶</x:v>
      </x:c>
      <x:c r="C80" s="17" t="str">
        <x:v>mg/g</x:v>
      </x:c>
      <x:c r="D80" s="17" t="str">
        <x:v>lower_better</x:v>
      </x:c>
      <x:c r="E80" s="18" t="n">
        <x:v>0</x:v>
      </x:c>
      <x:c r="F80" s="17" t="str">
        <x:v>MF</x:v>
      </x:c>
      <x:c r="G80" s="17" t="n">
        <x:v>1</x:v>
      </x:c>
      <x:c r="H80" s="19" t="n">
        <x:v>2.5</x:v>
      </x:c>
      <x:c r="I80" s="17" t="str">
        <x:v>水溶性果胶 (WSP, mg-g).xlsx</x:v>
      </x:c>
      <x:c r="J80" s="17" t="str">
        <x:v>水溶性果胶 (WSP, mg-g)</x:v>
      </x:c>
      <x:c r="K80" s="17" t="str">
        <x:v>E3</x:v>
      </x:c>
    </x:row>
    <x:row r="81">
      <x:c r="A81" s="17" t="str">
        <x:v>wsp</x:v>
      </x:c>
      <x:c r="B81" s="17" t="str">
        <x:v>水溶性果胶</x:v>
      </x:c>
      <x:c r="C81" s="17" t="str">
        <x:v>mg/g</x:v>
      </x:c>
      <x:c r="D81" s="17" t="str">
        <x:v>lower_better</x:v>
      </x:c>
      <x:c r="E81" s="18" t="n">
        <x:v>0</x:v>
      </x:c>
      <x:c r="F81" s="17" t="str">
        <x:v>MF</x:v>
      </x:c>
      <x:c r="G81" s="17" t="n">
        <x:v>2</x:v>
      </x:c>
      <x:c r="H81" s="19" t="n">
        <x:v>2.6</x:v>
      </x:c>
      <x:c r="I81" s="17" t="str">
        <x:v>水溶性果胶 (WSP, mg-g).xlsx</x:v>
      </x:c>
      <x:c r="J81" s="17" t="str">
        <x:v>水溶性果胶 (WSP, mg-g)</x:v>
      </x:c>
      <x:c r="K81" s="17" t="str">
        <x:v>F3</x:v>
      </x:c>
    </x:row>
    <x:row r="82">
      <x:c r="A82" s="17" t="str">
        <x:v>wsp</x:v>
      </x:c>
      <x:c r="B82" s="17" t="str">
        <x:v>水溶性果胶</x:v>
      </x:c>
      <x:c r="C82" s="17" t="str">
        <x:v>mg/g</x:v>
      </x:c>
      <x:c r="D82" s="17" t="str">
        <x:v>lower_better</x:v>
      </x:c>
      <x:c r="E82" s="18" t="n">
        <x:v>0</x:v>
      </x:c>
      <x:c r="F82" s="17" t="str">
        <x:v>MF</x:v>
      </x:c>
      <x:c r="G82" s="17" t="n">
        <x:v>3</x:v>
      </x:c>
      <x:c r="H82" s="19" t="n">
        <x:v>2.4</x:v>
      </x:c>
      <x:c r="I82" s="17" t="str">
        <x:v>水溶性果胶 (WSP, mg-g).xlsx</x:v>
      </x:c>
      <x:c r="J82" s="17" t="str">
        <x:v>水溶性果胶 (WSP, mg-g)</x:v>
      </x:c>
      <x:c r="K82" s="17" t="str">
        <x:v>G3</x:v>
      </x:c>
    </x:row>
    <x:row r="83">
      <x:c r="A83" s="17" t="str">
        <x:v>wsp</x:v>
      </x:c>
      <x:c r="B83" s="17" t="str">
        <x:v>水溶性果胶</x:v>
      </x:c>
      <x:c r="C83" s="17" t="str">
        <x:v>mg/g</x:v>
      </x:c>
      <x:c r="D83" s="17" t="str">
        <x:v>lower_better</x:v>
      </x:c>
      <x:c r="E83" s="18" t="n">
        <x:v>3</x:v>
      </x:c>
      <x:c r="F83" s="17" t="str">
        <x:v>CR</x:v>
      </x:c>
      <x:c r="G83" s="17" t="n">
        <x:v>1</x:v>
      </x:c>
      <x:c r="H83" s="19" t="n">
        <x:v>3.8</x:v>
      </x:c>
      <x:c r="I83" s="17" t="str">
        <x:v>水溶性果胶 (WSP, mg-g).xlsx</x:v>
      </x:c>
      <x:c r="J83" s="17" t="str">
        <x:v>水溶性果胶 (WSP, mg-g)</x:v>
      </x:c>
      <x:c r="K83" s="17" t="str">
        <x:v>B4</x:v>
      </x:c>
    </x:row>
    <x:row r="84">
      <x:c r="A84" s="17" t="str">
        <x:v>wsp</x:v>
      </x:c>
      <x:c r="B84" s="17" t="str">
        <x:v>水溶性果胶</x:v>
      </x:c>
      <x:c r="C84" s="17" t="str">
        <x:v>mg/g</x:v>
      </x:c>
      <x:c r="D84" s="17" t="str">
        <x:v>lower_better</x:v>
      </x:c>
      <x:c r="E84" s="18" t="n">
        <x:v>3</x:v>
      </x:c>
      <x:c r="F84" s="17" t="str">
        <x:v>CR</x:v>
      </x:c>
      <x:c r="G84" s="17" t="n">
        <x:v>2</x:v>
      </x:c>
      <x:c r="H84" s="19" t="n">
        <x:v>4</x:v>
      </x:c>
      <x:c r="I84" s="17" t="str">
        <x:v>水溶性果胶 (WSP, mg-g).xlsx</x:v>
      </x:c>
      <x:c r="J84" s="17" t="str">
        <x:v>水溶性果胶 (WSP, mg-g)</x:v>
      </x:c>
      <x:c r="K84" s="17" t="str">
        <x:v>C4</x:v>
      </x:c>
    </x:row>
    <x:row r="85">
      <x:c r="A85" s="17" t="str">
        <x:v>wsp</x:v>
      </x:c>
      <x:c r="B85" s="17" t="str">
        <x:v>水溶性果胶</x:v>
      </x:c>
      <x:c r="C85" s="17" t="str">
        <x:v>mg/g</x:v>
      </x:c>
      <x:c r="D85" s="17" t="str">
        <x:v>lower_better</x:v>
      </x:c>
      <x:c r="E85" s="18" t="n">
        <x:v>3</x:v>
      </x:c>
      <x:c r="F85" s="17" t="str">
        <x:v>CR</x:v>
      </x:c>
      <x:c r="G85" s="17" t="n">
        <x:v>3</x:v>
      </x:c>
      <x:c r="H85" s="19" t="n">
        <x:v>3.9</x:v>
      </x:c>
      <x:c r="I85" s="17" t="str">
        <x:v>水溶性果胶 (WSP, mg-g).xlsx</x:v>
      </x:c>
      <x:c r="J85" s="17" t="str">
        <x:v>水溶性果胶 (WSP, mg-g)</x:v>
      </x:c>
      <x:c r="K85" s="17" t="str">
        <x:v>D4</x:v>
      </x:c>
    </x:row>
    <x:row r="86">
      <x:c r="A86" s="17" t="str">
        <x:v>wsp</x:v>
      </x:c>
      <x:c r="B86" s="17" t="str">
        <x:v>水溶性果胶</x:v>
      </x:c>
      <x:c r="C86" s="17" t="str">
        <x:v>mg/g</x:v>
      </x:c>
      <x:c r="D86" s="17" t="str">
        <x:v>lower_better</x:v>
      </x:c>
      <x:c r="E86" s="18" t="n">
        <x:v>3</x:v>
      </x:c>
      <x:c r="F86" s="17" t="str">
        <x:v>MF</x:v>
      </x:c>
      <x:c r="G86" s="17" t="n">
        <x:v>1</x:v>
      </x:c>
      <x:c r="H86" s="19" t="n">
        <x:v>3.2</x:v>
      </x:c>
      <x:c r="I86" s="17" t="str">
        <x:v>水溶性果胶 (WSP, mg-g).xlsx</x:v>
      </x:c>
      <x:c r="J86" s="17" t="str">
        <x:v>水溶性果胶 (WSP, mg-g)</x:v>
      </x:c>
      <x:c r="K86" s="17" t="str">
        <x:v>E4</x:v>
      </x:c>
    </x:row>
    <x:row r="87">
      <x:c r="A87" s="17" t="str">
        <x:v>wsp</x:v>
      </x:c>
      <x:c r="B87" s="17" t="str">
        <x:v>水溶性果胶</x:v>
      </x:c>
      <x:c r="C87" s="17" t="str">
        <x:v>mg/g</x:v>
      </x:c>
      <x:c r="D87" s="17" t="str">
        <x:v>lower_better</x:v>
      </x:c>
      <x:c r="E87" s="18" t="n">
        <x:v>3</x:v>
      </x:c>
      <x:c r="F87" s="17" t="str">
        <x:v>MF</x:v>
      </x:c>
      <x:c r="G87" s="17" t="n">
        <x:v>2</x:v>
      </x:c>
      <x:c r="H87" s="19" t="n">
        <x:v>3.3</x:v>
      </x:c>
      <x:c r="I87" s="17" t="str">
        <x:v>水溶性果胶 (WSP, mg-g).xlsx</x:v>
      </x:c>
      <x:c r="J87" s="17" t="str">
        <x:v>水溶性果胶 (WSP, mg-g)</x:v>
      </x:c>
      <x:c r="K87" s="17" t="str">
        <x:v>F4</x:v>
      </x:c>
    </x:row>
    <x:row r="88">
      <x:c r="A88" s="17" t="str">
        <x:v>wsp</x:v>
      </x:c>
      <x:c r="B88" s="17" t="str">
        <x:v>水溶性果胶</x:v>
      </x:c>
      <x:c r="C88" s="17" t="str">
        <x:v>mg/g</x:v>
      </x:c>
      <x:c r="D88" s="17" t="str">
        <x:v>lower_better</x:v>
      </x:c>
      <x:c r="E88" s="18" t="n">
        <x:v>3</x:v>
      </x:c>
      <x:c r="F88" s="17" t="str">
        <x:v>MF</x:v>
      </x:c>
      <x:c r="G88" s="17" t="n">
        <x:v>3</x:v>
      </x:c>
      <x:c r="H88" s="19" t="n">
        <x:v>3.1</x:v>
      </x:c>
      <x:c r="I88" s="17" t="str">
        <x:v>水溶性果胶 (WSP, mg-g).xlsx</x:v>
      </x:c>
      <x:c r="J88" s="17" t="str">
        <x:v>水溶性果胶 (WSP, mg-g)</x:v>
      </x:c>
      <x:c r="K88" s="17" t="str">
        <x:v>G4</x:v>
      </x:c>
    </x:row>
    <x:row r="89">
      <x:c r="A89" s="17" t="str">
        <x:v>wsp</x:v>
      </x:c>
      <x:c r="B89" s="17" t="str">
        <x:v>水溶性果胶</x:v>
      </x:c>
      <x:c r="C89" s="17" t="str">
        <x:v>mg/g</x:v>
      </x:c>
      <x:c r="D89" s="17" t="str">
        <x:v>lower_better</x:v>
      </x:c>
      <x:c r="E89" s="18" t="n">
        <x:v>6</x:v>
      </x:c>
      <x:c r="F89" s="17" t="str">
        <x:v>CR</x:v>
      </x:c>
      <x:c r="G89" s="17" t="n">
        <x:v>1</x:v>
      </x:c>
      <x:c r="H89" s="19" t="n">
        <x:v>5.5</x:v>
      </x:c>
      <x:c r="I89" s="17" t="str">
        <x:v>水溶性果胶 (WSP, mg-g).xlsx</x:v>
      </x:c>
      <x:c r="J89" s="17" t="str">
        <x:v>水溶性果胶 (WSP, mg-g)</x:v>
      </x:c>
      <x:c r="K89" s="17" t="str">
        <x:v>B5</x:v>
      </x:c>
    </x:row>
    <x:row r="90">
      <x:c r="A90" s="17" t="str">
        <x:v>wsp</x:v>
      </x:c>
      <x:c r="B90" s="17" t="str">
        <x:v>水溶性果胶</x:v>
      </x:c>
      <x:c r="C90" s="17" t="str">
        <x:v>mg/g</x:v>
      </x:c>
      <x:c r="D90" s="17" t="str">
        <x:v>lower_better</x:v>
      </x:c>
      <x:c r="E90" s="18" t="n">
        <x:v>6</x:v>
      </x:c>
      <x:c r="F90" s="17" t="str">
        <x:v>CR</x:v>
      </x:c>
      <x:c r="G90" s="17" t="n">
        <x:v>2</x:v>
      </x:c>
      <x:c r="H90" s="19" t="n">
        <x:v>5.6</x:v>
      </x:c>
      <x:c r="I90" s="17" t="str">
        <x:v>水溶性果胶 (WSP, mg-g).xlsx</x:v>
      </x:c>
      <x:c r="J90" s="17" t="str">
        <x:v>水溶性果胶 (WSP, mg-g)</x:v>
      </x:c>
      <x:c r="K90" s="17" t="str">
        <x:v>C5</x:v>
      </x:c>
    </x:row>
    <x:row r="91">
      <x:c r="A91" s="17" t="str">
        <x:v>wsp</x:v>
      </x:c>
      <x:c r="B91" s="17" t="str">
        <x:v>水溶性果胶</x:v>
      </x:c>
      <x:c r="C91" s="17" t="str">
        <x:v>mg/g</x:v>
      </x:c>
      <x:c r="D91" s="17" t="str">
        <x:v>lower_better</x:v>
      </x:c>
      <x:c r="E91" s="18" t="n">
        <x:v>6</x:v>
      </x:c>
      <x:c r="F91" s="17" t="str">
        <x:v>CR</x:v>
      </x:c>
      <x:c r="G91" s="17" t="n">
        <x:v>3</x:v>
      </x:c>
      <x:c r="H91" s="19" t="n">
        <x:v>5.4</x:v>
      </x:c>
      <x:c r="I91" s="17" t="str">
        <x:v>水溶性果胶 (WSP, mg-g).xlsx</x:v>
      </x:c>
      <x:c r="J91" s="17" t="str">
        <x:v>水溶性果胶 (WSP, mg-g)</x:v>
      </x:c>
      <x:c r="K91" s="17" t="str">
        <x:v>D5</x:v>
      </x:c>
    </x:row>
    <x:row r="92">
      <x:c r="A92" s="17" t="str">
        <x:v>wsp</x:v>
      </x:c>
      <x:c r="B92" s="17" t="str">
        <x:v>水溶性果胶</x:v>
      </x:c>
      <x:c r="C92" s="17" t="str">
        <x:v>mg/g</x:v>
      </x:c>
      <x:c r="D92" s="17" t="str">
        <x:v>lower_better</x:v>
      </x:c>
      <x:c r="E92" s="18" t="n">
        <x:v>6</x:v>
      </x:c>
      <x:c r="F92" s="17" t="str">
        <x:v>MF</x:v>
      </x:c>
      <x:c r="G92" s="17" t="n">
        <x:v>1</x:v>
      </x:c>
      <x:c r="H92" s="19" t="n">
        <x:v>4.3</x:v>
      </x:c>
      <x:c r="I92" s="17" t="str">
        <x:v>水溶性果胶 (WSP, mg-g).xlsx</x:v>
      </x:c>
      <x:c r="J92" s="17" t="str">
        <x:v>水溶性果胶 (WSP, mg-g)</x:v>
      </x:c>
      <x:c r="K92" s="17" t="str">
        <x:v>E5</x:v>
      </x:c>
    </x:row>
    <x:row r="93">
      <x:c r="A93" s="17" t="str">
        <x:v>wsp</x:v>
      </x:c>
      <x:c r="B93" s="17" t="str">
        <x:v>水溶性果胶</x:v>
      </x:c>
      <x:c r="C93" s="17" t="str">
        <x:v>mg/g</x:v>
      </x:c>
      <x:c r="D93" s="17" t="str">
        <x:v>lower_better</x:v>
      </x:c>
      <x:c r="E93" s="18" t="n">
        <x:v>6</x:v>
      </x:c>
      <x:c r="F93" s="17" t="str">
        <x:v>MF</x:v>
      </x:c>
      <x:c r="G93" s="17" t="n">
        <x:v>2</x:v>
      </x:c>
      <x:c r="H93" s="19" t="n">
        <x:v>4.4</x:v>
      </x:c>
      <x:c r="I93" s="17" t="str">
        <x:v>水溶性果胶 (WSP, mg-g).xlsx</x:v>
      </x:c>
      <x:c r="J93" s="17" t="str">
        <x:v>水溶性果胶 (WSP, mg-g)</x:v>
      </x:c>
      <x:c r="K93" s="17" t="str">
        <x:v>F5</x:v>
      </x:c>
    </x:row>
    <x:row r="94">
      <x:c r="A94" s="17" t="str">
        <x:v>wsp</x:v>
      </x:c>
      <x:c r="B94" s="17" t="str">
        <x:v>水溶性果胶</x:v>
      </x:c>
      <x:c r="C94" s="17" t="str">
        <x:v>mg/g</x:v>
      </x:c>
      <x:c r="D94" s="17" t="str">
        <x:v>lower_better</x:v>
      </x:c>
      <x:c r="E94" s="18" t="n">
        <x:v>6</x:v>
      </x:c>
      <x:c r="F94" s="17" t="str">
        <x:v>MF</x:v>
      </x:c>
      <x:c r="G94" s="17" t="n">
        <x:v>3</x:v>
      </x:c>
      <x:c r="H94" s="19" t="n">
        <x:v>4.2</x:v>
      </x:c>
      <x:c r="I94" s="17" t="str">
        <x:v>水溶性果胶 (WSP, mg-g).xlsx</x:v>
      </x:c>
      <x:c r="J94" s="17" t="str">
        <x:v>水溶性果胶 (WSP, mg-g)</x:v>
      </x:c>
      <x:c r="K94" s="17" t="str">
        <x:v>G5</x:v>
      </x:c>
    </x:row>
    <x:row r="95">
      <x:c r="A95" s="17" t="str">
        <x:v>wsp</x:v>
      </x:c>
      <x:c r="B95" s="17" t="str">
        <x:v>水溶性果胶</x:v>
      </x:c>
      <x:c r="C95" s="17" t="str">
        <x:v>mg/g</x:v>
      </x:c>
      <x:c r="D95" s="17" t="str">
        <x:v>lower_better</x:v>
      </x:c>
      <x:c r="E95" s="18" t="n">
        <x:v>9</x:v>
      </x:c>
      <x:c r="F95" s="17" t="str">
        <x:v>CR</x:v>
      </x:c>
      <x:c r="G95" s="17" t="n">
        <x:v>1</x:v>
      </x:c>
      <x:c r="H95" s="19" t="n">
        <x:v>7.2</x:v>
      </x:c>
      <x:c r="I95" s="17" t="str">
        <x:v>水溶性果胶 (WSP, mg-g).xlsx</x:v>
      </x:c>
      <x:c r="J95" s="17" t="str">
        <x:v>水溶性果胶 (WSP, mg-g)</x:v>
      </x:c>
      <x:c r="K95" s="17" t="str">
        <x:v>B6</x:v>
      </x:c>
    </x:row>
    <x:row r="96">
      <x:c r="A96" s="17" t="str">
        <x:v>wsp</x:v>
      </x:c>
      <x:c r="B96" s="17" t="str">
        <x:v>水溶性果胶</x:v>
      </x:c>
      <x:c r="C96" s="17" t="str">
        <x:v>mg/g</x:v>
      </x:c>
      <x:c r="D96" s="17" t="str">
        <x:v>lower_better</x:v>
      </x:c>
      <x:c r="E96" s="18" t="n">
        <x:v>9</x:v>
      </x:c>
      <x:c r="F96" s="17" t="str">
        <x:v>CR</x:v>
      </x:c>
      <x:c r="G96" s="17" t="n">
        <x:v>2</x:v>
      </x:c>
      <x:c r="H96" s="19" t="n">
        <x:v>7.3</x:v>
      </x:c>
      <x:c r="I96" s="17" t="str">
        <x:v>水溶性果胶 (WSP, mg-g).xlsx</x:v>
      </x:c>
      <x:c r="J96" s="17" t="str">
        <x:v>水溶性果胶 (WSP, mg-g)</x:v>
      </x:c>
      <x:c r="K96" s="17" t="str">
        <x:v>C6</x:v>
      </x:c>
    </x:row>
    <x:row r="97">
      <x:c r="A97" s="17" t="str">
        <x:v>wsp</x:v>
      </x:c>
      <x:c r="B97" s="17" t="str">
        <x:v>水溶性果胶</x:v>
      </x:c>
      <x:c r="C97" s="17" t="str">
        <x:v>mg/g</x:v>
      </x:c>
      <x:c r="D97" s="17" t="str">
        <x:v>lower_better</x:v>
      </x:c>
      <x:c r="E97" s="18" t="n">
        <x:v>9</x:v>
      </x:c>
      <x:c r="F97" s="17" t="str">
        <x:v>CR</x:v>
      </x:c>
      <x:c r="G97" s="17" t="n">
        <x:v>3</x:v>
      </x:c>
      <x:c r="H97" s="19" t="n">
        <x:v>7.1</x:v>
      </x:c>
      <x:c r="I97" s="17" t="str">
        <x:v>水溶性果胶 (WSP, mg-g).xlsx</x:v>
      </x:c>
      <x:c r="J97" s="17" t="str">
        <x:v>水溶性果胶 (WSP, mg-g)</x:v>
      </x:c>
      <x:c r="K97" s="17" t="str">
        <x:v>D6</x:v>
      </x:c>
    </x:row>
    <x:row r="98">
      <x:c r="A98" s="17" t="str">
        <x:v>wsp</x:v>
      </x:c>
      <x:c r="B98" s="17" t="str">
        <x:v>水溶性果胶</x:v>
      </x:c>
      <x:c r="C98" s="17" t="str">
        <x:v>mg/g</x:v>
      </x:c>
      <x:c r="D98" s="17" t="str">
        <x:v>lower_better</x:v>
      </x:c>
      <x:c r="E98" s="18" t="n">
        <x:v>9</x:v>
      </x:c>
      <x:c r="F98" s="17" t="str">
        <x:v>MF</x:v>
      </x:c>
      <x:c r="G98" s="17" t="n">
        <x:v>1</x:v>
      </x:c>
      <x:c r="H98" s="19" t="n">
        <x:v>5.5</x:v>
      </x:c>
      <x:c r="I98" s="17" t="str">
        <x:v>水溶性果胶 (WSP, mg-g).xlsx</x:v>
      </x:c>
      <x:c r="J98" s="17" t="str">
        <x:v>水溶性果胶 (WSP, mg-g)</x:v>
      </x:c>
      <x:c r="K98" s="17" t="str">
        <x:v>E6</x:v>
      </x:c>
    </x:row>
    <x:row r="99">
      <x:c r="A99" s="17" t="str">
        <x:v>wsp</x:v>
      </x:c>
      <x:c r="B99" s="17" t="str">
        <x:v>水溶性果胶</x:v>
      </x:c>
      <x:c r="C99" s="17" t="str">
        <x:v>mg/g</x:v>
      </x:c>
      <x:c r="D99" s="17" t="str">
        <x:v>lower_better</x:v>
      </x:c>
      <x:c r="E99" s="18" t="n">
        <x:v>9</x:v>
      </x:c>
      <x:c r="F99" s="17" t="str">
        <x:v>MF</x:v>
      </x:c>
      <x:c r="G99" s="17" t="n">
        <x:v>2</x:v>
      </x:c>
      <x:c r="H99" s="19" t="n">
        <x:v>5.6</x:v>
      </x:c>
      <x:c r="I99" s="17" t="str">
        <x:v>水溶性果胶 (WSP, mg-g).xlsx</x:v>
      </x:c>
      <x:c r="J99" s="17" t="str">
        <x:v>水溶性果胶 (WSP, mg-g)</x:v>
      </x:c>
      <x:c r="K99" s="17" t="str">
        <x:v>F6</x:v>
      </x:c>
    </x:row>
    <x:row r="100">
      <x:c r="A100" s="17" t="str">
        <x:v>wsp</x:v>
      </x:c>
      <x:c r="B100" s="17" t="str">
        <x:v>水溶性果胶</x:v>
      </x:c>
      <x:c r="C100" s="17" t="str">
        <x:v>mg/g</x:v>
      </x:c>
      <x:c r="D100" s="17" t="str">
        <x:v>lower_better</x:v>
      </x:c>
      <x:c r="E100" s="18" t="n">
        <x:v>9</x:v>
      </x:c>
      <x:c r="F100" s="17" t="str">
        <x:v>MF</x:v>
      </x:c>
      <x:c r="G100" s="17" t="n">
        <x:v>3</x:v>
      </x:c>
      <x:c r="H100" s="19" t="n">
        <x:v>5.4</x:v>
      </x:c>
      <x:c r="I100" s="17" t="str">
        <x:v>水溶性果胶 (WSP, mg-g).xlsx</x:v>
      </x:c>
      <x:c r="J100" s="17" t="str">
        <x:v>水溶性果胶 (WSP, mg-g)</x:v>
      </x:c>
      <x:c r="K100" s="17" t="str">
        <x:v>G6</x:v>
      </x:c>
    </x:row>
    <x:row r="101">
      <x:c r="A101" s="17" t="str">
        <x:v>wsp</x:v>
      </x:c>
      <x:c r="B101" s="17" t="str">
        <x:v>水溶性果胶</x:v>
      </x:c>
      <x:c r="C101" s="17" t="str">
        <x:v>mg/g</x:v>
      </x:c>
      <x:c r="D101" s="17" t="str">
        <x:v>lower_better</x:v>
      </x:c>
      <x:c r="E101" s="18" t="n">
        <x:v>12</x:v>
      </x:c>
      <x:c r="F101" s="17" t="str">
        <x:v>CR</x:v>
      </x:c>
      <x:c r="G101" s="17" t="n">
        <x:v>1</x:v>
      </x:c>
      <x:c r="H101" s="19" t="n">
        <x:v>9</x:v>
      </x:c>
      <x:c r="I101" s="17" t="str">
        <x:v>水溶性果胶 (WSP, mg-g).xlsx</x:v>
      </x:c>
      <x:c r="J101" s="17" t="str">
        <x:v>水溶性果胶 (WSP, mg-g)</x:v>
      </x:c>
      <x:c r="K101" s="17" t="str">
        <x:v>B7</x:v>
      </x:c>
    </x:row>
    <x:row r="102">
      <x:c r="A102" s="17" t="str">
        <x:v>wsp</x:v>
      </x:c>
      <x:c r="B102" s="17" t="str">
        <x:v>水溶性果胶</x:v>
      </x:c>
      <x:c r="C102" s="17" t="str">
        <x:v>mg/g</x:v>
      </x:c>
      <x:c r="D102" s="17" t="str">
        <x:v>lower_better</x:v>
      </x:c>
      <x:c r="E102" s="18" t="n">
        <x:v>12</x:v>
      </x:c>
      <x:c r="F102" s="17" t="str">
        <x:v>CR</x:v>
      </x:c>
      <x:c r="G102" s="17" t="n">
        <x:v>2</x:v>
      </x:c>
      <x:c r="H102" s="19" t="n">
        <x:v>9.1</x:v>
      </x:c>
      <x:c r="I102" s="17" t="str">
        <x:v>水溶性果胶 (WSP, mg-g).xlsx</x:v>
      </x:c>
      <x:c r="J102" s="17" t="str">
        <x:v>水溶性果胶 (WSP, mg-g)</x:v>
      </x:c>
      <x:c r="K102" s="17" t="str">
        <x:v>C7</x:v>
      </x:c>
    </x:row>
    <x:row r="103">
      <x:c r="A103" s="17" t="str">
        <x:v>wsp</x:v>
      </x:c>
      <x:c r="B103" s="17" t="str">
        <x:v>水溶性果胶</x:v>
      </x:c>
      <x:c r="C103" s="17" t="str">
        <x:v>mg/g</x:v>
      </x:c>
      <x:c r="D103" s="17" t="str">
        <x:v>lower_better</x:v>
      </x:c>
      <x:c r="E103" s="18" t="n">
        <x:v>12</x:v>
      </x:c>
      <x:c r="F103" s="17" t="str">
        <x:v>CR</x:v>
      </x:c>
      <x:c r="G103" s="17" t="n">
        <x:v>3</x:v>
      </x:c>
      <x:c r="H103" s="19" t="n">
        <x:v>8.9</x:v>
      </x:c>
      <x:c r="I103" s="17" t="str">
        <x:v>水溶性果胶 (WSP, mg-g).xlsx</x:v>
      </x:c>
      <x:c r="J103" s="17" t="str">
        <x:v>水溶性果胶 (WSP, mg-g)</x:v>
      </x:c>
      <x:c r="K103" s="17" t="str">
        <x:v>D7</x:v>
      </x:c>
    </x:row>
    <x:row r="104">
      <x:c r="A104" s="17" t="str">
        <x:v>wsp</x:v>
      </x:c>
      <x:c r="B104" s="17" t="str">
        <x:v>水溶性果胶</x:v>
      </x:c>
      <x:c r="C104" s="17" t="str">
        <x:v>mg/g</x:v>
      </x:c>
      <x:c r="D104" s="17" t="str">
        <x:v>lower_better</x:v>
      </x:c>
      <x:c r="E104" s="18" t="n">
        <x:v>12</x:v>
      </x:c>
      <x:c r="F104" s="17" t="str">
        <x:v>MF</x:v>
      </x:c>
      <x:c r="G104" s="17" t="n">
        <x:v>1</x:v>
      </x:c>
      <x:c r="H104" s="19" t="n">
        <x:v>6.8</x:v>
      </x:c>
      <x:c r="I104" s="17" t="str">
        <x:v>水溶性果胶 (WSP, mg-g).xlsx</x:v>
      </x:c>
      <x:c r="J104" s="17" t="str">
        <x:v>水溶性果胶 (WSP, mg-g)</x:v>
      </x:c>
      <x:c r="K104" s="17" t="str">
        <x:v>E7</x:v>
      </x:c>
    </x:row>
    <x:row r="105">
      <x:c r="A105" s="17" t="str">
        <x:v>wsp</x:v>
      </x:c>
      <x:c r="B105" s="17" t="str">
        <x:v>水溶性果胶</x:v>
      </x:c>
      <x:c r="C105" s="17" t="str">
        <x:v>mg/g</x:v>
      </x:c>
      <x:c r="D105" s="17" t="str">
        <x:v>lower_better</x:v>
      </x:c>
      <x:c r="E105" s="18" t="n">
        <x:v>12</x:v>
      </x:c>
      <x:c r="F105" s="17" t="str">
        <x:v>MF</x:v>
      </x:c>
      <x:c r="G105" s="17" t="n">
        <x:v>2</x:v>
      </x:c>
      <x:c r="H105" s="19" t="n">
        <x:v>6.9</x:v>
      </x:c>
      <x:c r="I105" s="17" t="str">
        <x:v>水溶性果胶 (WSP, mg-g).xlsx</x:v>
      </x:c>
      <x:c r="J105" s="17" t="str">
        <x:v>水溶性果胶 (WSP, mg-g)</x:v>
      </x:c>
      <x:c r="K105" s="17" t="str">
        <x:v>F7</x:v>
      </x:c>
    </x:row>
    <x:row r="106">
      <x:c r="A106" s="17" t="str">
        <x:v>wsp</x:v>
      </x:c>
      <x:c r="B106" s="17" t="str">
        <x:v>水溶性果胶</x:v>
      </x:c>
      <x:c r="C106" s="17" t="str">
        <x:v>mg/g</x:v>
      </x:c>
      <x:c r="D106" s="17" t="str">
        <x:v>lower_better</x:v>
      </x:c>
      <x:c r="E106" s="18" t="n">
        <x:v>12</x:v>
      </x:c>
      <x:c r="F106" s="17" t="str">
        <x:v>MF</x:v>
      </x:c>
      <x:c r="G106" s="17" t="n">
        <x:v>3</x:v>
      </x:c>
      <x:c r="H106" s="19" t="n">
        <x:v>6.7</x:v>
      </x:c>
      <x:c r="I106" s="17" t="str">
        <x:v>水溶性果胶 (WSP, mg-g).xlsx</x:v>
      </x:c>
      <x:c r="J106" s="17" t="str">
        <x:v>水溶性果胶 (WSP, mg-g)</x:v>
      </x:c>
      <x:c r="K106" s="17" t="str">
        <x:v>G7</x:v>
      </x:c>
    </x:row>
    <x:row r="107">
      <x:c r="A107" s="17" t="str">
        <x:v>wsp</x:v>
      </x:c>
      <x:c r="B107" s="17" t="str">
        <x:v>水溶性果胶</x:v>
      </x:c>
      <x:c r="C107" s="17" t="str">
        <x:v>mg/g</x:v>
      </x:c>
      <x:c r="D107" s="17" t="str">
        <x:v>lower_better</x:v>
      </x:c>
      <x:c r="E107" s="18" t="n">
        <x:v>15</x:v>
      </x:c>
      <x:c r="F107" s="17" t="str">
        <x:v>CR</x:v>
      </x:c>
      <x:c r="G107" s="17" t="n">
        <x:v>1</x:v>
      </x:c>
      <x:c r="H107" s="19" t="n">
        <x:v>10.5</x:v>
      </x:c>
      <x:c r="I107" s="17" t="str">
        <x:v>水溶性果胶 (WSP, mg-g).xlsx</x:v>
      </x:c>
      <x:c r="J107" s="17" t="str">
        <x:v>水溶性果胶 (WSP, mg-g)</x:v>
      </x:c>
      <x:c r="K107" s="17" t="str">
        <x:v>B8</x:v>
      </x:c>
    </x:row>
    <x:row r="108">
      <x:c r="A108" s="17" t="str">
        <x:v>wsp</x:v>
      </x:c>
      <x:c r="B108" s="17" t="str">
        <x:v>水溶性果胶</x:v>
      </x:c>
      <x:c r="C108" s="17" t="str">
        <x:v>mg/g</x:v>
      </x:c>
      <x:c r="D108" s="17" t="str">
        <x:v>lower_better</x:v>
      </x:c>
      <x:c r="E108" s="18" t="n">
        <x:v>15</x:v>
      </x:c>
      <x:c r="F108" s="17" t="str">
        <x:v>CR</x:v>
      </x:c>
      <x:c r="G108" s="17" t="n">
        <x:v>2</x:v>
      </x:c>
      <x:c r="H108" s="19" t="n">
        <x:v>10.6</x:v>
      </x:c>
      <x:c r="I108" s="17" t="str">
        <x:v>水溶性果胶 (WSP, mg-g).xlsx</x:v>
      </x:c>
      <x:c r="J108" s="17" t="str">
        <x:v>水溶性果胶 (WSP, mg-g)</x:v>
      </x:c>
      <x:c r="K108" s="17" t="str">
        <x:v>C8</x:v>
      </x:c>
    </x:row>
    <x:row r="109">
      <x:c r="A109" s="17" t="str">
        <x:v>wsp</x:v>
      </x:c>
      <x:c r="B109" s="17" t="str">
        <x:v>水溶性果胶</x:v>
      </x:c>
      <x:c r="C109" s="17" t="str">
        <x:v>mg/g</x:v>
      </x:c>
      <x:c r="D109" s="17" t="str">
        <x:v>lower_better</x:v>
      </x:c>
      <x:c r="E109" s="18" t="n">
        <x:v>15</x:v>
      </x:c>
      <x:c r="F109" s="17" t="str">
        <x:v>CR</x:v>
      </x:c>
      <x:c r="G109" s="17" t="n">
        <x:v>3</x:v>
      </x:c>
      <x:c r="H109" s="19" t="n">
        <x:v>10.4</x:v>
      </x:c>
      <x:c r="I109" s="17" t="str">
        <x:v>水溶性果胶 (WSP, mg-g).xlsx</x:v>
      </x:c>
      <x:c r="J109" s="17" t="str">
        <x:v>水溶性果胶 (WSP, mg-g)</x:v>
      </x:c>
      <x:c r="K109" s="17" t="str">
        <x:v>D8</x:v>
      </x:c>
    </x:row>
    <x:row r="110">
      <x:c r="A110" s="17" t="str">
        <x:v>wsp</x:v>
      </x:c>
      <x:c r="B110" s="17" t="str">
        <x:v>水溶性果胶</x:v>
      </x:c>
      <x:c r="C110" s="17" t="str">
        <x:v>mg/g</x:v>
      </x:c>
      <x:c r="D110" s="17" t="str">
        <x:v>lower_better</x:v>
      </x:c>
      <x:c r="E110" s="18" t="n">
        <x:v>15</x:v>
      </x:c>
      <x:c r="F110" s="17" t="str">
        <x:v>MF</x:v>
      </x:c>
      <x:c r="G110" s="17" t="n">
        <x:v>1</x:v>
      </x:c>
      <x:c r="H110" s="19" t="n">
        <x:v>8</x:v>
      </x:c>
      <x:c r="I110" s="17" t="str">
        <x:v>水溶性果胶 (WSP, mg-g).xlsx</x:v>
      </x:c>
      <x:c r="J110" s="17" t="str">
        <x:v>水溶性果胶 (WSP, mg-g)</x:v>
      </x:c>
      <x:c r="K110" s="17" t="str">
        <x:v>E8</x:v>
      </x:c>
    </x:row>
    <x:row r="111">
      <x:c r="A111" s="17" t="str">
        <x:v>wsp</x:v>
      </x:c>
      <x:c r="B111" s="17" t="str">
        <x:v>水溶性果胶</x:v>
      </x:c>
      <x:c r="C111" s="17" t="str">
        <x:v>mg/g</x:v>
      </x:c>
      <x:c r="D111" s="17" t="str">
        <x:v>lower_better</x:v>
      </x:c>
      <x:c r="E111" s="18" t="n">
        <x:v>15</x:v>
      </x:c>
      <x:c r="F111" s="17" t="str">
        <x:v>MF</x:v>
      </x:c>
      <x:c r="G111" s="17" t="n">
        <x:v>2</x:v>
      </x:c>
      <x:c r="H111" s="19" t="n">
        <x:v>8.1</x:v>
      </x:c>
      <x:c r="I111" s="17" t="str">
        <x:v>水溶性果胶 (WSP, mg-g).xlsx</x:v>
      </x:c>
      <x:c r="J111" s="17" t="str">
        <x:v>水溶性果胶 (WSP, mg-g)</x:v>
      </x:c>
      <x:c r="K111" s="17" t="str">
        <x:v>F8</x:v>
      </x:c>
    </x:row>
    <x:row r="112">
      <x:c r="A112" s="17" t="str">
        <x:v>wsp</x:v>
      </x:c>
      <x:c r="B112" s="17" t="str">
        <x:v>水溶性果胶</x:v>
      </x:c>
      <x:c r="C112" s="17" t="str">
        <x:v>mg/g</x:v>
      </x:c>
      <x:c r="D112" s="17" t="str">
        <x:v>lower_better</x:v>
      </x:c>
      <x:c r="E112" s="18" t="n">
        <x:v>15</x:v>
      </x:c>
      <x:c r="F112" s="17" t="str">
        <x:v>MF</x:v>
      </x:c>
      <x:c r="G112" s="17" t="n">
        <x:v>3</x:v>
      </x:c>
      <x:c r="H112" s="19" t="n">
        <x:v>7.9</x:v>
      </x:c>
      <x:c r="I112" s="17" t="str">
        <x:v>水溶性果胶 (WSP, mg-g).xlsx</x:v>
      </x:c>
      <x:c r="J112" s="17" t="str">
        <x:v>水溶性果胶 (WSP, mg-g)</x:v>
      </x:c>
      <x:c r="K112" s="17" t="str">
        <x:v>G8</x:v>
      </x:c>
    </x:row>
    <x:row r="113">
      <x:c r="A113" s="17" t="str">
        <x:v>pg</x:v>
      </x:c>
      <x:c r="B113" s="17" t="str">
        <x:v>多聚半乳糖醛酸酶活性</x:v>
      </x:c>
      <x:c r="C113" s="17" t="str">
        <x:v>U/kg</x:v>
      </x:c>
      <x:c r="D113" s="17" t="str">
        <x:v>lower_better</x:v>
      </x:c>
      <x:c r="E113" s="18" t="n">
        <x:v>0</x:v>
      </x:c>
      <x:c r="F113" s="17" t="str">
        <x:v>CR</x:v>
      </x:c>
      <x:c r="G113" s="17" t="n">
        <x:v>1</x:v>
      </x:c>
      <x:c r="H113" s="19" t="n">
        <x:v>5</x:v>
      </x:c>
      <x:c r="I113" s="17" t="str">
        <x:v>多聚半乳糖醛酸酶活性 (PG activity, U-kg).xlsx</x:v>
      </x:c>
      <x:c r="J113" s="17" t="str">
        <x:v>多聚半乳糖醛酸酶活性 (PG activity, U-kg)</x:v>
      </x:c>
      <x:c r="K113" s="17" t="str">
        <x:v>B3</x:v>
      </x:c>
    </x:row>
    <x:row r="114">
      <x:c r="A114" s="17" t="str">
        <x:v>pg</x:v>
      </x:c>
      <x:c r="B114" s="17" t="str">
        <x:v>多聚半乳糖醛酸酶活性</x:v>
      </x:c>
      <x:c r="C114" s="17" t="str">
        <x:v>U/kg</x:v>
      </x:c>
      <x:c r="D114" s="17" t="str">
        <x:v>lower_better</x:v>
      </x:c>
      <x:c r="E114" s="18" t="n">
        <x:v>0</x:v>
      </x:c>
      <x:c r="F114" s="17" t="str">
        <x:v>CR</x:v>
      </x:c>
      <x:c r="G114" s="17" t="n">
        <x:v>2</x:v>
      </x:c>
      <x:c r="H114" s="19" t="n">
        <x:v>5.1</x:v>
      </x:c>
      <x:c r="I114" s="17" t="str">
        <x:v>多聚半乳糖醛酸酶活性 (PG activity, U-kg).xlsx</x:v>
      </x:c>
      <x:c r="J114" s="17" t="str">
        <x:v>多聚半乳糖醛酸酶活性 (PG activity, U-kg)</x:v>
      </x:c>
      <x:c r="K114" s="17" t="str">
        <x:v>C3</x:v>
      </x:c>
    </x:row>
    <x:row r="115">
      <x:c r="A115" s="17" t="str">
        <x:v>pg</x:v>
      </x:c>
      <x:c r="B115" s="17" t="str">
        <x:v>多聚半乳糖醛酸酶活性</x:v>
      </x:c>
      <x:c r="C115" s="17" t="str">
        <x:v>U/kg</x:v>
      </x:c>
      <x:c r="D115" s="17" t="str">
        <x:v>lower_better</x:v>
      </x:c>
      <x:c r="E115" s="18" t="n">
        <x:v>0</x:v>
      </x:c>
      <x:c r="F115" s="17" t="str">
        <x:v>CR</x:v>
      </x:c>
      <x:c r="G115" s="17" t="n">
        <x:v>3</x:v>
      </x:c>
      <x:c r="H115" s="19" t="n">
        <x:v>4.9</x:v>
      </x:c>
      <x:c r="I115" s="17" t="str">
        <x:v>多聚半乳糖醛酸酶活性 (PG activity, U-kg).xlsx</x:v>
      </x:c>
      <x:c r="J115" s="17" t="str">
        <x:v>多聚半乳糖醛酸酶活性 (PG activity, U-kg)</x:v>
      </x:c>
      <x:c r="K115" s="17" t="str">
        <x:v>D3</x:v>
      </x:c>
    </x:row>
    <x:row r="116">
      <x:c r="A116" s="17" t="str">
        <x:v>pg</x:v>
      </x:c>
      <x:c r="B116" s="17" t="str">
        <x:v>多聚半乳糖醛酸酶活性</x:v>
      </x:c>
      <x:c r="C116" s="17" t="str">
        <x:v>U/kg</x:v>
      </x:c>
      <x:c r="D116" s="17" t="str">
        <x:v>lower_better</x:v>
      </x:c>
      <x:c r="E116" s="18" t="n">
        <x:v>0</x:v>
      </x:c>
      <x:c r="F116" s="17" t="str">
        <x:v>MF</x:v>
      </x:c>
      <x:c r="G116" s="17" t="n">
        <x:v>1</x:v>
      </x:c>
      <x:c r="H116" s="19" t="n">
        <x:v>5</x:v>
      </x:c>
      <x:c r="I116" s="17" t="str">
        <x:v>多聚半乳糖醛酸酶活性 (PG activity, U-kg).xlsx</x:v>
      </x:c>
      <x:c r="J116" s="17" t="str">
        <x:v>多聚半乳糖醛酸酶活性 (PG activity, U-kg)</x:v>
      </x:c>
      <x:c r="K116" s="17" t="str">
        <x:v>E3</x:v>
      </x:c>
    </x:row>
    <x:row r="117">
      <x:c r="A117" s="17" t="str">
        <x:v>pg</x:v>
      </x:c>
      <x:c r="B117" s="17" t="str">
        <x:v>多聚半乳糖醛酸酶活性</x:v>
      </x:c>
      <x:c r="C117" s="17" t="str">
        <x:v>U/kg</x:v>
      </x:c>
      <x:c r="D117" s="17" t="str">
        <x:v>lower_better</x:v>
      </x:c>
      <x:c r="E117" s="18" t="n">
        <x:v>0</x:v>
      </x:c>
      <x:c r="F117" s="17" t="str">
        <x:v>MF</x:v>
      </x:c>
      <x:c r="G117" s="17" t="n">
        <x:v>2</x:v>
      </x:c>
      <x:c r="H117" s="19" t="n">
        <x:v>5.1</x:v>
      </x:c>
      <x:c r="I117" s="17" t="str">
        <x:v>多聚半乳糖醛酸酶活性 (PG activity, U-kg).xlsx</x:v>
      </x:c>
      <x:c r="J117" s="17" t="str">
        <x:v>多聚半乳糖醛酸酶活性 (PG activity, U-kg)</x:v>
      </x:c>
      <x:c r="K117" s="17" t="str">
        <x:v>F3</x:v>
      </x:c>
    </x:row>
    <x:row r="118">
      <x:c r="A118" s="17" t="str">
        <x:v>pg</x:v>
      </x:c>
      <x:c r="B118" s="17" t="str">
        <x:v>多聚半乳糖醛酸酶活性</x:v>
      </x:c>
      <x:c r="C118" s="17" t="str">
        <x:v>U/kg</x:v>
      </x:c>
      <x:c r="D118" s="17" t="str">
        <x:v>lower_better</x:v>
      </x:c>
      <x:c r="E118" s="18" t="n">
        <x:v>0</x:v>
      </x:c>
      <x:c r="F118" s="17" t="str">
        <x:v>MF</x:v>
      </x:c>
      <x:c r="G118" s="17" t="n">
        <x:v>3</x:v>
      </x:c>
      <x:c r="H118" s="19" t="n">
        <x:v>4.9</x:v>
      </x:c>
      <x:c r="I118" s="17" t="str">
        <x:v>多聚半乳糖醛酸酶活性 (PG activity, U-kg).xlsx</x:v>
      </x:c>
      <x:c r="J118" s="17" t="str">
        <x:v>多聚半乳糖醛酸酶活性 (PG activity, U-kg)</x:v>
      </x:c>
      <x:c r="K118" s="17" t="str">
        <x:v>G3</x:v>
      </x:c>
    </x:row>
    <x:row r="119">
      <x:c r="A119" s="17" t="str">
        <x:v>pg</x:v>
      </x:c>
      <x:c r="B119" s="17" t="str">
        <x:v>多聚半乳糖醛酸酶活性</x:v>
      </x:c>
      <x:c r="C119" s="17" t="str">
        <x:v>U/kg</x:v>
      </x:c>
      <x:c r="D119" s="17" t="str">
        <x:v>lower_better</x:v>
      </x:c>
      <x:c r="E119" s="18" t="n">
        <x:v>3</x:v>
      </x:c>
      <x:c r="F119" s="17" t="str">
        <x:v>CR</x:v>
      </x:c>
      <x:c r="G119" s="17" t="n">
        <x:v>1</x:v>
      </x:c>
      <x:c r="H119" s="19" t="n">
        <x:v>8.5</x:v>
      </x:c>
      <x:c r="I119" s="17" t="str">
        <x:v>多聚半乳糖醛酸酶活性 (PG activity, U-kg).xlsx</x:v>
      </x:c>
      <x:c r="J119" s="17" t="str">
        <x:v>多聚半乳糖醛酸酶活性 (PG activity, U-kg)</x:v>
      </x:c>
      <x:c r="K119" s="17" t="str">
        <x:v>B4</x:v>
      </x:c>
    </x:row>
    <x:row r="120">
      <x:c r="A120" s="17" t="str">
        <x:v>pg</x:v>
      </x:c>
      <x:c r="B120" s="17" t="str">
        <x:v>多聚半乳糖醛酸酶活性</x:v>
      </x:c>
      <x:c r="C120" s="17" t="str">
        <x:v>U/kg</x:v>
      </x:c>
      <x:c r="D120" s="17" t="str">
        <x:v>lower_better</x:v>
      </x:c>
      <x:c r="E120" s="18" t="n">
        <x:v>3</x:v>
      </x:c>
      <x:c r="F120" s="17" t="str">
        <x:v>CR</x:v>
      </x:c>
      <x:c r="G120" s="17" t="n">
        <x:v>2</x:v>
      </x:c>
      <x:c r="H120" s="19" t="n">
        <x:v>8.6</x:v>
      </x:c>
      <x:c r="I120" s="17" t="str">
        <x:v>多聚半乳糖醛酸酶活性 (PG activity, U-kg).xlsx</x:v>
      </x:c>
      <x:c r="J120" s="17" t="str">
        <x:v>多聚半乳糖醛酸酶活性 (PG activity, U-kg)</x:v>
      </x:c>
      <x:c r="K120" s="17" t="str">
        <x:v>C4</x:v>
      </x:c>
    </x:row>
    <x:row r="121">
      <x:c r="A121" s="17" t="str">
        <x:v>pg</x:v>
      </x:c>
      <x:c r="B121" s="17" t="str">
        <x:v>多聚半乳糖醛酸酶活性</x:v>
      </x:c>
      <x:c r="C121" s="17" t="str">
        <x:v>U/kg</x:v>
      </x:c>
      <x:c r="D121" s="17" t="str">
        <x:v>lower_better</x:v>
      </x:c>
      <x:c r="E121" s="18" t="n">
        <x:v>3</x:v>
      </x:c>
      <x:c r="F121" s="17" t="str">
        <x:v>CR</x:v>
      </x:c>
      <x:c r="G121" s="17" t="n">
        <x:v>3</x:v>
      </x:c>
      <x:c r="H121" s="19" t="n">
        <x:v>8.4</x:v>
      </x:c>
      <x:c r="I121" s="17" t="str">
        <x:v>多聚半乳糖醛酸酶活性 (PG activity, U-kg).xlsx</x:v>
      </x:c>
      <x:c r="J121" s="17" t="str">
        <x:v>多聚半乳糖醛酸酶活性 (PG activity, U-kg)</x:v>
      </x:c>
      <x:c r="K121" s="17" t="str">
        <x:v>D4</x:v>
      </x:c>
    </x:row>
    <x:row r="122">
      <x:c r="A122" s="17" t="str">
        <x:v>pg</x:v>
      </x:c>
      <x:c r="B122" s="17" t="str">
        <x:v>多聚半乳糖醛酸酶活性</x:v>
      </x:c>
      <x:c r="C122" s="17" t="str">
        <x:v>U/kg</x:v>
      </x:c>
      <x:c r="D122" s="17" t="str">
        <x:v>lower_better</x:v>
      </x:c>
      <x:c r="E122" s="18" t="n">
        <x:v>3</x:v>
      </x:c>
      <x:c r="F122" s="17" t="str">
        <x:v>MF</x:v>
      </x:c>
      <x:c r="G122" s="17" t="n">
        <x:v>1</x:v>
      </x:c>
      <x:c r="H122" s="19" t="n">
        <x:v>6.5</x:v>
      </x:c>
      <x:c r="I122" s="17" t="str">
        <x:v>多聚半乳糖醛酸酶活性 (PG activity, U-kg).xlsx</x:v>
      </x:c>
      <x:c r="J122" s="17" t="str">
        <x:v>多聚半乳糖醛酸酶活性 (PG activity, U-kg)</x:v>
      </x:c>
      <x:c r="K122" s="17" t="str">
        <x:v>E4</x:v>
      </x:c>
    </x:row>
    <x:row r="123">
      <x:c r="A123" s="17" t="str">
        <x:v>pg</x:v>
      </x:c>
      <x:c r="B123" s="17" t="str">
        <x:v>多聚半乳糖醛酸酶活性</x:v>
      </x:c>
      <x:c r="C123" s="17" t="str">
        <x:v>U/kg</x:v>
      </x:c>
      <x:c r="D123" s="17" t="str">
        <x:v>lower_better</x:v>
      </x:c>
      <x:c r="E123" s="18" t="n">
        <x:v>3</x:v>
      </x:c>
      <x:c r="F123" s="17" t="str">
        <x:v>MF</x:v>
      </x:c>
      <x:c r="G123" s="17" t="n">
        <x:v>2</x:v>
      </x:c>
      <x:c r="H123" s="19" t="n">
        <x:v>6.6</x:v>
      </x:c>
      <x:c r="I123" s="17" t="str">
        <x:v>多聚半乳糖醛酸酶活性 (PG activity, U-kg).xlsx</x:v>
      </x:c>
      <x:c r="J123" s="17" t="str">
        <x:v>多聚半乳糖醛酸酶活性 (PG activity, U-kg)</x:v>
      </x:c>
      <x:c r="K123" s="17" t="str">
        <x:v>F4</x:v>
      </x:c>
    </x:row>
    <x:row r="124">
      <x:c r="A124" s="17" t="str">
        <x:v>pg</x:v>
      </x:c>
      <x:c r="B124" s="17" t="str">
        <x:v>多聚半乳糖醛酸酶活性</x:v>
      </x:c>
      <x:c r="C124" s="17" t="str">
        <x:v>U/kg</x:v>
      </x:c>
      <x:c r="D124" s="17" t="str">
        <x:v>lower_better</x:v>
      </x:c>
      <x:c r="E124" s="18" t="n">
        <x:v>3</x:v>
      </x:c>
      <x:c r="F124" s="17" t="str">
        <x:v>MF</x:v>
      </x:c>
      <x:c r="G124" s="17" t="n">
        <x:v>3</x:v>
      </x:c>
      <x:c r="H124" s="19" t="n">
        <x:v>6.4</x:v>
      </x:c>
      <x:c r="I124" s="17" t="str">
        <x:v>多聚半乳糖醛酸酶活性 (PG activity, U-kg).xlsx</x:v>
      </x:c>
      <x:c r="J124" s="17" t="str">
        <x:v>多聚半乳糖醛酸酶活性 (PG activity, U-kg)</x:v>
      </x:c>
      <x:c r="K124" s="17" t="str">
        <x:v>G4</x:v>
      </x:c>
    </x:row>
    <x:row r="125">
      <x:c r="A125" s="17" t="str">
        <x:v>pg</x:v>
      </x:c>
      <x:c r="B125" s="17" t="str">
        <x:v>多聚半乳糖醛酸酶活性</x:v>
      </x:c>
      <x:c r="C125" s="17" t="str">
        <x:v>U/kg</x:v>
      </x:c>
      <x:c r="D125" s="17" t="str">
        <x:v>lower_better</x:v>
      </x:c>
      <x:c r="E125" s="18" t="n">
        <x:v>6</x:v>
      </x:c>
      <x:c r="F125" s="17" t="str">
        <x:v>CR</x:v>
      </x:c>
      <x:c r="G125" s="17" t="n">
        <x:v>1</x:v>
      </x:c>
      <x:c r="H125" s="19" t="n">
        <x:v>12</x:v>
      </x:c>
      <x:c r="I125" s="17" t="str">
        <x:v>多聚半乳糖醛酸酶活性 (PG activity, U-kg).xlsx</x:v>
      </x:c>
      <x:c r="J125" s="17" t="str">
        <x:v>多聚半乳糖醛酸酶活性 (PG activity, U-kg)</x:v>
      </x:c>
      <x:c r="K125" s="17" t="str">
        <x:v>B5</x:v>
      </x:c>
    </x:row>
    <x:row r="126">
      <x:c r="A126" s="17" t="str">
        <x:v>pg</x:v>
      </x:c>
      <x:c r="B126" s="17" t="str">
        <x:v>多聚半乳糖醛酸酶活性</x:v>
      </x:c>
      <x:c r="C126" s="17" t="str">
        <x:v>U/kg</x:v>
      </x:c>
      <x:c r="D126" s="17" t="str">
        <x:v>lower_better</x:v>
      </x:c>
      <x:c r="E126" s="18" t="n">
        <x:v>6</x:v>
      </x:c>
      <x:c r="F126" s="17" t="str">
        <x:v>CR</x:v>
      </x:c>
      <x:c r="G126" s="17" t="n">
        <x:v>2</x:v>
      </x:c>
      <x:c r="H126" s="19" t="n">
        <x:v>12.1</x:v>
      </x:c>
      <x:c r="I126" s="17" t="str">
        <x:v>多聚半乳糖醛酸酶活性 (PG activity, U-kg).xlsx</x:v>
      </x:c>
      <x:c r="J126" s="17" t="str">
        <x:v>多聚半乳糖醛酸酶活性 (PG activity, U-kg)</x:v>
      </x:c>
      <x:c r="K126" s="17" t="str">
        <x:v>C5</x:v>
      </x:c>
    </x:row>
    <x:row r="127">
      <x:c r="A127" s="17" t="str">
        <x:v>pg</x:v>
      </x:c>
      <x:c r="B127" s="17" t="str">
        <x:v>多聚半乳糖醛酸酶活性</x:v>
      </x:c>
      <x:c r="C127" s="17" t="str">
        <x:v>U/kg</x:v>
      </x:c>
      <x:c r="D127" s="17" t="str">
        <x:v>lower_better</x:v>
      </x:c>
      <x:c r="E127" s="18" t="n">
        <x:v>6</x:v>
      </x:c>
      <x:c r="F127" s="17" t="str">
        <x:v>CR</x:v>
      </x:c>
      <x:c r="G127" s="17" t="n">
        <x:v>3</x:v>
      </x:c>
      <x:c r="H127" s="19" t="n">
        <x:v>11.9</x:v>
      </x:c>
      <x:c r="I127" s="17" t="str">
        <x:v>多聚半乳糖醛酸酶活性 (PG activity, U-kg).xlsx</x:v>
      </x:c>
      <x:c r="J127" s="17" t="str">
        <x:v>多聚半乳糖醛酸酶活性 (PG activity, U-kg)</x:v>
      </x:c>
      <x:c r="K127" s="17" t="str">
        <x:v>D5</x:v>
      </x:c>
    </x:row>
    <x:row r="128">
      <x:c r="A128" s="17" t="str">
        <x:v>pg</x:v>
      </x:c>
      <x:c r="B128" s="17" t="str">
        <x:v>多聚半乳糖醛酸酶活性</x:v>
      </x:c>
      <x:c r="C128" s="17" t="str">
        <x:v>U/kg</x:v>
      </x:c>
      <x:c r="D128" s="17" t="str">
        <x:v>lower_better</x:v>
      </x:c>
      <x:c r="E128" s="18" t="n">
        <x:v>6</x:v>
      </x:c>
      <x:c r="F128" s="17" t="str">
        <x:v>MF</x:v>
      </x:c>
      <x:c r="G128" s="17" t="n">
        <x:v>1</x:v>
      </x:c>
      <x:c r="H128" s="19" t="n">
        <x:v>8.8</x:v>
      </x:c>
      <x:c r="I128" s="17" t="str">
        <x:v>多聚半乳糖醛酸酶活性 (PG activity, U-kg).xlsx</x:v>
      </x:c>
      <x:c r="J128" s="17" t="str">
        <x:v>多聚半乳糖醛酸酶活性 (PG activity, U-kg)</x:v>
      </x:c>
      <x:c r="K128" s="17" t="str">
        <x:v>E5</x:v>
      </x:c>
    </x:row>
    <x:row r="129">
      <x:c r="A129" s="17" t="str">
        <x:v>pg</x:v>
      </x:c>
      <x:c r="B129" s="17" t="str">
        <x:v>多聚半乳糖醛酸酶活性</x:v>
      </x:c>
      <x:c r="C129" s="17" t="str">
        <x:v>U/kg</x:v>
      </x:c>
      <x:c r="D129" s="17" t="str">
        <x:v>lower_better</x:v>
      </x:c>
      <x:c r="E129" s="18" t="n">
        <x:v>6</x:v>
      </x:c>
      <x:c r="F129" s="17" t="str">
        <x:v>MF</x:v>
      </x:c>
      <x:c r="G129" s="17" t="n">
        <x:v>2</x:v>
      </x:c>
      <x:c r="H129" s="19" t="n">
        <x:v>8.9</x:v>
      </x:c>
      <x:c r="I129" s="17" t="str">
        <x:v>多聚半乳糖醛酸酶活性 (PG activity, U-kg).xlsx</x:v>
      </x:c>
      <x:c r="J129" s="17" t="str">
        <x:v>多聚半乳糖醛酸酶活性 (PG activity, U-kg)</x:v>
      </x:c>
      <x:c r="K129" s="17" t="str">
        <x:v>F5</x:v>
      </x:c>
    </x:row>
    <x:row r="130">
      <x:c r="A130" s="17" t="str">
        <x:v>pg</x:v>
      </x:c>
      <x:c r="B130" s="17" t="str">
        <x:v>多聚半乳糖醛酸酶活性</x:v>
      </x:c>
      <x:c r="C130" s="17" t="str">
        <x:v>U/kg</x:v>
      </x:c>
      <x:c r="D130" s="17" t="str">
        <x:v>lower_better</x:v>
      </x:c>
      <x:c r="E130" s="18" t="n">
        <x:v>6</x:v>
      </x:c>
      <x:c r="F130" s="17" t="str">
        <x:v>MF</x:v>
      </x:c>
      <x:c r="G130" s="17" t="n">
        <x:v>3</x:v>
      </x:c>
      <x:c r="H130" s="19" t="n">
        <x:v>8.7</x:v>
      </x:c>
      <x:c r="I130" s="17" t="str">
        <x:v>多聚半乳糖醛酸酶活性 (PG activity, U-kg).xlsx</x:v>
      </x:c>
      <x:c r="J130" s="17" t="str">
        <x:v>多聚半乳糖醛酸酶活性 (PG activity, U-kg)</x:v>
      </x:c>
      <x:c r="K130" s="17" t="str">
        <x:v>G5</x:v>
      </x:c>
    </x:row>
    <x:row r="131">
      <x:c r="A131" s="17" t="str">
        <x:v>pg</x:v>
      </x:c>
      <x:c r="B131" s="17" t="str">
        <x:v>多聚半乳糖醛酸酶活性</x:v>
      </x:c>
      <x:c r="C131" s="17" t="str">
        <x:v>U/kg</x:v>
      </x:c>
      <x:c r="D131" s="17" t="str">
        <x:v>lower_better</x:v>
      </x:c>
      <x:c r="E131" s="18" t="n">
        <x:v>9</x:v>
      </x:c>
      <x:c r="F131" s="17" t="str">
        <x:v>CR</x:v>
      </x:c>
      <x:c r="G131" s="17" t="n">
        <x:v>1</x:v>
      </x:c>
      <x:c r="H131" s="19" t="n">
        <x:v>16.5</x:v>
      </x:c>
      <x:c r="I131" s="17" t="str">
        <x:v>多聚半乳糖醛酸酶活性 (PG activity, U-kg).xlsx</x:v>
      </x:c>
      <x:c r="J131" s="17" t="str">
        <x:v>多聚半乳糖醛酸酶活性 (PG activity, U-kg)</x:v>
      </x:c>
      <x:c r="K131" s="17" t="str">
        <x:v>B6</x:v>
      </x:c>
    </x:row>
    <x:row r="132">
      <x:c r="A132" s="17" t="str">
        <x:v>pg</x:v>
      </x:c>
      <x:c r="B132" s="17" t="str">
        <x:v>多聚半乳糖醛酸酶活性</x:v>
      </x:c>
      <x:c r="C132" s="17" t="str">
        <x:v>U/kg</x:v>
      </x:c>
      <x:c r="D132" s="17" t="str">
        <x:v>lower_better</x:v>
      </x:c>
      <x:c r="E132" s="18" t="n">
        <x:v>9</x:v>
      </x:c>
      <x:c r="F132" s="17" t="str">
        <x:v>CR</x:v>
      </x:c>
      <x:c r="G132" s="17" t="n">
        <x:v>2</x:v>
      </x:c>
      <x:c r="H132" s="19" t="n">
        <x:v>16.6</x:v>
      </x:c>
      <x:c r="I132" s="17" t="str">
        <x:v>多聚半乳糖醛酸酶活性 (PG activity, U-kg).xlsx</x:v>
      </x:c>
      <x:c r="J132" s="17" t="str">
        <x:v>多聚半乳糖醛酸酶活性 (PG activity, U-kg)</x:v>
      </x:c>
      <x:c r="K132" s="17" t="str">
        <x:v>C6</x:v>
      </x:c>
    </x:row>
    <x:row r="133">
      <x:c r="A133" s="17" t="str">
        <x:v>pg</x:v>
      </x:c>
      <x:c r="B133" s="17" t="str">
        <x:v>多聚半乳糖醛酸酶活性</x:v>
      </x:c>
      <x:c r="C133" s="17" t="str">
        <x:v>U/kg</x:v>
      </x:c>
      <x:c r="D133" s="17" t="str">
        <x:v>lower_better</x:v>
      </x:c>
      <x:c r="E133" s="18" t="n">
        <x:v>9</x:v>
      </x:c>
      <x:c r="F133" s="17" t="str">
        <x:v>CR</x:v>
      </x:c>
      <x:c r="G133" s="17" t="n">
        <x:v>3</x:v>
      </x:c>
      <x:c r="H133" s="19" t="n">
        <x:v>16.4</x:v>
      </x:c>
      <x:c r="I133" s="17" t="str">
        <x:v>多聚半乳糖醛酸酶活性 (PG activity, U-kg).xlsx</x:v>
      </x:c>
      <x:c r="J133" s="17" t="str">
        <x:v>多聚半乳糖醛酸酶活性 (PG activity, U-kg)</x:v>
      </x:c>
      <x:c r="K133" s="17" t="str">
        <x:v>D6</x:v>
      </x:c>
    </x:row>
    <x:row r="134">
      <x:c r="A134" s="17" t="str">
        <x:v>pg</x:v>
      </x:c>
      <x:c r="B134" s="17" t="str">
        <x:v>多聚半乳糖醛酸酶活性</x:v>
      </x:c>
      <x:c r="C134" s="17" t="str">
        <x:v>U/kg</x:v>
      </x:c>
      <x:c r="D134" s="17" t="str">
        <x:v>lower_better</x:v>
      </x:c>
      <x:c r="E134" s="18" t="n">
        <x:v>9</x:v>
      </x:c>
      <x:c r="F134" s="17" t="str">
        <x:v>MF</x:v>
      </x:c>
      <x:c r="G134" s="17" t="n">
        <x:v>1</x:v>
      </x:c>
      <x:c r="H134" s="19" t="n">
        <x:v>11</x:v>
      </x:c>
      <x:c r="I134" s="17" t="str">
        <x:v>多聚半乳糖醛酸酶活性 (PG activity, U-kg).xlsx</x:v>
      </x:c>
      <x:c r="J134" s="17" t="str">
        <x:v>多聚半乳糖醛酸酶活性 (PG activity, U-kg)</x:v>
      </x:c>
      <x:c r="K134" s="17" t="str">
        <x:v>E6</x:v>
      </x:c>
    </x:row>
    <x:row r="135">
      <x:c r="A135" s="17" t="str">
        <x:v>pg</x:v>
      </x:c>
      <x:c r="B135" s="17" t="str">
        <x:v>多聚半乳糖醛酸酶活性</x:v>
      </x:c>
      <x:c r="C135" s="17" t="str">
        <x:v>U/kg</x:v>
      </x:c>
      <x:c r="D135" s="17" t="str">
        <x:v>lower_better</x:v>
      </x:c>
      <x:c r="E135" s="18" t="n">
        <x:v>9</x:v>
      </x:c>
      <x:c r="F135" s="17" t="str">
        <x:v>MF</x:v>
      </x:c>
      <x:c r="G135" s="17" t="n">
        <x:v>2</x:v>
      </x:c>
      <x:c r="H135" s="19" t="n">
        <x:v>11.1</x:v>
      </x:c>
      <x:c r="I135" s="17" t="str">
        <x:v>多聚半乳糖醛酸酶活性 (PG activity, U-kg).xlsx</x:v>
      </x:c>
      <x:c r="J135" s="17" t="str">
        <x:v>多聚半乳糖醛酸酶活性 (PG activity, U-kg)</x:v>
      </x:c>
      <x:c r="K135" s="17" t="str">
        <x:v>F6</x:v>
      </x:c>
    </x:row>
    <x:row r="136">
      <x:c r="A136" s="17" t="str">
        <x:v>pg</x:v>
      </x:c>
      <x:c r="B136" s="17" t="str">
        <x:v>多聚半乳糖醛酸酶活性</x:v>
      </x:c>
      <x:c r="C136" s="17" t="str">
        <x:v>U/kg</x:v>
      </x:c>
      <x:c r="D136" s="17" t="str">
        <x:v>lower_better</x:v>
      </x:c>
      <x:c r="E136" s="18" t="n">
        <x:v>9</x:v>
      </x:c>
      <x:c r="F136" s="17" t="str">
        <x:v>MF</x:v>
      </x:c>
      <x:c r="G136" s="17" t="n">
        <x:v>3</x:v>
      </x:c>
      <x:c r="H136" s="19" t="n">
        <x:v>10.9</x:v>
      </x:c>
      <x:c r="I136" s="17" t="str">
        <x:v>多聚半乳糖醛酸酶活性 (PG activity, U-kg).xlsx</x:v>
      </x:c>
      <x:c r="J136" s="17" t="str">
        <x:v>多聚半乳糖醛酸酶活性 (PG activity, U-kg)</x:v>
      </x:c>
      <x:c r="K136" s="17" t="str">
        <x:v>G6</x:v>
      </x:c>
    </x:row>
    <x:row r="137">
      <x:c r="A137" s="17" t="str">
        <x:v>pg</x:v>
      </x:c>
      <x:c r="B137" s="17" t="str">
        <x:v>多聚半乳糖醛酸酶活性</x:v>
      </x:c>
      <x:c r="C137" s="17" t="str">
        <x:v>U/kg</x:v>
      </x:c>
      <x:c r="D137" s="17" t="str">
        <x:v>lower_better</x:v>
      </x:c>
      <x:c r="E137" s="18" t="n">
        <x:v>12</x:v>
      </x:c>
      <x:c r="F137" s="17" t="str">
        <x:v>CR</x:v>
      </x:c>
      <x:c r="G137" s="17" t="n">
        <x:v>1</x:v>
      </x:c>
      <x:c r="H137" s="19" t="n">
        <x:v>21</x:v>
      </x:c>
      <x:c r="I137" s="17" t="str">
        <x:v>多聚半乳糖醛酸酶活性 (PG activity, U-kg).xlsx</x:v>
      </x:c>
      <x:c r="J137" s="17" t="str">
        <x:v>多聚半乳糖醛酸酶活性 (PG activity, U-kg)</x:v>
      </x:c>
      <x:c r="K137" s="17" t="str">
        <x:v>B7</x:v>
      </x:c>
    </x:row>
    <x:row r="138">
      <x:c r="A138" s="17" t="str">
        <x:v>pg</x:v>
      </x:c>
      <x:c r="B138" s="17" t="str">
        <x:v>多聚半乳糖醛酸酶活性</x:v>
      </x:c>
      <x:c r="C138" s="17" t="str">
        <x:v>U/kg</x:v>
      </x:c>
      <x:c r="D138" s="17" t="str">
        <x:v>lower_better</x:v>
      </x:c>
      <x:c r="E138" s="18" t="n">
        <x:v>12</x:v>
      </x:c>
      <x:c r="F138" s="17" t="str">
        <x:v>CR</x:v>
      </x:c>
      <x:c r="G138" s="17" t="n">
        <x:v>2</x:v>
      </x:c>
      <x:c r="H138" s="19" t="n">
        <x:v>21.1</x:v>
      </x:c>
      <x:c r="I138" s="17" t="str">
        <x:v>多聚半乳糖醛酸酶活性 (PG activity, U-kg).xlsx</x:v>
      </x:c>
      <x:c r="J138" s="17" t="str">
        <x:v>多聚半乳糖醛酸酶活性 (PG activity, U-kg)</x:v>
      </x:c>
      <x:c r="K138" s="17" t="str">
        <x:v>C7</x:v>
      </x:c>
    </x:row>
    <x:row r="139">
      <x:c r="A139" s="17" t="str">
        <x:v>pg</x:v>
      </x:c>
      <x:c r="B139" s="17" t="str">
        <x:v>多聚半乳糖醛酸酶活性</x:v>
      </x:c>
      <x:c r="C139" s="17" t="str">
        <x:v>U/kg</x:v>
      </x:c>
      <x:c r="D139" s="17" t="str">
        <x:v>lower_better</x:v>
      </x:c>
      <x:c r="E139" s="18" t="n">
        <x:v>12</x:v>
      </x:c>
      <x:c r="F139" s="17" t="str">
        <x:v>CR</x:v>
      </x:c>
      <x:c r="G139" s="17" t="n">
        <x:v>3</x:v>
      </x:c>
      <x:c r="H139" s="19" t="n">
        <x:v>20.9</x:v>
      </x:c>
      <x:c r="I139" s="17" t="str">
        <x:v>多聚半乳糖醛酸酶活性 (PG activity, U-kg).xlsx</x:v>
      </x:c>
      <x:c r="J139" s="17" t="str">
        <x:v>多聚半乳糖醛酸酶活性 (PG activity, U-kg)</x:v>
      </x:c>
      <x:c r="K139" s="17" t="str">
        <x:v>D7</x:v>
      </x:c>
    </x:row>
    <x:row r="140">
      <x:c r="A140" s="17" t="str">
        <x:v>pg</x:v>
      </x:c>
      <x:c r="B140" s="17" t="str">
        <x:v>多聚半乳糖醛酸酶活性</x:v>
      </x:c>
      <x:c r="C140" s="17" t="str">
        <x:v>U/kg</x:v>
      </x:c>
      <x:c r="D140" s="17" t="str">
        <x:v>lower_better</x:v>
      </x:c>
      <x:c r="E140" s="18" t="n">
        <x:v>12</x:v>
      </x:c>
      <x:c r="F140" s="17" t="str">
        <x:v>MF</x:v>
      </x:c>
      <x:c r="G140" s="17" t="n">
        <x:v>1</x:v>
      </x:c>
      <x:c r="H140" s="19" t="n">
        <x:v>14.5</x:v>
      </x:c>
      <x:c r="I140" s="17" t="str">
        <x:v>多聚半乳糖醛酸酶活性 (PG activity, U-kg).xlsx</x:v>
      </x:c>
      <x:c r="J140" s="17" t="str">
        <x:v>多聚半乳糖醛酸酶活性 (PG activity, U-kg)</x:v>
      </x:c>
      <x:c r="K140" s="17" t="str">
        <x:v>E7</x:v>
      </x:c>
    </x:row>
    <x:row r="141">
      <x:c r="A141" s="17" t="str">
        <x:v>pg</x:v>
      </x:c>
      <x:c r="B141" s="17" t="str">
        <x:v>多聚半乳糖醛酸酶活性</x:v>
      </x:c>
      <x:c r="C141" s="17" t="str">
        <x:v>U/kg</x:v>
      </x:c>
      <x:c r="D141" s="17" t="str">
        <x:v>lower_better</x:v>
      </x:c>
      <x:c r="E141" s="18" t="n">
        <x:v>12</x:v>
      </x:c>
      <x:c r="F141" s="17" t="str">
        <x:v>MF</x:v>
      </x:c>
      <x:c r="G141" s="17" t="n">
        <x:v>2</x:v>
      </x:c>
      <x:c r="H141" s="19" t="n">
        <x:v>14.6</x:v>
      </x:c>
      <x:c r="I141" s="17" t="str">
        <x:v>多聚半乳糖醛酸酶活性 (PG activity, U-kg).xlsx</x:v>
      </x:c>
      <x:c r="J141" s="17" t="str">
        <x:v>多聚半乳糖醛酸酶活性 (PG activity, U-kg)</x:v>
      </x:c>
      <x:c r="K141" s="17" t="str">
        <x:v>F7</x:v>
      </x:c>
    </x:row>
    <x:row r="142">
      <x:c r="A142" s="17" t="str">
        <x:v>pg</x:v>
      </x:c>
      <x:c r="B142" s="17" t="str">
        <x:v>多聚半乳糖醛酸酶活性</x:v>
      </x:c>
      <x:c r="C142" s="17" t="str">
        <x:v>U/kg</x:v>
      </x:c>
      <x:c r="D142" s="17" t="str">
        <x:v>lower_better</x:v>
      </x:c>
      <x:c r="E142" s="18" t="n">
        <x:v>12</x:v>
      </x:c>
      <x:c r="F142" s="17" t="str">
        <x:v>MF</x:v>
      </x:c>
      <x:c r="G142" s="17" t="n">
        <x:v>3</x:v>
      </x:c>
      <x:c r="H142" s="19" t="n">
        <x:v>14.4</x:v>
      </x:c>
      <x:c r="I142" s="17" t="str">
        <x:v>多聚半乳糖醛酸酶活性 (PG activity, U-kg).xlsx</x:v>
      </x:c>
      <x:c r="J142" s="17" t="str">
        <x:v>多聚半乳糖醛酸酶活性 (PG activity, U-kg)</x:v>
      </x:c>
      <x:c r="K142" s="17" t="str">
        <x:v>G7</x:v>
      </x:c>
    </x:row>
    <x:row r="143">
      <x:c r="A143" s="17" t="str">
        <x:v>pg</x:v>
      </x:c>
      <x:c r="B143" s="17" t="str">
        <x:v>多聚半乳糖醛酸酶活性</x:v>
      </x:c>
      <x:c r="C143" s="17" t="str">
        <x:v>U/kg</x:v>
      </x:c>
      <x:c r="D143" s="17" t="str">
        <x:v>lower_better</x:v>
      </x:c>
      <x:c r="E143" s="18" t="n">
        <x:v>15</x:v>
      </x:c>
      <x:c r="F143" s="17" t="str">
        <x:v>CR</x:v>
      </x:c>
      <x:c r="G143" s="17" t="n">
        <x:v>1</x:v>
      </x:c>
      <x:c r="H143" s="19" t="n">
        <x:v>26</x:v>
      </x:c>
      <x:c r="I143" s="17" t="str">
        <x:v>多聚半乳糖醛酸酶活性 (PG activity, U-kg).xlsx</x:v>
      </x:c>
      <x:c r="J143" s="17" t="str">
        <x:v>多聚半乳糖醛酸酶活性 (PG activity, U-kg)</x:v>
      </x:c>
      <x:c r="K143" s="17" t="str">
        <x:v>B8</x:v>
      </x:c>
    </x:row>
    <x:row r="144">
      <x:c r="A144" s="17" t="str">
        <x:v>pg</x:v>
      </x:c>
      <x:c r="B144" s="17" t="str">
        <x:v>多聚半乳糖醛酸酶活性</x:v>
      </x:c>
      <x:c r="C144" s="17" t="str">
        <x:v>U/kg</x:v>
      </x:c>
      <x:c r="D144" s="17" t="str">
        <x:v>lower_better</x:v>
      </x:c>
      <x:c r="E144" s="18" t="n">
        <x:v>15</x:v>
      </x:c>
      <x:c r="F144" s="17" t="str">
        <x:v>CR</x:v>
      </x:c>
      <x:c r="G144" s="17" t="n">
        <x:v>2</x:v>
      </x:c>
      <x:c r="H144" s="19" t="n">
        <x:v>26.1</x:v>
      </x:c>
      <x:c r="I144" s="17" t="str">
        <x:v>多聚半乳糖醛酸酶活性 (PG activity, U-kg).xlsx</x:v>
      </x:c>
      <x:c r="J144" s="17" t="str">
        <x:v>多聚半乳糖醛酸酶活性 (PG activity, U-kg)</x:v>
      </x:c>
      <x:c r="K144" s="17" t="str">
        <x:v>C8</x:v>
      </x:c>
    </x:row>
    <x:row r="145">
      <x:c r="A145" s="17" t="str">
        <x:v>pg</x:v>
      </x:c>
      <x:c r="B145" s="17" t="str">
        <x:v>多聚半乳糖醛酸酶活性</x:v>
      </x:c>
      <x:c r="C145" s="17" t="str">
        <x:v>U/kg</x:v>
      </x:c>
      <x:c r="D145" s="17" t="str">
        <x:v>lower_better</x:v>
      </x:c>
      <x:c r="E145" s="18" t="n">
        <x:v>15</x:v>
      </x:c>
      <x:c r="F145" s="17" t="str">
        <x:v>CR</x:v>
      </x:c>
      <x:c r="G145" s="17" t="n">
        <x:v>3</x:v>
      </x:c>
      <x:c r="H145" s="19" t="n">
        <x:v>25.9</x:v>
      </x:c>
      <x:c r="I145" s="17" t="str">
        <x:v>多聚半乳糖醛酸酶活性 (PG activity, U-kg).xlsx</x:v>
      </x:c>
      <x:c r="J145" s="17" t="str">
        <x:v>多聚半乳糖醛酸酶活性 (PG activity, U-kg)</x:v>
      </x:c>
      <x:c r="K145" s="17" t="str">
        <x:v>D8</x:v>
      </x:c>
    </x:row>
    <x:row r="146">
      <x:c r="A146" s="17" t="str">
        <x:v>pg</x:v>
      </x:c>
      <x:c r="B146" s="17" t="str">
        <x:v>多聚半乳糖醛酸酶活性</x:v>
      </x:c>
      <x:c r="C146" s="17" t="str">
        <x:v>U/kg</x:v>
      </x:c>
      <x:c r="D146" s="17" t="str">
        <x:v>lower_better</x:v>
      </x:c>
      <x:c r="E146" s="18" t="n">
        <x:v>15</x:v>
      </x:c>
      <x:c r="F146" s="17" t="str">
        <x:v>MF</x:v>
      </x:c>
      <x:c r="G146" s="17" t="n">
        <x:v>1</x:v>
      </x:c>
      <x:c r="H146" s="19" t="n">
        <x:v>16.8</x:v>
      </x:c>
      <x:c r="I146" s="17" t="str">
        <x:v>多聚半乳糖醛酸酶活性 (PG activity, U-kg).xlsx</x:v>
      </x:c>
      <x:c r="J146" s="17" t="str">
        <x:v>多聚半乳糖醛酸酶活性 (PG activity, U-kg)</x:v>
      </x:c>
      <x:c r="K146" s="17" t="str">
        <x:v>E8</x:v>
      </x:c>
    </x:row>
    <x:row r="147">
      <x:c r="A147" s="17" t="str">
        <x:v>pg</x:v>
      </x:c>
      <x:c r="B147" s="17" t="str">
        <x:v>多聚半乳糖醛酸酶活性</x:v>
      </x:c>
      <x:c r="C147" s="17" t="str">
        <x:v>U/kg</x:v>
      </x:c>
      <x:c r="D147" s="17" t="str">
        <x:v>lower_better</x:v>
      </x:c>
      <x:c r="E147" s="18" t="n">
        <x:v>15</x:v>
      </x:c>
      <x:c r="F147" s="17" t="str">
        <x:v>MF</x:v>
      </x:c>
      <x:c r="G147" s="17" t="n">
        <x:v>2</x:v>
      </x:c>
      <x:c r="H147" s="19" t="n">
        <x:v>16.9</x:v>
      </x:c>
      <x:c r="I147" s="17" t="str">
        <x:v>多聚半乳糖醛酸酶活性 (PG activity, U-kg).xlsx</x:v>
      </x:c>
      <x:c r="J147" s="17" t="str">
        <x:v>多聚半乳糖醛酸酶活性 (PG activity, U-kg)</x:v>
      </x:c>
      <x:c r="K147" s="17" t="str">
        <x:v>F8</x:v>
      </x:c>
    </x:row>
    <x:row r="148">
      <x:c r="A148" s="17" t="str">
        <x:v>pg</x:v>
      </x:c>
      <x:c r="B148" s="17" t="str">
        <x:v>多聚半乳糖醛酸酶活性</x:v>
      </x:c>
      <x:c r="C148" s="17" t="str">
        <x:v>U/kg</x:v>
      </x:c>
      <x:c r="D148" s="17" t="str">
        <x:v>lower_better</x:v>
      </x:c>
      <x:c r="E148" s="18" t="n">
        <x:v>15</x:v>
      </x:c>
      <x:c r="F148" s="17" t="str">
        <x:v>MF</x:v>
      </x:c>
      <x:c r="G148" s="17" t="n">
        <x:v>3</x:v>
      </x:c>
      <x:c r="H148" s="19" t="n">
        <x:v>16.7</x:v>
      </x:c>
      <x:c r="I148" s="17" t="str">
        <x:v>多聚半乳糖醛酸酶活性 (PG activity, U-kg).xlsx</x:v>
      </x:c>
      <x:c r="J148" s="17" t="str">
        <x:v>多聚半乳糖醛酸酶活性 (PG activity, U-kg)</x:v>
      </x:c>
      <x:c r="K148" s="17" t="str">
        <x:v>G8</x:v>
      </x:c>
    </x:row>
    <x:row r="149">
      <x:c r="A149" s="17" t="str">
        <x:v>l_star</x:v>
      </x:c>
      <x:c r="B149" s="17" t="str">
        <x:v>颜色L*</x:v>
      </x:c>
      <x:c r="C149" s="17" t="str">
        <x:v>-</x:v>
      </x:c>
      <x:c r="D149" s="17" t="str">
        <x:v>higher_better</x:v>
      </x:c>
      <x:c r="E149" s="18" t="n">
        <x:v>0</x:v>
      </x:c>
      <x:c r="F149" s="17" t="str">
        <x:v>CR</x:v>
      </x:c>
      <x:c r="G149" s="17" t="n">
        <x:v>1</x:v>
      </x:c>
      <x:c r="H149" s="19" t="n">
        <x:v>40.7</x:v>
      </x:c>
      <x:c r="I149" s="17" t="str">
        <x:v>颜色 L★ (亮度).xlsx</x:v>
      </x:c>
      <x:c r="J149" s="17" t="str">
        <x:v>颜色 L★ (亮度)</x:v>
      </x:c>
      <x:c r="K149" s="17" t="str">
        <x:v>B3</x:v>
      </x:c>
    </x:row>
    <x:row r="150">
      <x:c r="A150" s="17" t="str">
        <x:v>l_star</x:v>
      </x:c>
      <x:c r="B150" s="17" t="str">
        <x:v>颜色L*</x:v>
      </x:c>
      <x:c r="C150" s="17" t="str">
        <x:v>-</x:v>
      </x:c>
      <x:c r="D150" s="17" t="str">
        <x:v>higher_better</x:v>
      </x:c>
      <x:c r="E150" s="18" t="n">
        <x:v>0</x:v>
      </x:c>
      <x:c r="F150" s="17" t="str">
        <x:v>CR</x:v>
      </x:c>
      <x:c r="G150" s="17" t="n">
        <x:v>2</x:v>
      </x:c>
      <x:c r="H150" s="19" t="n">
        <x:v>40.5</x:v>
      </x:c>
      <x:c r="I150" s="17" t="str">
        <x:v>颜色 L★ (亮度).xlsx</x:v>
      </x:c>
      <x:c r="J150" s="17" t="str">
        <x:v>颜色 L★ (亮度)</x:v>
      </x:c>
      <x:c r="K150" s="17" t="str">
        <x:v>C3</x:v>
      </x:c>
    </x:row>
    <x:row r="151">
      <x:c r="A151" s="17" t="str">
        <x:v>l_star</x:v>
      </x:c>
      <x:c r="B151" s="17" t="str">
        <x:v>颜色L*</x:v>
      </x:c>
      <x:c r="C151" s="17" t="str">
        <x:v>-</x:v>
      </x:c>
      <x:c r="D151" s="17" t="str">
        <x:v>higher_better</x:v>
      </x:c>
      <x:c r="E151" s="18" t="n">
        <x:v>0</x:v>
      </x:c>
      <x:c r="F151" s="17" t="str">
        <x:v>CR</x:v>
      </x:c>
      <x:c r="G151" s="17" t="n">
        <x:v>3</x:v>
      </x:c>
      <x:c r="H151" s="19" t="n">
        <x:v>40.8</x:v>
      </x:c>
      <x:c r="I151" s="17" t="str">
        <x:v>颜色 L★ (亮度).xlsx</x:v>
      </x:c>
      <x:c r="J151" s="17" t="str">
        <x:v>颜色 L★ (亮度)</x:v>
      </x:c>
      <x:c r="K151" s="17" t="str">
        <x:v>D3</x:v>
      </x:c>
    </x:row>
    <x:row r="152">
      <x:c r="A152" s="17" t="str">
        <x:v>l_star</x:v>
      </x:c>
      <x:c r="B152" s="17" t="str">
        <x:v>颜色L*</x:v>
      </x:c>
      <x:c r="C152" s="17" t="str">
        <x:v>-</x:v>
      </x:c>
      <x:c r="D152" s="17" t="str">
        <x:v>higher_better</x:v>
      </x:c>
      <x:c r="E152" s="18" t="n">
        <x:v>0</x:v>
      </x:c>
      <x:c r="F152" s="17" t="str">
        <x:v>MF</x:v>
      </x:c>
      <x:c r="G152" s="17" t="n">
        <x:v>1</x:v>
      </x:c>
      <x:c r="H152" s="19" t="n">
        <x:v>40.6</x:v>
      </x:c>
      <x:c r="I152" s="17" t="str">
        <x:v>颜色 L★ (亮度).xlsx</x:v>
      </x:c>
      <x:c r="J152" s="17" t="str">
        <x:v>颜色 L★ (亮度)</x:v>
      </x:c>
      <x:c r="K152" s="17" t="str">
        <x:v>E3</x:v>
      </x:c>
    </x:row>
    <x:row r="153">
      <x:c r="A153" s="17" t="str">
        <x:v>l_star</x:v>
      </x:c>
      <x:c r="B153" s="17" t="str">
        <x:v>颜色L*</x:v>
      </x:c>
      <x:c r="C153" s="17" t="str">
        <x:v>-</x:v>
      </x:c>
      <x:c r="D153" s="17" t="str">
        <x:v>higher_better</x:v>
      </x:c>
      <x:c r="E153" s="18" t="n">
        <x:v>0</x:v>
      </x:c>
      <x:c r="F153" s="17" t="str">
        <x:v>MF</x:v>
      </x:c>
      <x:c r="G153" s="17" t="n">
        <x:v>2</x:v>
      </x:c>
      <x:c r="H153" s="19" t="n">
        <x:v>40.7</x:v>
      </x:c>
      <x:c r="I153" s="17" t="str">
        <x:v>颜色 L★ (亮度).xlsx</x:v>
      </x:c>
      <x:c r="J153" s="17" t="str">
        <x:v>颜色 L★ (亮度)</x:v>
      </x:c>
      <x:c r="K153" s="17" t="str">
        <x:v>F3</x:v>
      </x:c>
    </x:row>
    <x:row r="154">
      <x:c r="A154" s="17" t="str">
        <x:v>l_star</x:v>
      </x:c>
      <x:c r="B154" s="17" t="str">
        <x:v>颜色L*</x:v>
      </x:c>
      <x:c r="C154" s="17" t="str">
        <x:v>-</x:v>
      </x:c>
      <x:c r="D154" s="17" t="str">
        <x:v>higher_better</x:v>
      </x:c>
      <x:c r="E154" s="18" t="n">
        <x:v>0</x:v>
      </x:c>
      <x:c r="F154" s="17" t="str">
        <x:v>MF</x:v>
      </x:c>
      <x:c r="G154" s="17" t="n">
        <x:v>3</x:v>
      </x:c>
      <x:c r="H154" s="19" t="n">
        <x:v>40.5</x:v>
      </x:c>
      <x:c r="I154" s="17" t="str">
        <x:v>颜色 L★ (亮度).xlsx</x:v>
      </x:c>
      <x:c r="J154" s="17" t="str">
        <x:v>颜色 L★ (亮度)</x:v>
      </x:c>
      <x:c r="K154" s="17" t="str">
        <x:v>G3</x:v>
      </x:c>
    </x:row>
    <x:row r="155">
      <x:c r="A155" s="17" t="str">
        <x:v>l_star</x:v>
      </x:c>
      <x:c r="B155" s="17" t="str">
        <x:v>颜色L*</x:v>
      </x:c>
      <x:c r="C155" s="17" t="str">
        <x:v>-</x:v>
      </x:c>
      <x:c r="D155" s="17" t="str">
        <x:v>higher_better</x:v>
      </x:c>
      <x:c r="E155" s="18" t="n">
        <x:v>3</x:v>
      </x:c>
      <x:c r="F155" s="17" t="str">
        <x:v>CR</x:v>
      </x:c>
      <x:c r="G155" s="17" t="n">
        <x:v>1</x:v>
      </x:c>
      <x:c r="H155" s="19" t="n">
        <x:v>36.8</x:v>
      </x:c>
      <x:c r="I155" s="17" t="str">
        <x:v>颜色 L★ (亮度).xlsx</x:v>
      </x:c>
      <x:c r="J155" s="17" t="str">
        <x:v>颜色 L★ (亮度)</x:v>
      </x:c>
      <x:c r="K155" s="17" t="str">
        <x:v>B4</x:v>
      </x:c>
    </x:row>
    <x:row r="156">
      <x:c r="A156" s="17" t="str">
        <x:v>l_star</x:v>
      </x:c>
      <x:c r="B156" s="17" t="str">
        <x:v>颜色L*</x:v>
      </x:c>
      <x:c r="C156" s="17" t="str">
        <x:v>-</x:v>
      </x:c>
      <x:c r="D156" s="17" t="str">
        <x:v>higher_better</x:v>
      </x:c>
      <x:c r="E156" s="18" t="n">
        <x:v>3</x:v>
      </x:c>
      <x:c r="F156" s="17" t="str">
        <x:v>CR</x:v>
      </x:c>
      <x:c r="G156" s="17" t="n">
        <x:v>2</x:v>
      </x:c>
      <x:c r="H156" s="19" t="n">
        <x:v>36.9</x:v>
      </x:c>
      <x:c r="I156" s="17" t="str">
        <x:v>颜色 L★ (亮度).xlsx</x:v>
      </x:c>
      <x:c r="J156" s="17" t="str">
        <x:v>颜色 L★ (亮度)</x:v>
      </x:c>
      <x:c r="K156" s="17" t="str">
        <x:v>C4</x:v>
      </x:c>
    </x:row>
    <x:row r="157">
      <x:c r="A157" s="17" t="str">
        <x:v>l_star</x:v>
      </x:c>
      <x:c r="B157" s="17" t="str">
        <x:v>颜色L*</x:v>
      </x:c>
      <x:c r="C157" s="17" t="str">
        <x:v>-</x:v>
      </x:c>
      <x:c r="D157" s="17" t="str">
        <x:v>higher_better</x:v>
      </x:c>
      <x:c r="E157" s="18" t="n">
        <x:v>3</x:v>
      </x:c>
      <x:c r="F157" s="17" t="str">
        <x:v>CR</x:v>
      </x:c>
      <x:c r="G157" s="17" t="n">
        <x:v>3</x:v>
      </x:c>
      <x:c r="H157" s="19" t="n">
        <x:v>36.7</x:v>
      </x:c>
      <x:c r="I157" s="17" t="str">
        <x:v>颜色 L★ (亮度).xlsx</x:v>
      </x:c>
      <x:c r="J157" s="17" t="str">
        <x:v>颜色 L★ (亮度)</x:v>
      </x:c>
      <x:c r="K157" s="17" t="str">
        <x:v>D4</x:v>
      </x:c>
    </x:row>
    <x:row r="158">
      <x:c r="A158" s="17" t="str">
        <x:v>l_star</x:v>
      </x:c>
      <x:c r="B158" s="17" t="str">
        <x:v>颜色L*</x:v>
      </x:c>
      <x:c r="C158" s="17" t="str">
        <x:v>-</x:v>
      </x:c>
      <x:c r="D158" s="17" t="str">
        <x:v>higher_better</x:v>
      </x:c>
      <x:c r="E158" s="18" t="n">
        <x:v>3</x:v>
      </x:c>
      <x:c r="F158" s="17" t="str">
        <x:v>MF</x:v>
      </x:c>
      <x:c r="G158" s="17" t="n">
        <x:v>1</x:v>
      </x:c>
      <x:c r="H158" s="19" t="n">
        <x:v>40.2</x:v>
      </x:c>
      <x:c r="I158" s="17" t="str">
        <x:v>颜色 L★ (亮度).xlsx</x:v>
      </x:c>
      <x:c r="J158" s="17" t="str">
        <x:v>颜色 L★ (亮度)</x:v>
      </x:c>
      <x:c r="K158" s="17" t="str">
        <x:v>E4</x:v>
      </x:c>
    </x:row>
    <x:row r="159">
      <x:c r="A159" s="17" t="str">
        <x:v>l_star</x:v>
      </x:c>
      <x:c r="B159" s="17" t="str">
        <x:v>颜色L*</x:v>
      </x:c>
      <x:c r="C159" s="17" t="str">
        <x:v>-</x:v>
      </x:c>
      <x:c r="D159" s="17" t="str">
        <x:v>higher_better</x:v>
      </x:c>
      <x:c r="E159" s="18" t="n">
        <x:v>3</x:v>
      </x:c>
      <x:c r="F159" s="17" t="str">
        <x:v>MF</x:v>
      </x:c>
      <x:c r="G159" s="17" t="n">
        <x:v>2</x:v>
      </x:c>
      <x:c r="H159" s="19" t="n">
        <x:v>40.3</x:v>
      </x:c>
      <x:c r="I159" s="17" t="str">
        <x:v>颜色 L★ (亮度).xlsx</x:v>
      </x:c>
      <x:c r="J159" s="17" t="str">
        <x:v>颜色 L★ (亮度)</x:v>
      </x:c>
      <x:c r="K159" s="17" t="str">
        <x:v>F4</x:v>
      </x:c>
    </x:row>
    <x:row r="160">
      <x:c r="A160" s="17" t="str">
        <x:v>l_star</x:v>
      </x:c>
      <x:c r="B160" s="17" t="str">
        <x:v>颜色L*</x:v>
      </x:c>
      <x:c r="C160" s="17" t="str">
        <x:v>-</x:v>
      </x:c>
      <x:c r="D160" s="17" t="str">
        <x:v>higher_better</x:v>
      </x:c>
      <x:c r="E160" s="18" t="n">
        <x:v>3</x:v>
      </x:c>
      <x:c r="F160" s="17" t="str">
        <x:v>MF</x:v>
      </x:c>
      <x:c r="G160" s="17" t="n">
        <x:v>3</x:v>
      </x:c>
      <x:c r="H160" s="19" t="n">
        <x:v>40.1</x:v>
      </x:c>
      <x:c r="I160" s="17" t="str">
        <x:v>颜色 L★ (亮度).xlsx</x:v>
      </x:c>
      <x:c r="J160" s="17" t="str">
        <x:v>颜色 L★ (亮度)</x:v>
      </x:c>
      <x:c r="K160" s="17" t="str">
        <x:v>G4</x:v>
      </x:c>
    </x:row>
    <x:row r="161">
      <x:c r="A161" s="17" t="str">
        <x:v>l_star</x:v>
      </x:c>
      <x:c r="B161" s="17" t="str">
        <x:v>颜色L*</x:v>
      </x:c>
      <x:c r="C161" s="17" t="str">
        <x:v>-</x:v>
      </x:c>
      <x:c r="D161" s="17" t="str">
        <x:v>higher_better</x:v>
      </x:c>
      <x:c r="E161" s="18" t="n">
        <x:v>6</x:v>
      </x:c>
      <x:c r="F161" s="17" t="str">
        <x:v>CR</x:v>
      </x:c>
      <x:c r="G161" s="17" t="n">
        <x:v>1</x:v>
      </x:c>
      <x:c r="H161" s="19" t="n">
        <x:v>35</x:v>
      </x:c>
      <x:c r="I161" s="17" t="str">
        <x:v>颜色 L★ (亮度).xlsx</x:v>
      </x:c>
      <x:c r="J161" s="17" t="str">
        <x:v>颜色 L★ (亮度)</x:v>
      </x:c>
      <x:c r="K161" s="17" t="str">
        <x:v>B5</x:v>
      </x:c>
    </x:row>
    <x:row r="162">
      <x:c r="A162" s="17" t="str">
        <x:v>l_star</x:v>
      </x:c>
      <x:c r="B162" s="17" t="str">
        <x:v>颜色L*</x:v>
      </x:c>
      <x:c r="C162" s="17" t="str">
        <x:v>-</x:v>
      </x:c>
      <x:c r="D162" s="17" t="str">
        <x:v>higher_better</x:v>
      </x:c>
      <x:c r="E162" s="18" t="n">
        <x:v>6</x:v>
      </x:c>
      <x:c r="F162" s="17" t="str">
        <x:v>CR</x:v>
      </x:c>
      <x:c r="G162" s="17" t="n">
        <x:v>2</x:v>
      </x:c>
      <x:c r="H162" s="19" t="n">
        <x:v>35.1</x:v>
      </x:c>
      <x:c r="I162" s="17" t="str">
        <x:v>颜色 L★ (亮度).xlsx</x:v>
      </x:c>
      <x:c r="J162" s="17" t="str">
        <x:v>颜色 L★ (亮度)</x:v>
      </x:c>
      <x:c r="K162" s="17" t="str">
        <x:v>C5</x:v>
      </x:c>
    </x:row>
    <x:row r="163">
      <x:c r="A163" s="17" t="str">
        <x:v>l_star</x:v>
      </x:c>
      <x:c r="B163" s="17" t="str">
        <x:v>颜色L*</x:v>
      </x:c>
      <x:c r="C163" s="17" t="str">
        <x:v>-</x:v>
      </x:c>
      <x:c r="D163" s="17" t="str">
        <x:v>higher_better</x:v>
      </x:c>
      <x:c r="E163" s="18" t="n">
        <x:v>6</x:v>
      </x:c>
      <x:c r="F163" s="17" t="str">
        <x:v>CR</x:v>
      </x:c>
      <x:c r="G163" s="17" t="n">
        <x:v>3</x:v>
      </x:c>
      <x:c r="H163" s="19" t="n">
        <x:v>34.9</x:v>
      </x:c>
      <x:c r="I163" s="17" t="str">
        <x:v>颜色 L★ (亮度).xlsx</x:v>
      </x:c>
      <x:c r="J163" s="17" t="str">
        <x:v>颜色 L★ (亮度)</x:v>
      </x:c>
      <x:c r="K163" s="17" t="str">
        <x:v>D5</x:v>
      </x:c>
    </x:row>
    <x:row r="164">
      <x:c r="A164" s="17" t="str">
        <x:v>l_star</x:v>
      </x:c>
      <x:c r="B164" s="17" t="str">
        <x:v>颜色L*</x:v>
      </x:c>
      <x:c r="C164" s="17" t="str">
        <x:v>-</x:v>
      </x:c>
      <x:c r="D164" s="17" t="str">
        <x:v>higher_better</x:v>
      </x:c>
      <x:c r="E164" s="18" t="n">
        <x:v>6</x:v>
      </x:c>
      <x:c r="F164" s="17" t="str">
        <x:v>MF</x:v>
      </x:c>
      <x:c r="G164" s="17" t="n">
        <x:v>1</x:v>
      </x:c>
      <x:c r="H164" s="19" t="n">
        <x:v>38</x:v>
      </x:c>
      <x:c r="I164" s="17" t="str">
        <x:v>颜色 L★ (亮度).xlsx</x:v>
      </x:c>
      <x:c r="J164" s="17" t="str">
        <x:v>颜色 L★ (亮度)</x:v>
      </x:c>
      <x:c r="K164" s="17" t="str">
        <x:v>E5</x:v>
      </x:c>
    </x:row>
    <x:row r="165">
      <x:c r="A165" s="17" t="str">
        <x:v>l_star</x:v>
      </x:c>
      <x:c r="B165" s="17" t="str">
        <x:v>颜色L*</x:v>
      </x:c>
      <x:c r="C165" s="17" t="str">
        <x:v>-</x:v>
      </x:c>
      <x:c r="D165" s="17" t="str">
        <x:v>higher_better</x:v>
      </x:c>
      <x:c r="E165" s="18" t="n">
        <x:v>6</x:v>
      </x:c>
      <x:c r="F165" s="17" t="str">
        <x:v>MF</x:v>
      </x:c>
      <x:c r="G165" s="17" t="n">
        <x:v>2</x:v>
      </x:c>
      <x:c r="H165" s="19" t="n">
        <x:v>37.8</x:v>
      </x:c>
      <x:c r="I165" s="17" t="str">
        <x:v>颜色 L★ (亮度).xlsx</x:v>
      </x:c>
      <x:c r="J165" s="17" t="str">
        <x:v>颜色 L★ (亮度)</x:v>
      </x:c>
      <x:c r="K165" s="17" t="str">
        <x:v>F5</x:v>
      </x:c>
    </x:row>
    <x:row r="166">
      <x:c r="A166" s="17" t="str">
        <x:v>l_star</x:v>
      </x:c>
      <x:c r="B166" s="17" t="str">
        <x:v>颜色L*</x:v>
      </x:c>
      <x:c r="C166" s="17" t="str">
        <x:v>-</x:v>
      </x:c>
      <x:c r="D166" s="17" t="str">
        <x:v>higher_better</x:v>
      </x:c>
      <x:c r="E166" s="18" t="n">
        <x:v>6</x:v>
      </x:c>
      <x:c r="F166" s="17" t="str">
        <x:v>MF</x:v>
      </x:c>
      <x:c r="G166" s="17" t="n">
        <x:v>3</x:v>
      </x:c>
      <x:c r="H166" s="19" t="n">
        <x:v>38.2</x:v>
      </x:c>
      <x:c r="I166" s="17" t="str">
        <x:v>颜色 L★ (亮度).xlsx</x:v>
      </x:c>
      <x:c r="J166" s="17" t="str">
        <x:v>颜色 L★ (亮度)</x:v>
      </x:c>
      <x:c r="K166" s="17" t="str">
        <x:v>G5</x:v>
      </x:c>
    </x:row>
    <x:row r="167">
      <x:c r="A167" s="17" t="str">
        <x:v>l_star</x:v>
      </x:c>
      <x:c r="B167" s="17" t="str">
        <x:v>颜色L*</x:v>
      </x:c>
      <x:c r="C167" s="17" t="str">
        <x:v>-</x:v>
      </x:c>
      <x:c r="D167" s="17" t="str">
        <x:v>higher_better</x:v>
      </x:c>
      <x:c r="E167" s="18" t="n">
        <x:v>9</x:v>
      </x:c>
      <x:c r="F167" s="17" t="str">
        <x:v>CR</x:v>
      </x:c>
      <x:c r="G167" s="17" t="n">
        <x:v>1</x:v>
      </x:c>
      <x:c r="H167" s="19" t="n">
        <x:v>33.1</x:v>
      </x:c>
      <x:c r="I167" s="17" t="str">
        <x:v>颜色 L★ (亮度).xlsx</x:v>
      </x:c>
      <x:c r="J167" s="17" t="str">
        <x:v>颜色 L★ (亮度)</x:v>
      </x:c>
      <x:c r="K167" s="17" t="str">
        <x:v>B6</x:v>
      </x:c>
    </x:row>
    <x:row r="168">
      <x:c r="A168" s="17" t="str">
        <x:v>l_star</x:v>
      </x:c>
      <x:c r="B168" s="17" t="str">
        <x:v>颜色L*</x:v>
      </x:c>
      <x:c r="C168" s="17" t="str">
        <x:v>-</x:v>
      </x:c>
      <x:c r="D168" s="17" t="str">
        <x:v>higher_better</x:v>
      </x:c>
      <x:c r="E168" s="18" t="n">
        <x:v>9</x:v>
      </x:c>
      <x:c r="F168" s="17" t="str">
        <x:v>CR</x:v>
      </x:c>
      <x:c r="G168" s="17" t="n">
        <x:v>2</x:v>
      </x:c>
      <x:c r="H168" s="19" t="n">
        <x:v>33</x:v>
      </x:c>
      <x:c r="I168" s="17" t="str">
        <x:v>颜色 L★ (亮度).xlsx</x:v>
      </x:c>
      <x:c r="J168" s="17" t="str">
        <x:v>颜色 L★ (亮度)</x:v>
      </x:c>
      <x:c r="K168" s="17" t="str">
        <x:v>C6</x:v>
      </x:c>
    </x:row>
    <x:row r="169">
      <x:c r="A169" s="17" t="str">
        <x:v>l_star</x:v>
      </x:c>
      <x:c r="B169" s="17" t="str">
        <x:v>颜色L*</x:v>
      </x:c>
      <x:c r="C169" s="17" t="str">
        <x:v>-</x:v>
      </x:c>
      <x:c r="D169" s="17" t="str">
        <x:v>higher_better</x:v>
      </x:c>
      <x:c r="E169" s="18" t="n">
        <x:v>9</x:v>
      </x:c>
      <x:c r="F169" s="17" t="str">
        <x:v>CR</x:v>
      </x:c>
      <x:c r="G169" s="17" t="n">
        <x:v>3</x:v>
      </x:c>
      <x:c r="H169" s="19" t="n">
        <x:v>33.2</x:v>
      </x:c>
      <x:c r="I169" s="17" t="str">
        <x:v>颜色 L★ (亮度).xlsx</x:v>
      </x:c>
      <x:c r="J169" s="17" t="str">
        <x:v>颜色 L★ (亮度)</x:v>
      </x:c>
      <x:c r="K169" s="17" t="str">
        <x:v>D6</x:v>
      </x:c>
    </x:row>
    <x:row r="170">
      <x:c r="A170" s="17" t="str">
        <x:v>l_star</x:v>
      </x:c>
      <x:c r="B170" s="17" t="str">
        <x:v>颜色L*</x:v>
      </x:c>
      <x:c r="C170" s="17" t="str">
        <x:v>-</x:v>
      </x:c>
      <x:c r="D170" s="17" t="str">
        <x:v>higher_better</x:v>
      </x:c>
      <x:c r="E170" s="18" t="n">
        <x:v>9</x:v>
      </x:c>
      <x:c r="F170" s="17" t="str">
        <x:v>MF</x:v>
      </x:c>
      <x:c r="G170" s="17" t="n">
        <x:v>1</x:v>
      </x:c>
      <x:c r="H170" s="19" t="n">
        <x:v>37.1</x:v>
      </x:c>
      <x:c r="I170" s="17" t="str">
        <x:v>颜色 L★ (亮度).xlsx</x:v>
      </x:c>
      <x:c r="J170" s="17" t="str">
        <x:v>颜色 L★ (亮度)</x:v>
      </x:c>
      <x:c r="K170" s="17" t="str">
        <x:v>E6</x:v>
      </x:c>
    </x:row>
    <x:row r="171">
      <x:c r="A171" s="17" t="str">
        <x:v>l_star</x:v>
      </x:c>
      <x:c r="B171" s="17" t="str">
        <x:v>颜色L*</x:v>
      </x:c>
      <x:c r="C171" s="17" t="str">
        <x:v>-</x:v>
      </x:c>
      <x:c r="D171" s="17" t="str">
        <x:v>higher_better</x:v>
      </x:c>
      <x:c r="E171" s="18" t="n">
        <x:v>9</x:v>
      </x:c>
      <x:c r="F171" s="17" t="str">
        <x:v>MF</x:v>
      </x:c>
      <x:c r="G171" s="17" t="n">
        <x:v>2</x:v>
      </x:c>
      <x:c r="H171" s="19" t="n">
        <x:v>36.9</x:v>
      </x:c>
      <x:c r="I171" s="17" t="str">
        <x:v>颜色 L★ (亮度).xlsx</x:v>
      </x:c>
      <x:c r="J171" s="17" t="str">
        <x:v>颜色 L★ (亮度)</x:v>
      </x:c>
      <x:c r="K171" s="17" t="str">
        <x:v>F6</x:v>
      </x:c>
    </x:row>
    <x:row r="172">
      <x:c r="A172" s="17" t="str">
        <x:v>l_star</x:v>
      </x:c>
      <x:c r="B172" s="17" t="str">
        <x:v>颜色L*</x:v>
      </x:c>
      <x:c r="C172" s="17" t="str">
        <x:v>-</x:v>
      </x:c>
      <x:c r="D172" s="17" t="str">
        <x:v>higher_better</x:v>
      </x:c>
      <x:c r="E172" s="18" t="n">
        <x:v>9</x:v>
      </x:c>
      <x:c r="F172" s="17" t="str">
        <x:v>MF</x:v>
      </x:c>
      <x:c r="G172" s="17" t="n">
        <x:v>3</x:v>
      </x:c>
      <x:c r="H172" s="19" t="n">
        <x:v>37.2</x:v>
      </x:c>
      <x:c r="I172" s="17" t="str">
        <x:v>颜色 L★ (亮度).xlsx</x:v>
      </x:c>
      <x:c r="J172" s="17" t="str">
        <x:v>颜色 L★ (亮度)</x:v>
      </x:c>
      <x:c r="K172" s="17" t="str">
        <x:v>G6</x:v>
      </x:c>
    </x:row>
    <x:row r="173">
      <x:c r="A173" s="17" t="str">
        <x:v>l_star</x:v>
      </x:c>
      <x:c r="B173" s="17" t="str">
        <x:v>颜色L*</x:v>
      </x:c>
      <x:c r="C173" s="17" t="str">
        <x:v>-</x:v>
      </x:c>
      <x:c r="D173" s="17" t="str">
        <x:v>higher_better</x:v>
      </x:c>
      <x:c r="E173" s="18" t="n">
        <x:v>12</x:v>
      </x:c>
      <x:c r="F173" s="17" t="str">
        <x:v>CR</x:v>
      </x:c>
      <x:c r="G173" s="17" t="n">
        <x:v>1</x:v>
      </x:c>
      <x:c r="H173" s="19" t="n">
        <x:v>30.1</x:v>
      </x:c>
      <x:c r="I173" s="17" t="str">
        <x:v>颜色 L★ (亮度).xlsx</x:v>
      </x:c>
      <x:c r="J173" s="17" t="str">
        <x:v>颜色 L★ (亮度)</x:v>
      </x:c>
      <x:c r="K173" s="17" t="str">
        <x:v>B7</x:v>
      </x:c>
    </x:row>
    <x:row r="174">
      <x:c r="A174" s="17" t="str">
        <x:v>l_star</x:v>
      </x:c>
      <x:c r="B174" s="17" t="str">
        <x:v>颜色L*</x:v>
      </x:c>
      <x:c r="C174" s="17" t="str">
        <x:v>-</x:v>
      </x:c>
      <x:c r="D174" s="17" t="str">
        <x:v>higher_better</x:v>
      </x:c>
      <x:c r="E174" s="18" t="n">
        <x:v>12</x:v>
      </x:c>
      <x:c r="F174" s="17" t="str">
        <x:v>CR</x:v>
      </x:c>
      <x:c r="G174" s="17" t="n">
        <x:v>2</x:v>
      </x:c>
      <x:c r="H174" s="19" t="n">
        <x:v>30.2</x:v>
      </x:c>
      <x:c r="I174" s="17" t="str">
        <x:v>颜色 L★ (亮度).xlsx</x:v>
      </x:c>
      <x:c r="J174" s="17" t="str">
        <x:v>颜色 L★ (亮度)</x:v>
      </x:c>
      <x:c r="K174" s="17" t="str">
        <x:v>C7</x:v>
      </x:c>
    </x:row>
    <x:row r="175">
      <x:c r="A175" s="17" t="str">
        <x:v>l_star</x:v>
      </x:c>
      <x:c r="B175" s="17" t="str">
        <x:v>颜色L*</x:v>
      </x:c>
      <x:c r="C175" s="17" t="str">
        <x:v>-</x:v>
      </x:c>
      <x:c r="D175" s="17" t="str">
        <x:v>higher_better</x:v>
      </x:c>
      <x:c r="E175" s="18" t="n">
        <x:v>12</x:v>
      </x:c>
      <x:c r="F175" s="17" t="str">
        <x:v>CR</x:v>
      </x:c>
      <x:c r="G175" s="17" t="n">
        <x:v>3</x:v>
      </x:c>
      <x:c r="H175" s="19" t="n">
        <x:v>30</x:v>
      </x:c>
      <x:c r="I175" s="17" t="str">
        <x:v>颜色 L★ (亮度).xlsx</x:v>
      </x:c>
      <x:c r="J175" s="17" t="str">
        <x:v>颜色 L★ (亮度)</x:v>
      </x:c>
      <x:c r="K175" s="17" t="str">
        <x:v>D7</x:v>
      </x:c>
    </x:row>
    <x:row r="176">
      <x:c r="A176" s="17" t="str">
        <x:v>l_star</x:v>
      </x:c>
      <x:c r="B176" s="17" t="str">
        <x:v>颜色L*</x:v>
      </x:c>
      <x:c r="C176" s="17" t="str">
        <x:v>-</x:v>
      </x:c>
      <x:c r="D176" s="17" t="str">
        <x:v>higher_better</x:v>
      </x:c>
      <x:c r="E176" s="18" t="n">
        <x:v>12</x:v>
      </x:c>
      <x:c r="F176" s="17" t="str">
        <x:v>MF</x:v>
      </x:c>
      <x:c r="G176" s="17" t="n">
        <x:v>1</x:v>
      </x:c>
      <x:c r="H176" s="19" t="n">
        <x:v>35.2</x:v>
      </x:c>
      <x:c r="I176" s="17" t="str">
        <x:v>颜色 L★ (亮度).xlsx</x:v>
      </x:c>
      <x:c r="J176" s="17" t="str">
        <x:v>颜色 L★ (亮度)</x:v>
      </x:c>
      <x:c r="K176" s="17" t="str">
        <x:v>E7</x:v>
      </x:c>
    </x:row>
    <x:row r="177">
      <x:c r="A177" s="17" t="str">
        <x:v>l_star</x:v>
      </x:c>
      <x:c r="B177" s="17" t="str">
        <x:v>颜色L*</x:v>
      </x:c>
      <x:c r="C177" s="17" t="str">
        <x:v>-</x:v>
      </x:c>
      <x:c r="D177" s="17" t="str">
        <x:v>higher_better</x:v>
      </x:c>
      <x:c r="E177" s="18" t="n">
        <x:v>12</x:v>
      </x:c>
      <x:c r="F177" s="17" t="str">
        <x:v>MF</x:v>
      </x:c>
      <x:c r="G177" s="17" t="n">
        <x:v>2</x:v>
      </x:c>
      <x:c r="H177" s="19" t="n">
        <x:v>35.3</x:v>
      </x:c>
      <x:c r="I177" s="17" t="str">
        <x:v>颜色 L★ (亮度).xlsx</x:v>
      </x:c>
      <x:c r="J177" s="17" t="str">
        <x:v>颜色 L★ (亮度)</x:v>
      </x:c>
      <x:c r="K177" s="17" t="str">
        <x:v>F7</x:v>
      </x:c>
    </x:row>
    <x:row r="178">
      <x:c r="A178" s="17" t="str">
        <x:v>l_star</x:v>
      </x:c>
      <x:c r="B178" s="17" t="str">
        <x:v>颜色L*</x:v>
      </x:c>
      <x:c r="C178" s="17" t="str">
        <x:v>-</x:v>
      </x:c>
      <x:c r="D178" s="17" t="str">
        <x:v>higher_better</x:v>
      </x:c>
      <x:c r="E178" s="18" t="n">
        <x:v>12</x:v>
      </x:c>
      <x:c r="F178" s="17" t="str">
        <x:v>MF</x:v>
      </x:c>
      <x:c r="G178" s="17" t="n">
        <x:v>3</x:v>
      </x:c>
      <x:c r="H178" s="19" t="n">
        <x:v>35.1</x:v>
      </x:c>
      <x:c r="I178" s="17" t="str">
        <x:v>颜色 L★ (亮度).xlsx</x:v>
      </x:c>
      <x:c r="J178" s="17" t="str">
        <x:v>颜色 L★ (亮度)</x:v>
      </x:c>
      <x:c r="K178" s="17" t="str">
        <x:v>G7</x:v>
      </x:c>
    </x:row>
    <x:row r="179">
      <x:c r="A179" s="17" t="str">
        <x:v>l_star</x:v>
      </x:c>
      <x:c r="B179" s="17" t="str">
        <x:v>颜色L*</x:v>
      </x:c>
      <x:c r="C179" s="17" t="str">
        <x:v>-</x:v>
      </x:c>
      <x:c r="D179" s="17" t="str">
        <x:v>higher_better</x:v>
      </x:c>
      <x:c r="E179" s="18" t="n">
        <x:v>15</x:v>
      </x:c>
      <x:c r="F179" s="17" t="str">
        <x:v>CR</x:v>
      </x:c>
      <x:c r="G179" s="17" t="n">
        <x:v>1</x:v>
      </x:c>
      <x:c r="H179" s="19" t="n">
        <x:v>25.8</x:v>
      </x:c>
      <x:c r="I179" s="17" t="str">
        <x:v>颜色 L★ (亮度).xlsx</x:v>
      </x:c>
      <x:c r="J179" s="17" t="str">
        <x:v>颜色 L★ (亮度)</x:v>
      </x:c>
      <x:c r="K179" s="17" t="str">
        <x:v>B8</x:v>
      </x:c>
    </x:row>
    <x:row r="180">
      <x:c r="A180" s="17" t="str">
        <x:v>l_star</x:v>
      </x:c>
      <x:c r="B180" s="17" t="str">
        <x:v>颜色L*</x:v>
      </x:c>
      <x:c r="C180" s="17" t="str">
        <x:v>-</x:v>
      </x:c>
      <x:c r="D180" s="17" t="str">
        <x:v>higher_better</x:v>
      </x:c>
      <x:c r="E180" s="18" t="n">
        <x:v>15</x:v>
      </x:c>
      <x:c r="F180" s="17" t="str">
        <x:v>CR</x:v>
      </x:c>
      <x:c r="G180" s="17" t="n">
        <x:v>2</x:v>
      </x:c>
      <x:c r="H180" s="19" t="n">
        <x:v>25.9</x:v>
      </x:c>
      <x:c r="I180" s="17" t="str">
        <x:v>颜色 L★ (亮度).xlsx</x:v>
      </x:c>
      <x:c r="J180" s="17" t="str">
        <x:v>颜色 L★ (亮度)</x:v>
      </x:c>
      <x:c r="K180" s="17" t="str">
        <x:v>C8</x:v>
      </x:c>
    </x:row>
    <x:row r="181">
      <x:c r="A181" s="17" t="str">
        <x:v>l_star</x:v>
      </x:c>
      <x:c r="B181" s="17" t="str">
        <x:v>颜色L*</x:v>
      </x:c>
      <x:c r="C181" s="17" t="str">
        <x:v>-</x:v>
      </x:c>
      <x:c r="D181" s="17" t="str">
        <x:v>higher_better</x:v>
      </x:c>
      <x:c r="E181" s="18" t="n">
        <x:v>15</x:v>
      </x:c>
      <x:c r="F181" s="17" t="str">
        <x:v>CR</x:v>
      </x:c>
      <x:c r="G181" s="17" t="n">
        <x:v>3</x:v>
      </x:c>
      <x:c r="H181" s="19" t="n">
        <x:v>25.7</x:v>
      </x:c>
      <x:c r="I181" s="17" t="str">
        <x:v>颜色 L★ (亮度).xlsx</x:v>
      </x:c>
      <x:c r="J181" s="17" t="str">
        <x:v>颜色 L★ (亮度)</x:v>
      </x:c>
      <x:c r="K181" s="17" t="str">
        <x:v>D8</x:v>
      </x:c>
    </x:row>
    <x:row r="182">
      <x:c r="A182" s="17" t="str">
        <x:v>l_star</x:v>
      </x:c>
      <x:c r="B182" s="17" t="str">
        <x:v>颜色L*</x:v>
      </x:c>
      <x:c r="C182" s="17" t="str">
        <x:v>-</x:v>
      </x:c>
      <x:c r="D182" s="17" t="str">
        <x:v>higher_better</x:v>
      </x:c>
      <x:c r="E182" s="18" t="n">
        <x:v>15</x:v>
      </x:c>
      <x:c r="F182" s="17" t="str">
        <x:v>MF</x:v>
      </x:c>
      <x:c r="G182" s="17" t="n">
        <x:v>1</x:v>
      </x:c>
      <x:c r="H182" s="19" t="n">
        <x:v>33.5</x:v>
      </x:c>
      <x:c r="I182" s="17" t="str">
        <x:v>颜色 L★ (亮度).xlsx</x:v>
      </x:c>
      <x:c r="J182" s="17" t="str">
        <x:v>颜色 L★ (亮度)</x:v>
      </x:c>
      <x:c r="K182" s="17" t="str">
        <x:v>E8</x:v>
      </x:c>
    </x:row>
    <x:row r="183">
      <x:c r="A183" s="17" t="str">
        <x:v>l_star</x:v>
      </x:c>
      <x:c r="B183" s="17" t="str">
        <x:v>颜色L*</x:v>
      </x:c>
      <x:c r="C183" s="17" t="str">
        <x:v>-</x:v>
      </x:c>
      <x:c r="D183" s="17" t="str">
        <x:v>higher_better</x:v>
      </x:c>
      <x:c r="E183" s="18" t="n">
        <x:v>15</x:v>
      </x:c>
      <x:c r="F183" s="17" t="str">
        <x:v>MF</x:v>
      </x:c>
      <x:c r="G183" s="17" t="n">
        <x:v>2</x:v>
      </x:c>
      <x:c r="H183" s="19" t="n">
        <x:v>33.6</x:v>
      </x:c>
      <x:c r="I183" s="17" t="str">
        <x:v>颜色 L★ (亮度).xlsx</x:v>
      </x:c>
      <x:c r="J183" s="17" t="str">
        <x:v>颜色 L★ (亮度)</x:v>
      </x:c>
      <x:c r="K183" s="17" t="str">
        <x:v>F8</x:v>
      </x:c>
    </x:row>
    <x:row r="184">
      <x:c r="A184" s="17" t="str">
        <x:v>l_star</x:v>
      </x:c>
      <x:c r="B184" s="17" t="str">
        <x:v>颜色L*</x:v>
      </x:c>
      <x:c r="C184" s="17" t="str">
        <x:v>-</x:v>
      </x:c>
      <x:c r="D184" s="17" t="str">
        <x:v>higher_better</x:v>
      </x:c>
      <x:c r="E184" s="18" t="n">
        <x:v>15</x:v>
      </x:c>
      <x:c r="F184" s="17" t="str">
        <x:v>MF</x:v>
      </x:c>
      <x:c r="G184" s="17" t="n">
        <x:v>3</x:v>
      </x:c>
      <x:c r="H184" s="19" t="n">
        <x:v>33.4</x:v>
      </x:c>
      <x:c r="I184" s="17" t="str">
        <x:v>颜色 L★ (亮度).xlsx</x:v>
      </x:c>
      <x:c r="J184" s="17" t="str">
        <x:v>颜色 L★ (亮度)</x:v>
      </x:c>
      <x:c r="K184" s="17" t="str">
        <x:v>G8</x:v>
      </x:c>
    </x:row>
    <x:row r="185">
      <x:c r="A185" s="17" t="str">
        <x:v>a_star</x:v>
      </x:c>
      <x:c r="B185" s="17" t="str">
        <x:v>颜色a*</x:v>
      </x:c>
      <x:c r="C185" s="17" t="str">
        <x:v>-</x:v>
      </x:c>
      <x:c r="D185" s="17" t="str">
        <x:v>context</x:v>
      </x:c>
      <x:c r="E185" s="18" t="n">
        <x:v>0</x:v>
      </x:c>
      <x:c r="F185" s="17" t="str">
        <x:v>CR</x:v>
      </x:c>
      <x:c r="G185" s="17" t="n">
        <x:v>1</x:v>
      </x:c>
      <x:c r="H185" s="19" t="n">
        <x:v>27.7</x:v>
      </x:c>
      <x:c r="I185" s="17" t="str">
        <x:v>颜色 a★ (红绿度).xlsx</x:v>
      </x:c>
      <x:c r="J185" s="17" t="str">
        <x:v>颜色 a★ (红绿度)</x:v>
      </x:c>
      <x:c r="K185" s="17" t="str">
        <x:v>B3</x:v>
      </x:c>
    </x:row>
    <x:row r="186">
      <x:c r="A186" s="17" t="str">
        <x:v>a_star</x:v>
      </x:c>
      <x:c r="B186" s="17" t="str">
        <x:v>颜色a*</x:v>
      </x:c>
      <x:c r="C186" s="17" t="str">
        <x:v>-</x:v>
      </x:c>
      <x:c r="D186" s="17" t="str">
        <x:v>context</x:v>
      </x:c>
      <x:c r="E186" s="18" t="n">
        <x:v>0</x:v>
      </x:c>
      <x:c r="F186" s="17" t="str">
        <x:v>CR</x:v>
      </x:c>
      <x:c r="G186" s="17" t="n">
        <x:v>2</x:v>
      </x:c>
      <x:c r="H186" s="19" t="n">
        <x:v>27.8</x:v>
      </x:c>
      <x:c r="I186" s="17" t="str">
        <x:v>颜色 a★ (红绿度).xlsx</x:v>
      </x:c>
      <x:c r="J186" s="17" t="str">
        <x:v>颜色 a★ (红绿度)</x:v>
      </x:c>
      <x:c r="K186" s="17" t="str">
        <x:v>C3</x:v>
      </x:c>
    </x:row>
    <x:row r="187">
      <x:c r="A187" s="17" t="str">
        <x:v>a_star</x:v>
      </x:c>
      <x:c r="B187" s="17" t="str">
        <x:v>颜色a*</x:v>
      </x:c>
      <x:c r="C187" s="17" t="str">
        <x:v>-</x:v>
      </x:c>
      <x:c r="D187" s="17" t="str">
        <x:v>context</x:v>
      </x:c>
      <x:c r="E187" s="18" t="n">
        <x:v>0</x:v>
      </x:c>
      <x:c r="F187" s="17" t="str">
        <x:v>CR</x:v>
      </x:c>
      <x:c r="G187" s="17" t="n">
        <x:v>3</x:v>
      </x:c>
      <x:c r="H187" s="19" t="n">
        <x:v>27.6</x:v>
      </x:c>
      <x:c r="I187" s="17" t="str">
        <x:v>颜色 a★ (红绿度).xlsx</x:v>
      </x:c>
      <x:c r="J187" s="17" t="str">
        <x:v>颜色 a★ (红绿度)</x:v>
      </x:c>
      <x:c r="K187" s="17" t="str">
        <x:v>D3</x:v>
      </x:c>
    </x:row>
    <x:row r="188">
      <x:c r="A188" s="17" t="str">
        <x:v>a_star</x:v>
      </x:c>
      <x:c r="B188" s="17" t="str">
        <x:v>颜色a*</x:v>
      </x:c>
      <x:c r="C188" s="17" t="str">
        <x:v>-</x:v>
      </x:c>
      <x:c r="D188" s="17" t="str">
        <x:v>context</x:v>
      </x:c>
      <x:c r="E188" s="18" t="n">
        <x:v>0</x:v>
      </x:c>
      <x:c r="F188" s="17" t="str">
        <x:v>MF</x:v>
      </x:c>
      <x:c r="G188" s="17" t="n">
        <x:v>1</x:v>
      </x:c>
      <x:c r="H188" s="19" t="n">
        <x:v>27.7</x:v>
      </x:c>
      <x:c r="I188" s="17" t="str">
        <x:v>颜色 a★ (红绿度).xlsx</x:v>
      </x:c>
      <x:c r="J188" s="17" t="str">
        <x:v>颜色 a★ (红绿度)</x:v>
      </x:c>
      <x:c r="K188" s="17" t="str">
        <x:v>E3</x:v>
      </x:c>
    </x:row>
    <x:row r="189">
      <x:c r="A189" s="17" t="str">
        <x:v>a_star</x:v>
      </x:c>
      <x:c r="B189" s="17" t="str">
        <x:v>颜色a*</x:v>
      </x:c>
      <x:c r="C189" s="17" t="str">
        <x:v>-</x:v>
      </x:c>
      <x:c r="D189" s="17" t="str">
        <x:v>context</x:v>
      </x:c>
      <x:c r="E189" s="18" t="n">
        <x:v>0</x:v>
      </x:c>
      <x:c r="F189" s="17" t="str">
        <x:v>MF</x:v>
      </x:c>
      <x:c r="G189" s="17" t="n">
        <x:v>2</x:v>
      </x:c>
      <x:c r="H189" s="19" t="n">
        <x:v>27.6</x:v>
      </x:c>
      <x:c r="I189" s="17" t="str">
        <x:v>颜色 a★ (红绿度).xlsx</x:v>
      </x:c>
      <x:c r="J189" s="17" t="str">
        <x:v>颜色 a★ (红绿度)</x:v>
      </x:c>
      <x:c r="K189" s="17" t="str">
        <x:v>F3</x:v>
      </x:c>
    </x:row>
    <x:row r="190">
      <x:c r="A190" s="17" t="str">
        <x:v>a_star</x:v>
      </x:c>
      <x:c r="B190" s="17" t="str">
        <x:v>颜色a*</x:v>
      </x:c>
      <x:c r="C190" s="17" t="str">
        <x:v>-</x:v>
      </x:c>
      <x:c r="D190" s="17" t="str">
        <x:v>context</x:v>
      </x:c>
      <x:c r="E190" s="18" t="n">
        <x:v>0</x:v>
      </x:c>
      <x:c r="F190" s="17" t="str">
        <x:v>MF</x:v>
      </x:c>
      <x:c r="G190" s="17" t="n">
        <x:v>3</x:v>
      </x:c>
      <x:c r="H190" s="19" t="n">
        <x:v>27.8</x:v>
      </x:c>
      <x:c r="I190" s="17" t="str">
        <x:v>颜色 a★ (红绿度).xlsx</x:v>
      </x:c>
      <x:c r="J190" s="17" t="str">
        <x:v>颜色 a★ (红绿度)</x:v>
      </x:c>
      <x:c r="K190" s="17" t="str">
        <x:v>G3</x:v>
      </x:c>
    </x:row>
    <x:row r="191">
      <x:c r="A191" s="17" t="str">
        <x:v>a_star</x:v>
      </x:c>
      <x:c r="B191" s="17" t="str">
        <x:v>颜色a*</x:v>
      </x:c>
      <x:c r="C191" s="17" t="str">
        <x:v>-</x:v>
      </x:c>
      <x:c r="D191" s="17" t="str">
        <x:v>context</x:v>
      </x:c>
      <x:c r="E191" s="18" t="n">
        <x:v>3</x:v>
      </x:c>
      <x:c r="F191" s="17" t="str">
        <x:v>CR</x:v>
      </x:c>
      <x:c r="G191" s="17" t="n">
        <x:v>1</x:v>
      </x:c>
      <x:c r="H191" s="19" t="n">
        <x:v>32.9</x:v>
      </x:c>
      <x:c r="I191" s="17" t="str">
        <x:v>颜色 a★ (红绿度).xlsx</x:v>
      </x:c>
      <x:c r="J191" s="17" t="str">
        <x:v>颜色 a★ (红绿度)</x:v>
      </x:c>
      <x:c r="K191" s="17" t="str">
        <x:v>B4</x:v>
      </x:c>
    </x:row>
    <x:row r="192">
      <x:c r="A192" s="17" t="str">
        <x:v>a_star</x:v>
      </x:c>
      <x:c r="B192" s="17" t="str">
        <x:v>颜色a*</x:v>
      </x:c>
      <x:c r="C192" s="17" t="str">
        <x:v>-</x:v>
      </x:c>
      <x:c r="D192" s="17" t="str">
        <x:v>context</x:v>
      </x:c>
      <x:c r="E192" s="18" t="n">
        <x:v>3</x:v>
      </x:c>
      <x:c r="F192" s="17" t="str">
        <x:v>CR</x:v>
      </x:c>
      <x:c r="G192" s="17" t="n">
        <x:v>2</x:v>
      </x:c>
      <x:c r="H192" s="19" t="n">
        <x:v>32.8</x:v>
      </x:c>
      <x:c r="I192" s="17" t="str">
        <x:v>颜色 a★ (红绿度).xlsx</x:v>
      </x:c>
      <x:c r="J192" s="17" t="str">
        <x:v>颜色 a★ (红绿度)</x:v>
      </x:c>
      <x:c r="K192" s="17" t="str">
        <x:v>C4</x:v>
      </x:c>
    </x:row>
    <x:row r="193">
      <x:c r="A193" s="17" t="str">
        <x:v>a_star</x:v>
      </x:c>
      <x:c r="B193" s="17" t="str">
        <x:v>颜色a*</x:v>
      </x:c>
      <x:c r="C193" s="17" t="str">
        <x:v>-</x:v>
      </x:c>
      <x:c r="D193" s="17" t="str">
        <x:v>context</x:v>
      </x:c>
      <x:c r="E193" s="18" t="n">
        <x:v>3</x:v>
      </x:c>
      <x:c r="F193" s="17" t="str">
        <x:v>CR</x:v>
      </x:c>
      <x:c r="G193" s="17" t="n">
        <x:v>3</x:v>
      </x:c>
      <x:c r="H193" s="19" t="n">
        <x:v>33</x:v>
      </x:c>
      <x:c r="I193" s="17" t="str">
        <x:v>颜色 a★ (红绿度).xlsx</x:v>
      </x:c>
      <x:c r="J193" s="17" t="str">
        <x:v>颜色 a★ (红绿度)</x:v>
      </x:c>
      <x:c r="K193" s="17" t="str">
        <x:v>D4</x:v>
      </x:c>
    </x:row>
    <x:row r="194">
      <x:c r="A194" s="17" t="str">
        <x:v>a_star</x:v>
      </x:c>
      <x:c r="B194" s="17" t="str">
        <x:v>颜色a*</x:v>
      </x:c>
      <x:c r="C194" s="17" t="str">
        <x:v>-</x:v>
      </x:c>
      <x:c r="D194" s="17" t="str">
        <x:v>context</x:v>
      </x:c>
      <x:c r="E194" s="18" t="n">
        <x:v>3</x:v>
      </x:c>
      <x:c r="F194" s="17" t="str">
        <x:v>MF</x:v>
      </x:c>
      <x:c r="G194" s="17" t="n">
        <x:v>1</x:v>
      </x:c>
      <x:c r="H194" s="19" t="n">
        <x:v>33.2</x:v>
      </x:c>
      <x:c r="I194" s="17" t="str">
        <x:v>颜色 a★ (红绿度).xlsx</x:v>
      </x:c>
      <x:c r="J194" s="17" t="str">
        <x:v>颜色 a★ (红绿度)</x:v>
      </x:c>
      <x:c r="K194" s="17" t="str">
        <x:v>E4</x:v>
      </x:c>
    </x:row>
    <x:row r="195">
      <x:c r="A195" s="17" t="str">
        <x:v>a_star</x:v>
      </x:c>
      <x:c r="B195" s="17" t="str">
        <x:v>颜色a*</x:v>
      </x:c>
      <x:c r="C195" s="17" t="str">
        <x:v>-</x:v>
      </x:c>
      <x:c r="D195" s="17" t="str">
        <x:v>context</x:v>
      </x:c>
      <x:c r="E195" s="18" t="n">
        <x:v>3</x:v>
      </x:c>
      <x:c r="F195" s="17" t="str">
        <x:v>MF</x:v>
      </x:c>
      <x:c r="G195" s="17" t="n">
        <x:v>2</x:v>
      </x:c>
      <x:c r="H195" s="19" t="n">
        <x:v>33.3</x:v>
      </x:c>
      <x:c r="I195" s="17" t="str">
        <x:v>颜色 a★ (红绿度).xlsx</x:v>
      </x:c>
      <x:c r="J195" s="17" t="str">
        <x:v>颜色 a★ (红绿度)</x:v>
      </x:c>
      <x:c r="K195" s="17" t="str">
        <x:v>F4</x:v>
      </x:c>
    </x:row>
    <x:row r="196">
      <x:c r="A196" s="17" t="str">
        <x:v>a_star</x:v>
      </x:c>
      <x:c r="B196" s="17" t="str">
        <x:v>颜色a*</x:v>
      </x:c>
      <x:c r="C196" s="17" t="str">
        <x:v>-</x:v>
      </x:c>
      <x:c r="D196" s="17" t="str">
        <x:v>context</x:v>
      </x:c>
      <x:c r="E196" s="18" t="n">
        <x:v>3</x:v>
      </x:c>
      <x:c r="F196" s="17" t="str">
        <x:v>MF</x:v>
      </x:c>
      <x:c r="G196" s="17" t="n">
        <x:v>3</x:v>
      </x:c>
      <x:c r="H196" s="19" t="n">
        <x:v>33.1</x:v>
      </x:c>
      <x:c r="I196" s="17" t="str">
        <x:v>颜色 a★ (红绿度).xlsx</x:v>
      </x:c>
      <x:c r="J196" s="17" t="str">
        <x:v>颜色 a★ (红绿度)</x:v>
      </x:c>
      <x:c r="K196" s="17" t="str">
        <x:v>G4</x:v>
      </x:c>
    </x:row>
    <x:row r="197">
      <x:c r="A197" s="17" t="str">
        <x:v>a_star</x:v>
      </x:c>
      <x:c r="B197" s="17" t="str">
        <x:v>颜色a*</x:v>
      </x:c>
      <x:c r="C197" s="17" t="str">
        <x:v>-</x:v>
      </x:c>
      <x:c r="D197" s="17" t="str">
        <x:v>context</x:v>
      </x:c>
      <x:c r="E197" s="18" t="n">
        <x:v>6</x:v>
      </x:c>
      <x:c r="F197" s="17" t="str">
        <x:v>CR</x:v>
      </x:c>
      <x:c r="G197" s="17" t="n">
        <x:v>1</x:v>
      </x:c>
      <x:c r="H197" s="19" t="n">
        <x:v>34.6</x:v>
      </x:c>
      <x:c r="I197" s="17" t="str">
        <x:v>颜色 a★ (红绿度).xlsx</x:v>
      </x:c>
      <x:c r="J197" s="17" t="str">
        <x:v>颜色 a★ (红绿度)</x:v>
      </x:c>
      <x:c r="K197" s="17" t="str">
        <x:v>B5</x:v>
      </x:c>
    </x:row>
    <x:row r="198">
      <x:c r="A198" s="17" t="str">
        <x:v>a_star</x:v>
      </x:c>
      <x:c r="B198" s="17" t="str">
        <x:v>颜色a*</x:v>
      </x:c>
      <x:c r="C198" s="17" t="str">
        <x:v>-</x:v>
      </x:c>
      <x:c r="D198" s="17" t="str">
        <x:v>context</x:v>
      </x:c>
      <x:c r="E198" s="18" t="n">
        <x:v>6</x:v>
      </x:c>
      <x:c r="F198" s="17" t="str">
        <x:v>CR</x:v>
      </x:c>
      <x:c r="G198" s="17" t="n">
        <x:v>2</x:v>
      </x:c>
      <x:c r="H198" s="19" t="n">
        <x:v>34.7</x:v>
      </x:c>
      <x:c r="I198" s="17" t="str">
        <x:v>颜色 a★ (红绿度).xlsx</x:v>
      </x:c>
      <x:c r="J198" s="17" t="str">
        <x:v>颜色 a★ (红绿度)</x:v>
      </x:c>
      <x:c r="K198" s="17" t="str">
        <x:v>C5</x:v>
      </x:c>
    </x:row>
    <x:row r="199">
      <x:c r="A199" s="17" t="str">
        <x:v>a_star</x:v>
      </x:c>
      <x:c r="B199" s="17" t="str">
        <x:v>颜色a*</x:v>
      </x:c>
      <x:c r="C199" s="17" t="str">
        <x:v>-</x:v>
      </x:c>
      <x:c r="D199" s="17" t="str">
        <x:v>context</x:v>
      </x:c>
      <x:c r="E199" s="18" t="n">
        <x:v>6</x:v>
      </x:c>
      <x:c r="F199" s="17" t="str">
        <x:v>CR</x:v>
      </x:c>
      <x:c r="G199" s="17" t="n">
        <x:v>3</x:v>
      </x:c>
      <x:c r="H199" s="19" t="n">
        <x:v>34.5</x:v>
      </x:c>
      <x:c r="I199" s="17" t="str">
        <x:v>颜色 a★ (红绿度).xlsx</x:v>
      </x:c>
      <x:c r="J199" s="17" t="str">
        <x:v>颜色 a★ (红绿度)</x:v>
      </x:c>
      <x:c r="K199" s="17" t="str">
        <x:v>D5</x:v>
      </x:c>
    </x:row>
    <x:row r="200">
      <x:c r="A200" s="17" t="str">
        <x:v>a_star</x:v>
      </x:c>
      <x:c r="B200" s="17" t="str">
        <x:v>颜色a*</x:v>
      </x:c>
      <x:c r="C200" s="17" t="str">
        <x:v>-</x:v>
      </x:c>
      <x:c r="D200" s="17" t="str">
        <x:v>context</x:v>
      </x:c>
      <x:c r="E200" s="18" t="n">
        <x:v>6</x:v>
      </x:c>
      <x:c r="F200" s="17" t="str">
        <x:v>MF</x:v>
      </x:c>
      <x:c r="G200" s="17" t="n">
        <x:v>1</x:v>
      </x:c>
      <x:c r="H200" s="19" t="n">
        <x:v>34.7</x:v>
      </x:c>
      <x:c r="I200" s="17" t="str">
        <x:v>颜色 a★ (红绿度).xlsx</x:v>
      </x:c>
      <x:c r="J200" s="17" t="str">
        <x:v>颜色 a★ (红绿度)</x:v>
      </x:c>
      <x:c r="K200" s="17" t="str">
        <x:v>E5</x:v>
      </x:c>
    </x:row>
    <x:row r="201">
      <x:c r="A201" s="17" t="str">
        <x:v>a_star</x:v>
      </x:c>
      <x:c r="B201" s="17" t="str">
        <x:v>颜色a*</x:v>
      </x:c>
      <x:c r="C201" s="17" t="str">
        <x:v>-</x:v>
      </x:c>
      <x:c r="D201" s="17" t="str">
        <x:v>context</x:v>
      </x:c>
      <x:c r="E201" s="18" t="n">
        <x:v>6</x:v>
      </x:c>
      <x:c r="F201" s="17" t="str">
        <x:v>MF</x:v>
      </x:c>
      <x:c r="G201" s="17" t="n">
        <x:v>2</x:v>
      </x:c>
      <x:c r="H201" s="19" t="n">
        <x:v>34.8</x:v>
      </x:c>
      <x:c r="I201" s="17" t="str">
        <x:v>颜色 a★ (红绿度).xlsx</x:v>
      </x:c>
      <x:c r="J201" s="17" t="str">
        <x:v>颜色 a★ (红绿度)</x:v>
      </x:c>
      <x:c r="K201" s="17" t="str">
        <x:v>F5</x:v>
      </x:c>
    </x:row>
    <x:row r="202">
      <x:c r="A202" s="17" t="str">
        <x:v>a_star</x:v>
      </x:c>
      <x:c r="B202" s="17" t="str">
        <x:v>颜色a*</x:v>
      </x:c>
      <x:c r="C202" s="17" t="str">
        <x:v>-</x:v>
      </x:c>
      <x:c r="D202" s="17" t="str">
        <x:v>context</x:v>
      </x:c>
      <x:c r="E202" s="18" t="n">
        <x:v>6</x:v>
      </x:c>
      <x:c r="F202" s="17" t="str">
        <x:v>MF</x:v>
      </x:c>
      <x:c r="G202" s="17" t="n">
        <x:v>3</x:v>
      </x:c>
      <x:c r="H202" s="19" t="n">
        <x:v>34.6</x:v>
      </x:c>
      <x:c r="I202" s="17" t="str">
        <x:v>颜色 a★ (红绿度).xlsx</x:v>
      </x:c>
      <x:c r="J202" s="17" t="str">
        <x:v>颜色 a★ (红绿度)</x:v>
      </x:c>
      <x:c r="K202" s="17" t="str">
        <x:v>G5</x:v>
      </x:c>
    </x:row>
    <x:row r="203">
      <x:c r="A203" s="17" t="str">
        <x:v>a_star</x:v>
      </x:c>
      <x:c r="B203" s="17" t="str">
        <x:v>颜色a*</x:v>
      </x:c>
      <x:c r="C203" s="17" t="str">
        <x:v>-</x:v>
      </x:c>
      <x:c r="D203" s="17" t="str">
        <x:v>context</x:v>
      </x:c>
      <x:c r="E203" s="18" t="n">
        <x:v>9</x:v>
      </x:c>
      <x:c r="F203" s="17" t="str">
        <x:v>CR</x:v>
      </x:c>
      <x:c r="G203" s="17" t="n">
        <x:v>1</x:v>
      </x:c>
      <x:c r="H203" s="19" t="n">
        <x:v>30.9</x:v>
      </x:c>
      <x:c r="I203" s="17" t="str">
        <x:v>颜色 a★ (红绿度).xlsx</x:v>
      </x:c>
      <x:c r="J203" s="17" t="str">
        <x:v>颜色 a★ (红绿度)</x:v>
      </x:c>
      <x:c r="K203" s="17" t="str">
        <x:v>B6</x:v>
      </x:c>
    </x:row>
    <x:row r="204">
      <x:c r="A204" s="17" t="str">
        <x:v>a_star</x:v>
      </x:c>
      <x:c r="B204" s="17" t="str">
        <x:v>颜色a*</x:v>
      </x:c>
      <x:c r="C204" s="17" t="str">
        <x:v>-</x:v>
      </x:c>
      <x:c r="D204" s="17" t="str">
        <x:v>context</x:v>
      </x:c>
      <x:c r="E204" s="18" t="n">
        <x:v>9</x:v>
      </x:c>
      <x:c r="F204" s="17" t="str">
        <x:v>CR</x:v>
      </x:c>
      <x:c r="G204" s="17" t="n">
        <x:v>2</x:v>
      </x:c>
      <x:c r="H204" s="19" t="n">
        <x:v>30.8</x:v>
      </x:c>
      <x:c r="I204" s="17" t="str">
        <x:v>颜色 a★ (红绿度).xlsx</x:v>
      </x:c>
      <x:c r="J204" s="17" t="str">
        <x:v>颜色 a★ (红绿度)</x:v>
      </x:c>
      <x:c r="K204" s="17" t="str">
        <x:v>C6</x:v>
      </x:c>
    </x:row>
    <x:row r="205">
      <x:c r="A205" s="17" t="str">
        <x:v>a_star</x:v>
      </x:c>
      <x:c r="B205" s="17" t="str">
        <x:v>颜色a*</x:v>
      </x:c>
      <x:c r="C205" s="17" t="str">
        <x:v>-</x:v>
      </x:c>
      <x:c r="D205" s="17" t="str">
        <x:v>context</x:v>
      </x:c>
      <x:c r="E205" s="18" t="n">
        <x:v>9</x:v>
      </x:c>
      <x:c r="F205" s="17" t="str">
        <x:v>CR</x:v>
      </x:c>
      <x:c r="G205" s="17" t="n">
        <x:v>3</x:v>
      </x:c>
      <x:c r="H205" s="19" t="n">
        <x:v>31</x:v>
      </x:c>
      <x:c r="I205" s="17" t="str">
        <x:v>颜色 a★ (红绿度).xlsx</x:v>
      </x:c>
      <x:c r="J205" s="17" t="str">
        <x:v>颜色 a★ (红绿度)</x:v>
      </x:c>
      <x:c r="K205" s="17" t="str">
        <x:v>D6</x:v>
      </x:c>
    </x:row>
    <x:row r="206">
      <x:c r="A206" s="17" t="str">
        <x:v>a_star</x:v>
      </x:c>
      <x:c r="B206" s="17" t="str">
        <x:v>颜色a*</x:v>
      </x:c>
      <x:c r="C206" s="17" t="str">
        <x:v>-</x:v>
      </x:c>
      <x:c r="D206" s="17" t="str">
        <x:v>context</x:v>
      </x:c>
      <x:c r="E206" s="18" t="n">
        <x:v>9</x:v>
      </x:c>
      <x:c r="F206" s="17" t="str">
        <x:v>MF</x:v>
      </x:c>
      <x:c r="G206" s="17" t="n">
        <x:v>1</x:v>
      </x:c>
      <x:c r="H206" s="19" t="n">
        <x:v>32.7</x:v>
      </x:c>
      <x:c r="I206" s="17" t="str">
        <x:v>颜色 a★ (红绿度).xlsx</x:v>
      </x:c>
      <x:c r="J206" s="17" t="str">
        <x:v>颜色 a★ (红绿度)</x:v>
      </x:c>
      <x:c r="K206" s="17" t="str">
        <x:v>E6</x:v>
      </x:c>
    </x:row>
    <x:row r="207">
      <x:c r="A207" s="17" t="str">
        <x:v>a_star</x:v>
      </x:c>
      <x:c r="B207" s="17" t="str">
        <x:v>颜色a*</x:v>
      </x:c>
      <x:c r="C207" s="17" t="str">
        <x:v>-</x:v>
      </x:c>
      <x:c r="D207" s="17" t="str">
        <x:v>context</x:v>
      </x:c>
      <x:c r="E207" s="18" t="n">
        <x:v>9</x:v>
      </x:c>
      <x:c r="F207" s="17" t="str">
        <x:v>MF</x:v>
      </x:c>
      <x:c r="G207" s="17" t="n">
        <x:v>2</x:v>
      </x:c>
      <x:c r="H207" s="19" t="n">
        <x:v>32.8</x:v>
      </x:c>
      <x:c r="I207" s="17" t="str">
        <x:v>颜色 a★ (红绿度).xlsx</x:v>
      </x:c>
      <x:c r="J207" s="17" t="str">
        <x:v>颜色 a★ (红绿度)</x:v>
      </x:c>
      <x:c r="K207" s="17" t="str">
        <x:v>F6</x:v>
      </x:c>
    </x:row>
    <x:row r="208">
      <x:c r="A208" s="17" t="str">
        <x:v>a_star</x:v>
      </x:c>
      <x:c r="B208" s="17" t="str">
        <x:v>颜色a*</x:v>
      </x:c>
      <x:c r="C208" s="17" t="str">
        <x:v>-</x:v>
      </x:c>
      <x:c r="D208" s="17" t="str">
        <x:v>context</x:v>
      </x:c>
      <x:c r="E208" s="18" t="n">
        <x:v>9</x:v>
      </x:c>
      <x:c r="F208" s="17" t="str">
        <x:v>MF</x:v>
      </x:c>
      <x:c r="G208" s="17" t="n">
        <x:v>3</x:v>
      </x:c>
      <x:c r="H208" s="19" t="n">
        <x:v>32.6</x:v>
      </x:c>
      <x:c r="I208" s="17" t="str">
        <x:v>颜色 a★ (红绿度).xlsx</x:v>
      </x:c>
      <x:c r="J208" s="17" t="str">
        <x:v>颜色 a★ (红绿度)</x:v>
      </x:c>
      <x:c r="K208" s="17" t="str">
        <x:v>G6</x:v>
      </x:c>
    </x:row>
    <x:row r="209">
      <x:c r="A209" s="17" t="str">
        <x:v>a_star</x:v>
      </x:c>
      <x:c r="B209" s="17" t="str">
        <x:v>颜色a*</x:v>
      </x:c>
      <x:c r="C209" s="17" t="str">
        <x:v>-</x:v>
      </x:c>
      <x:c r="D209" s="17" t="str">
        <x:v>context</x:v>
      </x:c>
      <x:c r="E209" s="18" t="n">
        <x:v>12</x:v>
      </x:c>
      <x:c r="F209" s="17" t="str">
        <x:v>CR</x:v>
      </x:c>
      <x:c r="G209" s="17" t="n">
        <x:v>1</x:v>
      </x:c>
      <x:c r="H209" s="19" t="n">
        <x:v>29.4</x:v>
      </x:c>
      <x:c r="I209" s="17" t="str">
        <x:v>颜色 a★ (红绿度).xlsx</x:v>
      </x:c>
      <x:c r="J209" s="17" t="str">
        <x:v>颜色 a★ (红绿度)</x:v>
      </x:c>
      <x:c r="K209" s="17" t="str">
        <x:v>B7</x:v>
      </x:c>
    </x:row>
    <x:row r="210">
      <x:c r="A210" s="17" t="str">
        <x:v>a_star</x:v>
      </x:c>
      <x:c r="B210" s="17" t="str">
        <x:v>颜色a*</x:v>
      </x:c>
      <x:c r="C210" s="17" t="str">
        <x:v>-</x:v>
      </x:c>
      <x:c r="D210" s="17" t="str">
        <x:v>context</x:v>
      </x:c>
      <x:c r="E210" s="18" t="n">
        <x:v>12</x:v>
      </x:c>
      <x:c r="F210" s="17" t="str">
        <x:v>CR</x:v>
      </x:c>
      <x:c r="G210" s="17" t="n">
        <x:v>2</x:v>
      </x:c>
      <x:c r="H210" s="19" t="n">
        <x:v>29.5</x:v>
      </x:c>
      <x:c r="I210" s="17" t="str">
        <x:v>颜色 a★ (红绿度).xlsx</x:v>
      </x:c>
      <x:c r="J210" s="17" t="str">
        <x:v>颜色 a★ (红绿度)</x:v>
      </x:c>
      <x:c r="K210" s="17" t="str">
        <x:v>C7</x:v>
      </x:c>
    </x:row>
    <x:row r="211">
      <x:c r="A211" s="17" t="str">
        <x:v>a_star</x:v>
      </x:c>
      <x:c r="B211" s="17" t="str">
        <x:v>颜色a*</x:v>
      </x:c>
      <x:c r="C211" s="17" t="str">
        <x:v>-</x:v>
      </x:c>
      <x:c r="D211" s="17" t="str">
        <x:v>context</x:v>
      </x:c>
      <x:c r="E211" s="18" t="n">
        <x:v>12</x:v>
      </x:c>
      <x:c r="F211" s="17" t="str">
        <x:v>CR</x:v>
      </x:c>
      <x:c r="G211" s="17" t="n">
        <x:v>3</x:v>
      </x:c>
      <x:c r="H211" s="19" t="n">
        <x:v>29.3</x:v>
      </x:c>
      <x:c r="I211" s="17" t="str">
        <x:v>颜色 a★ (红绿度).xlsx</x:v>
      </x:c>
      <x:c r="J211" s="17" t="str">
        <x:v>颜色 a★ (红绿度)</x:v>
      </x:c>
      <x:c r="K211" s="17" t="str">
        <x:v>D7</x:v>
      </x:c>
    </x:row>
    <x:row r="212">
      <x:c r="A212" s="17" t="str">
        <x:v>a_star</x:v>
      </x:c>
      <x:c r="B212" s="17" t="str">
        <x:v>颜色a*</x:v>
      </x:c>
      <x:c r="C212" s="17" t="str">
        <x:v>-</x:v>
      </x:c>
      <x:c r="D212" s="17" t="str">
        <x:v>context</x:v>
      </x:c>
      <x:c r="E212" s="18" t="n">
        <x:v>12</x:v>
      </x:c>
      <x:c r="F212" s="17" t="str">
        <x:v>MF</x:v>
      </x:c>
      <x:c r="G212" s="17" t="n">
        <x:v>1</x:v>
      </x:c>
      <x:c r="H212" s="19" t="n">
        <x:v>32.1</x:v>
      </x:c>
      <x:c r="I212" s="17" t="str">
        <x:v>颜色 a★ (红绿度).xlsx</x:v>
      </x:c>
      <x:c r="J212" s="17" t="str">
        <x:v>颜色 a★ (红绿度)</x:v>
      </x:c>
      <x:c r="K212" s="17" t="str">
        <x:v>E7</x:v>
      </x:c>
    </x:row>
    <x:row r="213">
      <x:c r="A213" s="17" t="str">
        <x:v>a_star</x:v>
      </x:c>
      <x:c r="B213" s="17" t="str">
        <x:v>颜色a*</x:v>
      </x:c>
      <x:c r="C213" s="17" t="str">
        <x:v>-</x:v>
      </x:c>
      <x:c r="D213" s="17" t="str">
        <x:v>context</x:v>
      </x:c>
      <x:c r="E213" s="18" t="n">
        <x:v>12</x:v>
      </x:c>
      <x:c r="F213" s="17" t="str">
        <x:v>MF</x:v>
      </x:c>
      <x:c r="G213" s="17" t="n">
        <x:v>2</x:v>
      </x:c>
      <x:c r="H213" s="19" t="n">
        <x:v>32</x:v>
      </x:c>
      <x:c r="I213" s="17" t="str">
        <x:v>颜色 a★ (红绿度).xlsx</x:v>
      </x:c>
      <x:c r="J213" s="17" t="str">
        <x:v>颜色 a★ (红绿度)</x:v>
      </x:c>
      <x:c r="K213" s="17" t="str">
        <x:v>F7</x:v>
      </x:c>
    </x:row>
    <x:row r="214">
      <x:c r="A214" s="17" t="str">
        <x:v>a_star</x:v>
      </x:c>
      <x:c r="B214" s="17" t="str">
        <x:v>颜色a*</x:v>
      </x:c>
      <x:c r="C214" s="17" t="str">
        <x:v>-</x:v>
      </x:c>
      <x:c r="D214" s="17" t="str">
        <x:v>context</x:v>
      </x:c>
      <x:c r="E214" s="18" t="n">
        <x:v>12</x:v>
      </x:c>
      <x:c r="F214" s="17" t="str">
        <x:v>MF</x:v>
      </x:c>
      <x:c r="G214" s="17" t="n">
        <x:v>3</x:v>
      </x:c>
      <x:c r="H214" s="19" t="n">
        <x:v>32.2</x:v>
      </x:c>
      <x:c r="I214" s="17" t="str">
        <x:v>颜色 a★ (红绿度).xlsx</x:v>
      </x:c>
      <x:c r="J214" s="17" t="str">
        <x:v>颜色 a★ (红绿度)</x:v>
      </x:c>
      <x:c r="K214" s="17" t="str">
        <x:v>G7</x:v>
      </x:c>
    </x:row>
    <x:row r="215">
      <x:c r="A215" s="17" t="str">
        <x:v>a_star</x:v>
      </x:c>
      <x:c r="B215" s="17" t="str">
        <x:v>颜色a*</x:v>
      </x:c>
      <x:c r="C215" s="17" t="str">
        <x:v>-</x:v>
      </x:c>
      <x:c r="D215" s="17" t="str">
        <x:v>context</x:v>
      </x:c>
      <x:c r="E215" s="18" t="n">
        <x:v>15</x:v>
      </x:c>
      <x:c r="F215" s="17" t="str">
        <x:v>CR</x:v>
      </x:c>
      <x:c r="G215" s="17" t="n">
        <x:v>1</x:v>
      </x:c>
      <x:c r="H215" s="19" t="n">
        <x:v>28</x:v>
      </x:c>
      <x:c r="I215" s="17" t="str">
        <x:v>颜色 a★ (红绿度).xlsx</x:v>
      </x:c>
      <x:c r="J215" s="17" t="str">
        <x:v>颜色 a★ (红绿度)</x:v>
      </x:c>
      <x:c r="K215" s="17" t="str">
        <x:v>B8</x:v>
      </x:c>
    </x:row>
    <x:row r="216">
      <x:c r="A216" s="17" t="str">
        <x:v>a_star</x:v>
      </x:c>
      <x:c r="B216" s="17" t="str">
        <x:v>颜色a*</x:v>
      </x:c>
      <x:c r="C216" s="17" t="str">
        <x:v>-</x:v>
      </x:c>
      <x:c r="D216" s="17" t="str">
        <x:v>context</x:v>
      </x:c>
      <x:c r="E216" s="18" t="n">
        <x:v>15</x:v>
      </x:c>
      <x:c r="F216" s="17" t="str">
        <x:v>CR</x:v>
      </x:c>
      <x:c r="G216" s="17" t="n">
        <x:v>2</x:v>
      </x:c>
      <x:c r="H216" s="19" t="n">
        <x:v>28.1</x:v>
      </x:c>
      <x:c r="I216" s="17" t="str">
        <x:v>颜色 a★ (红绿度).xlsx</x:v>
      </x:c>
      <x:c r="J216" s="17" t="str">
        <x:v>颜色 a★ (红绿度)</x:v>
      </x:c>
      <x:c r="K216" s="17" t="str">
        <x:v>C8</x:v>
      </x:c>
    </x:row>
    <x:row r="217">
      <x:c r="A217" s="17" t="str">
        <x:v>a_star</x:v>
      </x:c>
      <x:c r="B217" s="17" t="str">
        <x:v>颜色a*</x:v>
      </x:c>
      <x:c r="C217" s="17" t="str">
        <x:v>-</x:v>
      </x:c>
      <x:c r="D217" s="17" t="str">
        <x:v>context</x:v>
      </x:c>
      <x:c r="E217" s="18" t="n">
        <x:v>15</x:v>
      </x:c>
      <x:c r="F217" s="17" t="str">
        <x:v>CR</x:v>
      </x:c>
      <x:c r="G217" s="17" t="n">
        <x:v>3</x:v>
      </x:c>
      <x:c r="H217" s="19" t="n">
        <x:v>27.9</x:v>
      </x:c>
      <x:c r="I217" s="17" t="str">
        <x:v>颜色 a★ (红绿度).xlsx</x:v>
      </x:c>
      <x:c r="J217" s="17" t="str">
        <x:v>颜色 a★ (红绿度)</x:v>
      </x:c>
      <x:c r="K217" s="17" t="str">
        <x:v>D8</x:v>
      </x:c>
    </x:row>
    <x:row r="218">
      <x:c r="A218" s="17" t="str">
        <x:v>a_star</x:v>
      </x:c>
      <x:c r="B218" s="17" t="str">
        <x:v>颜色a*</x:v>
      </x:c>
      <x:c r="C218" s="17" t="str">
        <x:v>-</x:v>
      </x:c>
      <x:c r="D218" s="17" t="str">
        <x:v>context</x:v>
      </x:c>
      <x:c r="E218" s="18" t="n">
        <x:v>15</x:v>
      </x:c>
      <x:c r="F218" s="17" t="str">
        <x:v>MF</x:v>
      </x:c>
      <x:c r="G218" s="17" t="n">
        <x:v>1</x:v>
      </x:c>
      <x:c r="H218" s="19" t="n">
        <x:v>30.2</x:v>
      </x:c>
      <x:c r="I218" s="17" t="str">
        <x:v>颜色 a★ (红绿度).xlsx</x:v>
      </x:c>
      <x:c r="J218" s="17" t="str">
        <x:v>颜色 a★ (红绿度)</x:v>
      </x:c>
      <x:c r="K218" s="17" t="str">
        <x:v>E8</x:v>
      </x:c>
    </x:row>
    <x:row r="219">
      <x:c r="A219" s="17" t="str">
        <x:v>a_star</x:v>
      </x:c>
      <x:c r="B219" s="17" t="str">
        <x:v>颜色a*</x:v>
      </x:c>
      <x:c r="C219" s="17" t="str">
        <x:v>-</x:v>
      </x:c>
      <x:c r="D219" s="17" t="str">
        <x:v>context</x:v>
      </x:c>
      <x:c r="E219" s="18" t="n">
        <x:v>15</x:v>
      </x:c>
      <x:c r="F219" s="17" t="str">
        <x:v>MF</x:v>
      </x:c>
      <x:c r="G219" s="17" t="n">
        <x:v>2</x:v>
      </x:c>
      <x:c r="H219" s="19" t="n">
        <x:v>30.3</x:v>
      </x:c>
      <x:c r="I219" s="17" t="str">
        <x:v>颜色 a★ (红绿度).xlsx</x:v>
      </x:c>
      <x:c r="J219" s="17" t="str">
        <x:v>颜色 a★ (红绿度)</x:v>
      </x:c>
      <x:c r="K219" s="17" t="str">
        <x:v>F8</x:v>
      </x:c>
    </x:row>
    <x:row r="220">
      <x:c r="A220" s="17" t="str">
        <x:v>a_star</x:v>
      </x:c>
      <x:c r="B220" s="17" t="str">
        <x:v>颜色a*</x:v>
      </x:c>
      <x:c r="C220" s="17" t="str">
        <x:v>-</x:v>
      </x:c>
      <x:c r="D220" s="17" t="str">
        <x:v>context</x:v>
      </x:c>
      <x:c r="E220" s="18" t="n">
        <x:v>15</x:v>
      </x:c>
      <x:c r="F220" s="17" t="str">
        <x:v>MF</x:v>
      </x:c>
      <x:c r="G220" s="17" t="n">
        <x:v>3</x:v>
      </x:c>
      <x:c r="H220" s="19" t="n">
        <x:v>30.1</x:v>
      </x:c>
      <x:c r="I220" s="17" t="str">
        <x:v>颜色 a★ (红绿度).xlsx</x:v>
      </x:c>
      <x:c r="J220" s="17" t="str">
        <x:v>颜色 a★ (红绿度)</x:v>
      </x:c>
      <x:c r="K220" s="17" t="str">
        <x:v>G8</x:v>
      </x:c>
    </x:row>
    <x:row r="221">
      <x:c r="A221" s="17" t="str">
        <x:v>delta_e</x:v>
      </x:c>
      <x:c r="B221" s="17" t="str">
        <x:v>总色差ΔE</x:v>
      </x:c>
      <x:c r="C221" s="17" t="str">
        <x:v>-</x:v>
      </x:c>
      <x:c r="D221" s="17" t="str">
        <x:v>lower_better</x:v>
      </x:c>
      <x:c r="E221" s="18" t="n">
        <x:v>0</x:v>
      </x:c>
      <x:c r="F221" s="17" t="str">
        <x:v>CR</x:v>
      </x:c>
      <x:c r="G221" s="17" t="n">
        <x:v>1</x:v>
      </x:c>
      <x:c r="H221" s="19" t="n">
        <x:v>0</x:v>
      </x:c>
      <x:c r="I221" s="17" t="str">
        <x:v>总色差 ΔE.xlsx</x:v>
      </x:c>
      <x:c r="J221" s="17" t="str">
        <x:v>总色差 ΔE</x:v>
      </x:c>
      <x:c r="K221" s="17" t="str">
        <x:v>B3</x:v>
      </x:c>
    </x:row>
    <x:row r="222">
      <x:c r="A222" s="17" t="str">
        <x:v>delta_e</x:v>
      </x:c>
      <x:c r="B222" s="17" t="str">
        <x:v>总色差ΔE</x:v>
      </x:c>
      <x:c r="C222" s="17" t="str">
        <x:v>-</x:v>
      </x:c>
      <x:c r="D222" s="17" t="str">
        <x:v>lower_better</x:v>
      </x:c>
      <x:c r="E222" s="18" t="n">
        <x:v>0</x:v>
      </x:c>
      <x:c r="F222" s="17" t="str">
        <x:v>CR</x:v>
      </x:c>
      <x:c r="G222" s="17" t="n">
        <x:v>2</x:v>
      </x:c>
      <x:c r="H222" s="19" t="n">
        <x:v>0</x:v>
      </x:c>
      <x:c r="I222" s="17" t="str">
        <x:v>总色差 ΔE.xlsx</x:v>
      </x:c>
      <x:c r="J222" s="17" t="str">
        <x:v>总色差 ΔE</x:v>
      </x:c>
      <x:c r="K222" s="17" t="str">
        <x:v>C3</x:v>
      </x:c>
    </x:row>
    <x:row r="223">
      <x:c r="A223" s="17" t="str">
        <x:v>delta_e</x:v>
      </x:c>
      <x:c r="B223" s="17" t="str">
        <x:v>总色差ΔE</x:v>
      </x:c>
      <x:c r="C223" s="17" t="str">
        <x:v>-</x:v>
      </x:c>
      <x:c r="D223" s="17" t="str">
        <x:v>lower_better</x:v>
      </x:c>
      <x:c r="E223" s="18" t="n">
        <x:v>0</x:v>
      </x:c>
      <x:c r="F223" s="17" t="str">
        <x:v>CR</x:v>
      </x:c>
      <x:c r="G223" s="17" t="n">
        <x:v>3</x:v>
      </x:c>
      <x:c r="H223" s="19" t="n">
        <x:v>0</x:v>
      </x:c>
      <x:c r="I223" s="17" t="str">
        <x:v>总色差 ΔE.xlsx</x:v>
      </x:c>
      <x:c r="J223" s="17" t="str">
        <x:v>总色差 ΔE</x:v>
      </x:c>
      <x:c r="K223" s="17" t="str">
        <x:v>D3</x:v>
      </x:c>
    </x:row>
    <x:row r="224">
      <x:c r="A224" s="17" t="str">
        <x:v>delta_e</x:v>
      </x:c>
      <x:c r="B224" s="17" t="str">
        <x:v>总色差ΔE</x:v>
      </x:c>
      <x:c r="C224" s="17" t="str">
        <x:v>-</x:v>
      </x:c>
      <x:c r="D224" s="17" t="str">
        <x:v>lower_better</x:v>
      </x:c>
      <x:c r="E224" s="18" t="n">
        <x:v>0</x:v>
      </x:c>
      <x:c r="F224" s="17" t="str">
        <x:v>MF</x:v>
      </x:c>
      <x:c r="G224" s="17" t="n">
        <x:v>1</x:v>
      </x:c>
      <x:c r="H224" s="19" t="n">
        <x:v>0</x:v>
      </x:c>
      <x:c r="I224" s="17" t="str">
        <x:v>总色差 ΔE.xlsx</x:v>
      </x:c>
      <x:c r="J224" s="17" t="str">
        <x:v>总色差 ΔE</x:v>
      </x:c>
      <x:c r="K224" s="17" t="str">
        <x:v>E3</x:v>
      </x:c>
    </x:row>
    <x:row r="225">
      <x:c r="A225" s="17" t="str">
        <x:v>delta_e</x:v>
      </x:c>
      <x:c r="B225" s="17" t="str">
        <x:v>总色差ΔE</x:v>
      </x:c>
      <x:c r="C225" s="17" t="str">
        <x:v>-</x:v>
      </x:c>
      <x:c r="D225" s="17" t="str">
        <x:v>lower_better</x:v>
      </x:c>
      <x:c r="E225" s="18" t="n">
        <x:v>0</x:v>
      </x:c>
      <x:c r="F225" s="17" t="str">
        <x:v>MF</x:v>
      </x:c>
      <x:c r="G225" s="17" t="n">
        <x:v>2</x:v>
      </x:c>
      <x:c r="H225" s="19" t="n">
        <x:v>0</x:v>
      </x:c>
      <x:c r="I225" s="17" t="str">
        <x:v>总色差 ΔE.xlsx</x:v>
      </x:c>
      <x:c r="J225" s="17" t="str">
        <x:v>总色差 ΔE</x:v>
      </x:c>
      <x:c r="K225" s="17" t="str">
        <x:v>F3</x:v>
      </x:c>
    </x:row>
    <x:row r="226">
      <x:c r="A226" s="17" t="str">
        <x:v>delta_e</x:v>
      </x:c>
      <x:c r="B226" s="17" t="str">
        <x:v>总色差ΔE</x:v>
      </x:c>
      <x:c r="C226" s="17" t="str">
        <x:v>-</x:v>
      </x:c>
      <x:c r="D226" s="17" t="str">
        <x:v>lower_better</x:v>
      </x:c>
      <x:c r="E226" s="18" t="n">
        <x:v>0</x:v>
      </x:c>
      <x:c r="F226" s="17" t="str">
        <x:v>MF</x:v>
      </x:c>
      <x:c r="G226" s="17" t="n">
        <x:v>3</x:v>
      </x:c>
      <x:c r="H226" s="19" t="n">
        <x:v>0</x:v>
      </x:c>
      <x:c r="I226" s="17" t="str">
        <x:v>总色差 ΔE.xlsx</x:v>
      </x:c>
      <x:c r="J226" s="17" t="str">
        <x:v>总色差 ΔE</x:v>
      </x:c>
      <x:c r="K226" s="17" t="str">
        <x:v>G3</x:v>
      </x:c>
    </x:row>
    <x:row r="227">
      <x:c r="A227" s="17" t="str">
        <x:v>delta_e</x:v>
      </x:c>
      <x:c r="B227" s="17" t="str">
        <x:v>总色差ΔE</x:v>
      </x:c>
      <x:c r="C227" s="17" t="str">
        <x:v>-</x:v>
      </x:c>
      <x:c r="D227" s="17" t="str">
        <x:v>lower_better</x:v>
      </x:c>
      <x:c r="E227" s="18" t="n">
        <x:v>3</x:v>
      </x:c>
      <x:c r="F227" s="17" t="str">
        <x:v>CR</x:v>
      </x:c>
      <x:c r="G227" s="17" t="n">
        <x:v>1</x:v>
      </x:c>
      <x:c r="H227" s="19" t="n">
        <x:v>6.9</x:v>
      </x:c>
      <x:c r="I227" s="17" t="str">
        <x:v>总色差 ΔE.xlsx</x:v>
      </x:c>
      <x:c r="J227" s="17" t="str">
        <x:v>总色差 ΔE</x:v>
      </x:c>
      <x:c r="K227" s="17" t="str">
        <x:v>B4</x:v>
      </x:c>
    </x:row>
    <x:row r="228">
      <x:c r="A228" s="17" t="str">
        <x:v>delta_e</x:v>
      </x:c>
      <x:c r="B228" s="17" t="str">
        <x:v>总色差ΔE</x:v>
      </x:c>
      <x:c r="C228" s="17" t="str">
        <x:v>-</x:v>
      </x:c>
      <x:c r="D228" s="17" t="str">
        <x:v>lower_better</x:v>
      </x:c>
      <x:c r="E228" s="18" t="n">
        <x:v>3</x:v>
      </x:c>
      <x:c r="F228" s="17" t="str">
        <x:v>CR</x:v>
      </x:c>
      <x:c r="G228" s="17" t="n">
        <x:v>2</x:v>
      </x:c>
      <x:c r="H228" s="19" t="n">
        <x:v>7</x:v>
      </x:c>
      <x:c r="I228" s="17" t="str">
        <x:v>总色差 ΔE.xlsx</x:v>
      </x:c>
      <x:c r="J228" s="17" t="str">
        <x:v>总色差 ΔE</x:v>
      </x:c>
      <x:c r="K228" s="17" t="str">
        <x:v>C4</x:v>
      </x:c>
    </x:row>
    <x:row r="229">
      <x:c r="A229" s="17" t="str">
        <x:v>delta_e</x:v>
      </x:c>
      <x:c r="B229" s="17" t="str">
        <x:v>总色差ΔE</x:v>
      </x:c>
      <x:c r="C229" s="17" t="str">
        <x:v>-</x:v>
      </x:c>
      <x:c r="D229" s="17" t="str">
        <x:v>lower_better</x:v>
      </x:c>
      <x:c r="E229" s="18" t="n">
        <x:v>3</x:v>
      </x:c>
      <x:c r="F229" s="17" t="str">
        <x:v>CR</x:v>
      </x:c>
      <x:c r="G229" s="17" t="n">
        <x:v>3</x:v>
      </x:c>
      <x:c r="H229" s="19" t="n">
        <x:v>6.8</x:v>
      </x:c>
      <x:c r="I229" s="17" t="str">
        <x:v>总色差 ΔE.xlsx</x:v>
      </x:c>
      <x:c r="J229" s="17" t="str">
        <x:v>总色差 ΔE</x:v>
      </x:c>
      <x:c r="K229" s="17" t="str">
        <x:v>D4</x:v>
      </x:c>
    </x:row>
    <x:row r="230">
      <x:c r="A230" s="17" t="str">
        <x:v>delta_e</x:v>
      </x:c>
      <x:c r="B230" s="17" t="str">
        <x:v>总色差ΔE</x:v>
      </x:c>
      <x:c r="C230" s="17" t="str">
        <x:v>-</x:v>
      </x:c>
      <x:c r="D230" s="17" t="str">
        <x:v>lower_better</x:v>
      </x:c>
      <x:c r="E230" s="18" t="n">
        <x:v>3</x:v>
      </x:c>
      <x:c r="F230" s="17" t="str">
        <x:v>MF</x:v>
      </x:c>
      <x:c r="G230" s="17" t="n">
        <x:v>1</x:v>
      </x:c>
      <x:c r="H230" s="19" t="n">
        <x:v>6</x:v>
      </x:c>
      <x:c r="I230" s="17" t="str">
        <x:v>总色差 ΔE.xlsx</x:v>
      </x:c>
      <x:c r="J230" s="17" t="str">
        <x:v>总色差 ΔE</x:v>
      </x:c>
      <x:c r="K230" s="17" t="str">
        <x:v>E4</x:v>
      </x:c>
    </x:row>
    <x:row r="231">
      <x:c r="A231" s="17" t="str">
        <x:v>delta_e</x:v>
      </x:c>
      <x:c r="B231" s="17" t="str">
        <x:v>总色差ΔE</x:v>
      </x:c>
      <x:c r="C231" s="17" t="str">
        <x:v>-</x:v>
      </x:c>
      <x:c r="D231" s="17" t="str">
        <x:v>lower_better</x:v>
      </x:c>
      <x:c r="E231" s="18" t="n">
        <x:v>3</x:v>
      </x:c>
      <x:c r="F231" s="17" t="str">
        <x:v>MF</x:v>
      </x:c>
      <x:c r="G231" s="17" t="n">
        <x:v>2</x:v>
      </x:c>
      <x:c r="H231" s="19" t="n">
        <x:v>6.1</x:v>
      </x:c>
      <x:c r="I231" s="17" t="str">
        <x:v>总色差 ΔE.xlsx</x:v>
      </x:c>
      <x:c r="J231" s="17" t="str">
        <x:v>总色差 ΔE</x:v>
      </x:c>
      <x:c r="K231" s="17" t="str">
        <x:v>F4</x:v>
      </x:c>
    </x:row>
    <x:row r="232">
      <x:c r="A232" s="17" t="str">
        <x:v>delta_e</x:v>
      </x:c>
      <x:c r="B232" s="17" t="str">
        <x:v>总色差ΔE</x:v>
      </x:c>
      <x:c r="C232" s="17" t="str">
        <x:v>-</x:v>
      </x:c>
      <x:c r="D232" s="17" t="str">
        <x:v>lower_better</x:v>
      </x:c>
      <x:c r="E232" s="18" t="n">
        <x:v>3</x:v>
      </x:c>
      <x:c r="F232" s="17" t="str">
        <x:v>MF</x:v>
      </x:c>
      <x:c r="G232" s="17" t="n">
        <x:v>3</x:v>
      </x:c>
      <x:c r="H232" s="19" t="n">
        <x:v>5.9</x:v>
      </x:c>
      <x:c r="I232" s="17" t="str">
        <x:v>总色差 ΔE.xlsx</x:v>
      </x:c>
      <x:c r="J232" s="17" t="str">
        <x:v>总色差 ΔE</x:v>
      </x:c>
      <x:c r="K232" s="17" t="str">
        <x:v>G4</x:v>
      </x:c>
    </x:row>
    <x:row r="233">
      <x:c r="A233" s="17" t="str">
        <x:v>delta_e</x:v>
      </x:c>
      <x:c r="B233" s="17" t="str">
        <x:v>总色差ΔE</x:v>
      </x:c>
      <x:c r="C233" s="17" t="str">
        <x:v>-</x:v>
      </x:c>
      <x:c r="D233" s="17" t="str">
        <x:v>lower_better</x:v>
      </x:c>
      <x:c r="E233" s="18" t="n">
        <x:v>6</x:v>
      </x:c>
      <x:c r="F233" s="17" t="str">
        <x:v>CR</x:v>
      </x:c>
      <x:c r="G233" s="17" t="n">
        <x:v>1</x:v>
      </x:c>
      <x:c r="H233" s="19" t="n">
        <x:v>9.1</x:v>
      </x:c>
      <x:c r="I233" s="17" t="str">
        <x:v>总色差 ΔE.xlsx</x:v>
      </x:c>
      <x:c r="J233" s="17" t="str">
        <x:v>总色差 ΔE</x:v>
      </x:c>
      <x:c r="K233" s="17" t="str">
        <x:v>B5</x:v>
      </x:c>
    </x:row>
    <x:row r="234">
      <x:c r="A234" s="17" t="str">
        <x:v>delta_e</x:v>
      </x:c>
      <x:c r="B234" s="17" t="str">
        <x:v>总色差ΔE</x:v>
      </x:c>
      <x:c r="C234" s="17" t="str">
        <x:v>-</x:v>
      </x:c>
      <x:c r="D234" s="17" t="str">
        <x:v>lower_better</x:v>
      </x:c>
      <x:c r="E234" s="18" t="n">
        <x:v>6</x:v>
      </x:c>
      <x:c r="F234" s="17" t="str">
        <x:v>CR</x:v>
      </x:c>
      <x:c r="G234" s="17" t="n">
        <x:v>2</x:v>
      </x:c>
      <x:c r="H234" s="19" t="n">
        <x:v>9.2</x:v>
      </x:c>
      <x:c r="I234" s="17" t="str">
        <x:v>总色差 ΔE.xlsx</x:v>
      </x:c>
      <x:c r="J234" s="17" t="str">
        <x:v>总色差 ΔE</x:v>
      </x:c>
      <x:c r="K234" s="17" t="str">
        <x:v>C5</x:v>
      </x:c>
    </x:row>
    <x:row r="235">
      <x:c r="A235" s="17" t="str">
        <x:v>delta_e</x:v>
      </x:c>
      <x:c r="B235" s="17" t="str">
        <x:v>总色差ΔE</x:v>
      </x:c>
      <x:c r="C235" s="17" t="str">
        <x:v>-</x:v>
      </x:c>
      <x:c r="D235" s="17" t="str">
        <x:v>lower_better</x:v>
      </x:c>
      <x:c r="E235" s="18" t="n">
        <x:v>6</x:v>
      </x:c>
      <x:c r="F235" s="17" t="str">
        <x:v>CR</x:v>
      </x:c>
      <x:c r="G235" s="17" t="n">
        <x:v>3</x:v>
      </x:c>
      <x:c r="H235" s="19" t="n">
        <x:v>9</x:v>
      </x:c>
      <x:c r="I235" s="17" t="str">
        <x:v>总色差 ΔE.xlsx</x:v>
      </x:c>
      <x:c r="J235" s="17" t="str">
        <x:v>总色差 ΔE</x:v>
      </x:c>
      <x:c r="K235" s="17" t="str">
        <x:v>D5</x:v>
      </x:c>
    </x:row>
    <x:row r="236">
      <x:c r="A236" s="17" t="str">
        <x:v>delta_e</x:v>
      </x:c>
      <x:c r="B236" s="17" t="str">
        <x:v>总色差ΔE</x:v>
      </x:c>
      <x:c r="C236" s="17" t="str">
        <x:v>-</x:v>
      </x:c>
      <x:c r="D236" s="17" t="str">
        <x:v>lower_better</x:v>
      </x:c>
      <x:c r="E236" s="18" t="n">
        <x:v>6</x:v>
      </x:c>
      <x:c r="F236" s="17" t="str">
        <x:v>MF</x:v>
      </x:c>
      <x:c r="G236" s="17" t="n">
        <x:v>1</x:v>
      </x:c>
      <x:c r="H236" s="19" t="n">
        <x:v>8</x:v>
      </x:c>
      <x:c r="I236" s="17" t="str">
        <x:v>总色差 ΔE.xlsx</x:v>
      </x:c>
      <x:c r="J236" s="17" t="str">
        <x:v>总色差 ΔE</x:v>
      </x:c>
      <x:c r="K236" s="17" t="str">
        <x:v>E5</x:v>
      </x:c>
    </x:row>
    <x:row r="237">
      <x:c r="A237" s="17" t="str">
        <x:v>delta_e</x:v>
      </x:c>
      <x:c r="B237" s="17" t="str">
        <x:v>总色差ΔE</x:v>
      </x:c>
      <x:c r="C237" s="17" t="str">
        <x:v>-</x:v>
      </x:c>
      <x:c r="D237" s="17" t="str">
        <x:v>lower_better</x:v>
      </x:c>
      <x:c r="E237" s="18" t="n">
        <x:v>6</x:v>
      </x:c>
      <x:c r="F237" s="17" t="str">
        <x:v>MF</x:v>
      </x:c>
      <x:c r="G237" s="17" t="n">
        <x:v>2</x:v>
      </x:c>
      <x:c r="H237" s="19" t="n">
        <x:v>8.1</x:v>
      </x:c>
      <x:c r="I237" s="17" t="str">
        <x:v>总色差 ΔE.xlsx</x:v>
      </x:c>
      <x:c r="J237" s="17" t="str">
        <x:v>总色差 ΔE</x:v>
      </x:c>
      <x:c r="K237" s="17" t="str">
        <x:v>F5</x:v>
      </x:c>
    </x:row>
    <x:row r="238">
      <x:c r="A238" s="17" t="str">
        <x:v>delta_e</x:v>
      </x:c>
      <x:c r="B238" s="17" t="str">
        <x:v>总色差ΔE</x:v>
      </x:c>
      <x:c r="C238" s="17" t="str">
        <x:v>-</x:v>
      </x:c>
      <x:c r="D238" s="17" t="str">
        <x:v>lower_better</x:v>
      </x:c>
      <x:c r="E238" s="18" t="n">
        <x:v>6</x:v>
      </x:c>
      <x:c r="F238" s="17" t="str">
        <x:v>MF</x:v>
      </x:c>
      <x:c r="G238" s="17" t="n">
        <x:v>3</x:v>
      </x:c>
      <x:c r="H238" s="19" t="n">
        <x:v>7.9</x:v>
      </x:c>
      <x:c r="I238" s="17" t="str">
        <x:v>总色差 ΔE.xlsx</x:v>
      </x:c>
      <x:c r="J238" s="17" t="str">
        <x:v>总色差 ΔE</x:v>
      </x:c>
      <x:c r="K238" s="17" t="str">
        <x:v>G5</x:v>
      </x:c>
    </x:row>
    <x:row r="239">
      <x:c r="A239" s="17" t="str">
        <x:v>delta_e</x:v>
      </x:c>
      <x:c r="B239" s="17" t="str">
        <x:v>总色差ΔE</x:v>
      </x:c>
      <x:c r="C239" s="17" t="str">
        <x:v>-</x:v>
      </x:c>
      <x:c r="D239" s="17" t="str">
        <x:v>lower_better</x:v>
      </x:c>
      <x:c r="E239" s="18" t="n">
        <x:v>9</x:v>
      </x:c>
      <x:c r="F239" s="17" t="str">
        <x:v>CR</x:v>
      </x:c>
      <x:c r="G239" s="17" t="n">
        <x:v>1</x:v>
      </x:c>
      <x:c r="H239" s="19" t="n">
        <x:v>9.1</x:v>
      </x:c>
      <x:c r="I239" s="17" t="str">
        <x:v>总色差 ΔE.xlsx</x:v>
      </x:c>
      <x:c r="J239" s="17" t="str">
        <x:v>总色差 ΔE</x:v>
      </x:c>
      <x:c r="K239" s="17" t="str">
        <x:v>B6</x:v>
      </x:c>
    </x:row>
    <x:row r="240">
      <x:c r="A240" s="17" t="str">
        <x:v>delta_e</x:v>
      </x:c>
      <x:c r="B240" s="17" t="str">
        <x:v>总色差ΔE</x:v>
      </x:c>
      <x:c r="C240" s="17" t="str">
        <x:v>-</x:v>
      </x:c>
      <x:c r="D240" s="17" t="str">
        <x:v>lower_better</x:v>
      </x:c>
      <x:c r="E240" s="18" t="n">
        <x:v>9</x:v>
      </x:c>
      <x:c r="F240" s="17" t="str">
        <x:v>CR</x:v>
      </x:c>
      <x:c r="G240" s="17" t="n">
        <x:v>2</x:v>
      </x:c>
      <x:c r="H240" s="19" t="n">
        <x:v>9</x:v>
      </x:c>
      <x:c r="I240" s="17" t="str">
        <x:v>总色差 ΔE.xlsx</x:v>
      </x:c>
      <x:c r="J240" s="17" t="str">
        <x:v>总色差 ΔE</x:v>
      </x:c>
      <x:c r="K240" s="17" t="str">
        <x:v>C6</x:v>
      </x:c>
    </x:row>
    <x:row r="241">
      <x:c r="A241" s="17" t="str">
        <x:v>delta_e</x:v>
      </x:c>
      <x:c r="B241" s="17" t="str">
        <x:v>总色差ΔE</x:v>
      </x:c>
      <x:c r="C241" s="17" t="str">
        <x:v>-</x:v>
      </x:c>
      <x:c r="D241" s="17" t="str">
        <x:v>lower_better</x:v>
      </x:c>
      <x:c r="E241" s="18" t="n">
        <x:v>9</x:v>
      </x:c>
      <x:c r="F241" s="17" t="str">
        <x:v>CR</x:v>
      </x:c>
      <x:c r="G241" s="17" t="n">
        <x:v>3</x:v>
      </x:c>
      <x:c r="H241" s="19" t="n">
        <x:v>9.2</x:v>
      </x:c>
      <x:c r="I241" s="17" t="str">
        <x:v>总色差 ΔE.xlsx</x:v>
      </x:c>
      <x:c r="J241" s="17" t="str">
        <x:v>总色差 ΔE</x:v>
      </x:c>
      <x:c r="K241" s="17" t="str">
        <x:v>D6</x:v>
      </x:c>
    </x:row>
    <x:row r="242">
      <x:c r="A242" s="17" t="str">
        <x:v>delta_e</x:v>
      </x:c>
      <x:c r="B242" s="17" t="str">
        <x:v>总色差ΔE</x:v>
      </x:c>
      <x:c r="C242" s="17" t="str">
        <x:v>-</x:v>
      </x:c>
      <x:c r="D242" s="17" t="str">
        <x:v>lower_better</x:v>
      </x:c>
      <x:c r="E242" s="18" t="n">
        <x:v>9</x:v>
      </x:c>
      <x:c r="F242" s="17" t="str">
        <x:v>MF</x:v>
      </x:c>
      <x:c r="G242" s="17" t="n">
        <x:v>1</x:v>
      </x:c>
      <x:c r="H242" s="19" t="n">
        <x:v>7.5</x:v>
      </x:c>
      <x:c r="I242" s="17" t="str">
        <x:v>总色差 ΔE.xlsx</x:v>
      </x:c>
      <x:c r="J242" s="17" t="str">
        <x:v>总色差 ΔE</x:v>
      </x:c>
      <x:c r="K242" s="17" t="str">
        <x:v>E6</x:v>
      </x:c>
    </x:row>
    <x:row r="243">
      <x:c r="A243" s="17" t="str">
        <x:v>delta_e</x:v>
      </x:c>
      <x:c r="B243" s="17" t="str">
        <x:v>总色差ΔE</x:v>
      </x:c>
      <x:c r="C243" s="17" t="str">
        <x:v>-</x:v>
      </x:c>
      <x:c r="D243" s="17" t="str">
        <x:v>lower_better</x:v>
      </x:c>
      <x:c r="E243" s="18" t="n">
        <x:v>9</x:v>
      </x:c>
      <x:c r="F243" s="17" t="str">
        <x:v>MF</x:v>
      </x:c>
      <x:c r="G243" s="17" t="n">
        <x:v>2</x:v>
      </x:c>
      <x:c r="H243" s="19" t="n">
        <x:v>7.4</x:v>
      </x:c>
      <x:c r="I243" s="17" t="str">
        <x:v>总色差 ΔE.xlsx</x:v>
      </x:c>
      <x:c r="J243" s="17" t="str">
        <x:v>总色差 ΔE</x:v>
      </x:c>
      <x:c r="K243" s="17" t="str">
        <x:v>F6</x:v>
      </x:c>
    </x:row>
    <x:row r="244">
      <x:c r="A244" s="17" t="str">
        <x:v>delta_e</x:v>
      </x:c>
      <x:c r="B244" s="17" t="str">
        <x:v>总色差ΔE</x:v>
      </x:c>
      <x:c r="C244" s="17" t="str">
        <x:v>-</x:v>
      </x:c>
      <x:c r="D244" s="17" t="str">
        <x:v>lower_better</x:v>
      </x:c>
      <x:c r="E244" s="18" t="n">
        <x:v>9</x:v>
      </x:c>
      <x:c r="F244" s="17" t="str">
        <x:v>MF</x:v>
      </x:c>
      <x:c r="G244" s="17" t="n">
        <x:v>3</x:v>
      </x:c>
      <x:c r="H244" s="19" t="n">
        <x:v>7.6</x:v>
      </x:c>
      <x:c r="I244" s="17" t="str">
        <x:v>总色差 ΔE.xlsx</x:v>
      </x:c>
      <x:c r="J244" s="17" t="str">
        <x:v>总色差 ΔE</x:v>
      </x:c>
      <x:c r="K244" s="17" t="str">
        <x:v>G6</x:v>
      </x:c>
    </x:row>
    <x:row r="245">
      <x:c r="A245" s="17" t="str">
        <x:v>delta_e</x:v>
      </x:c>
      <x:c r="B245" s="17" t="str">
        <x:v>总色差ΔE</x:v>
      </x:c>
      <x:c r="C245" s="17" t="str">
        <x:v>-</x:v>
      </x:c>
      <x:c r="D245" s="17" t="str">
        <x:v>lower_better</x:v>
      </x:c>
      <x:c r="E245" s="18" t="n">
        <x:v>12</x:v>
      </x:c>
      <x:c r="F245" s="17" t="str">
        <x:v>CR</x:v>
      </x:c>
      <x:c r="G245" s="17" t="n">
        <x:v>1</x:v>
      </x:c>
      <x:c r="H245" s="19" t="n">
        <x:v>11</x:v>
      </x:c>
      <x:c r="I245" s="17" t="str">
        <x:v>总色差 ΔE.xlsx</x:v>
      </x:c>
      <x:c r="J245" s="17" t="str">
        <x:v>总色差 ΔE</x:v>
      </x:c>
      <x:c r="K245" s="17" t="str">
        <x:v>B7</x:v>
      </x:c>
    </x:row>
    <x:row r="246">
      <x:c r="A246" s="17" t="str">
        <x:v>delta_e</x:v>
      </x:c>
      <x:c r="B246" s="17" t="str">
        <x:v>总色差ΔE</x:v>
      </x:c>
      <x:c r="C246" s="17" t="str">
        <x:v>-</x:v>
      </x:c>
      <x:c r="D246" s="17" t="str">
        <x:v>lower_better</x:v>
      </x:c>
      <x:c r="E246" s="18" t="n">
        <x:v>12</x:v>
      </x:c>
      <x:c r="F246" s="17" t="str">
        <x:v>CR</x:v>
      </x:c>
      <x:c r="G246" s="17" t="n">
        <x:v>2</x:v>
      </x:c>
      <x:c r="H246" s="19" t="n">
        <x:v>11.1</x:v>
      </x:c>
      <x:c r="I246" s="17" t="str">
        <x:v>总色差 ΔE.xlsx</x:v>
      </x:c>
      <x:c r="J246" s="17" t="str">
        <x:v>总色差 ΔE</x:v>
      </x:c>
      <x:c r="K246" s="17" t="str">
        <x:v>C7</x:v>
      </x:c>
    </x:row>
    <x:row r="247">
      <x:c r="A247" s="17" t="str">
        <x:v>delta_e</x:v>
      </x:c>
      <x:c r="B247" s="17" t="str">
        <x:v>总色差ΔE</x:v>
      </x:c>
      <x:c r="C247" s="17" t="str">
        <x:v>-</x:v>
      </x:c>
      <x:c r="D247" s="17" t="str">
        <x:v>lower_better</x:v>
      </x:c>
      <x:c r="E247" s="18" t="n">
        <x:v>12</x:v>
      </x:c>
      <x:c r="F247" s="17" t="str">
        <x:v>CR</x:v>
      </x:c>
      <x:c r="G247" s="17" t="n">
        <x:v>3</x:v>
      </x:c>
      <x:c r="H247" s="19" t="n">
        <x:v>10.9</x:v>
      </x:c>
      <x:c r="I247" s="17" t="str">
        <x:v>总色差 ΔE.xlsx</x:v>
      </x:c>
      <x:c r="J247" s="17" t="str">
        <x:v>总色差 ΔE</x:v>
      </x:c>
      <x:c r="K247" s="17" t="str">
        <x:v>D7</x:v>
      </x:c>
    </x:row>
    <x:row r="248">
      <x:c r="A248" s="17" t="str">
        <x:v>delta_e</x:v>
      </x:c>
      <x:c r="B248" s="17" t="str">
        <x:v>总色差ΔE</x:v>
      </x:c>
      <x:c r="C248" s="17" t="str">
        <x:v>-</x:v>
      </x:c>
      <x:c r="D248" s="17" t="str">
        <x:v>lower_better</x:v>
      </x:c>
      <x:c r="E248" s="18" t="n">
        <x:v>12</x:v>
      </x:c>
      <x:c r="F248" s="17" t="str">
        <x:v>MF</x:v>
      </x:c>
      <x:c r="G248" s="17" t="n">
        <x:v>1</x:v>
      </x:c>
      <x:c r="H248" s="19" t="n">
        <x:v>8</x:v>
      </x:c>
      <x:c r="I248" s="17" t="str">
        <x:v>总色差 ΔE.xlsx</x:v>
      </x:c>
      <x:c r="J248" s="17" t="str">
        <x:v>总色差 ΔE</x:v>
      </x:c>
      <x:c r="K248" s="17" t="str">
        <x:v>E7</x:v>
      </x:c>
    </x:row>
    <x:row r="249">
      <x:c r="A249" s="17" t="str">
        <x:v>delta_e</x:v>
      </x:c>
      <x:c r="B249" s="17" t="str">
        <x:v>总色差ΔE</x:v>
      </x:c>
      <x:c r="C249" s="17" t="str">
        <x:v>-</x:v>
      </x:c>
      <x:c r="D249" s="17" t="str">
        <x:v>lower_better</x:v>
      </x:c>
      <x:c r="E249" s="18" t="n">
        <x:v>12</x:v>
      </x:c>
      <x:c r="F249" s="17" t="str">
        <x:v>MF</x:v>
      </x:c>
      <x:c r="G249" s="17" t="n">
        <x:v>2</x:v>
      </x:c>
      <x:c r="H249" s="19" t="n">
        <x:v>7.9</x:v>
      </x:c>
      <x:c r="I249" s="17" t="str">
        <x:v>总色差 ΔE.xlsx</x:v>
      </x:c>
      <x:c r="J249" s="17" t="str">
        <x:v>总色差 ΔE</x:v>
      </x:c>
      <x:c r="K249" s="17" t="str">
        <x:v>F7</x:v>
      </x:c>
    </x:row>
    <x:row r="250">
      <x:c r="A250" s="17" t="str">
        <x:v>delta_e</x:v>
      </x:c>
      <x:c r="B250" s="17" t="str">
        <x:v>总色差ΔE</x:v>
      </x:c>
      <x:c r="C250" s="17" t="str">
        <x:v>-</x:v>
      </x:c>
      <x:c r="D250" s="17" t="str">
        <x:v>lower_better</x:v>
      </x:c>
      <x:c r="E250" s="18" t="n">
        <x:v>12</x:v>
      </x:c>
      <x:c r="F250" s="17" t="str">
        <x:v>MF</x:v>
      </x:c>
      <x:c r="G250" s="17" t="n">
        <x:v>3</x:v>
      </x:c>
      <x:c r="H250" s="19" t="n">
        <x:v>8.1</x:v>
      </x:c>
      <x:c r="I250" s="17" t="str">
        <x:v>总色差 ΔE.xlsx</x:v>
      </x:c>
      <x:c r="J250" s="17" t="str">
        <x:v>总色差 ΔE</x:v>
      </x:c>
      <x:c r="K250" s="17" t="str">
        <x:v>G7</x:v>
      </x:c>
    </x:row>
    <x:row r="251">
      <x:c r="A251" s="17" t="str">
        <x:v>delta_e</x:v>
      </x:c>
      <x:c r="B251" s="17" t="str">
        <x:v>总色差ΔE</x:v>
      </x:c>
      <x:c r="C251" s="17" t="str">
        <x:v>-</x:v>
      </x:c>
      <x:c r="D251" s="17" t="str">
        <x:v>lower_better</x:v>
      </x:c>
      <x:c r="E251" s="18" t="n">
        <x:v>15</x:v>
      </x:c>
      <x:c r="F251" s="17" t="str">
        <x:v>CR</x:v>
      </x:c>
      <x:c r="G251" s="17" t="n">
        <x:v>1</x:v>
      </x:c>
      <x:c r="H251" s="19" t="n">
        <x:v>16</x:v>
      </x:c>
      <x:c r="I251" s="17" t="str">
        <x:v>总色差 ΔE.xlsx</x:v>
      </x:c>
      <x:c r="J251" s="17" t="str">
        <x:v>总色差 ΔE</x:v>
      </x:c>
      <x:c r="K251" s="17" t="str">
        <x:v>B8</x:v>
      </x:c>
    </x:row>
    <x:row r="252">
      <x:c r="A252" s="17" t="str">
        <x:v>delta_e</x:v>
      </x:c>
      <x:c r="B252" s="17" t="str">
        <x:v>总色差ΔE</x:v>
      </x:c>
      <x:c r="C252" s="17" t="str">
        <x:v>-</x:v>
      </x:c>
      <x:c r="D252" s="17" t="str">
        <x:v>lower_better</x:v>
      </x:c>
      <x:c r="E252" s="18" t="n">
        <x:v>15</x:v>
      </x:c>
      <x:c r="F252" s="17" t="str">
        <x:v>CR</x:v>
      </x:c>
      <x:c r="G252" s="17" t="n">
        <x:v>2</x:v>
      </x:c>
      <x:c r="H252" s="19" t="n">
        <x:v>16.1</x:v>
      </x:c>
      <x:c r="I252" s="17" t="str">
        <x:v>总色差 ΔE.xlsx</x:v>
      </x:c>
      <x:c r="J252" s="17" t="str">
        <x:v>总色差 ΔE</x:v>
      </x:c>
      <x:c r="K252" s="17" t="str">
        <x:v>C8</x:v>
      </x:c>
    </x:row>
    <x:row r="253">
      <x:c r="A253" s="17" t="str">
        <x:v>delta_e</x:v>
      </x:c>
      <x:c r="B253" s="17" t="str">
        <x:v>总色差ΔE</x:v>
      </x:c>
      <x:c r="C253" s="17" t="str">
        <x:v>-</x:v>
      </x:c>
      <x:c r="D253" s="17" t="str">
        <x:v>lower_better</x:v>
      </x:c>
      <x:c r="E253" s="18" t="n">
        <x:v>15</x:v>
      </x:c>
      <x:c r="F253" s="17" t="str">
        <x:v>CR</x:v>
      </x:c>
      <x:c r="G253" s="17" t="n">
        <x:v>3</x:v>
      </x:c>
      <x:c r="H253" s="19" t="n">
        <x:v>15.9</x:v>
      </x:c>
      <x:c r="I253" s="17" t="str">
        <x:v>总色差 ΔE.xlsx</x:v>
      </x:c>
      <x:c r="J253" s="17" t="str">
        <x:v>总色差 ΔE</x:v>
      </x:c>
      <x:c r="K253" s="17" t="str">
        <x:v>D8</x:v>
      </x:c>
    </x:row>
    <x:row r="254">
      <x:c r="A254" s="17" t="str">
        <x:v>delta_e</x:v>
      </x:c>
      <x:c r="B254" s="17" t="str">
        <x:v>总色差ΔE</x:v>
      </x:c>
      <x:c r="C254" s="17" t="str">
        <x:v>-</x:v>
      </x:c>
      <x:c r="D254" s="17" t="str">
        <x:v>lower_better</x:v>
      </x:c>
      <x:c r="E254" s="18" t="n">
        <x:v>15</x:v>
      </x:c>
      <x:c r="F254" s="17" t="str">
        <x:v>MF</x:v>
      </x:c>
      <x:c r="G254" s="17" t="n">
        <x:v>1</x:v>
      </x:c>
      <x:c r="H254" s="19" t="n">
        <x:v>9.4</x:v>
      </x:c>
      <x:c r="I254" s="17" t="str">
        <x:v>总色差 ΔE.xlsx</x:v>
      </x:c>
      <x:c r="J254" s="17" t="str">
        <x:v>总色差 ΔE</x:v>
      </x:c>
      <x:c r="K254" s="17" t="str">
        <x:v>E8</x:v>
      </x:c>
    </x:row>
    <x:row r="255">
      <x:c r="A255" s="17" t="str">
        <x:v>delta_e</x:v>
      </x:c>
      <x:c r="B255" s="17" t="str">
        <x:v>总色差ΔE</x:v>
      </x:c>
      <x:c r="C255" s="17" t="str">
        <x:v>-</x:v>
      </x:c>
      <x:c r="D255" s="17" t="str">
        <x:v>lower_better</x:v>
      </x:c>
      <x:c r="E255" s="18" t="n">
        <x:v>15</x:v>
      </x:c>
      <x:c r="F255" s="17" t="str">
        <x:v>MF</x:v>
      </x:c>
      <x:c r="G255" s="17" t="n">
        <x:v>2</x:v>
      </x:c>
      <x:c r="H255" s="19" t="n">
        <x:v>9.5</x:v>
      </x:c>
      <x:c r="I255" s="17" t="str">
        <x:v>总色差 ΔE.xlsx</x:v>
      </x:c>
      <x:c r="J255" s="17" t="str">
        <x:v>总色差 ΔE</x:v>
      </x:c>
      <x:c r="K255" s="17" t="str">
        <x:v>F8</x:v>
      </x:c>
    </x:row>
    <x:row r="256">
      <x:c r="A256" s="17" t="str">
        <x:v>delta_e</x:v>
      </x:c>
      <x:c r="B256" s="17" t="str">
        <x:v>总色差ΔE</x:v>
      </x:c>
      <x:c r="C256" s="17" t="str">
        <x:v>-</x:v>
      </x:c>
      <x:c r="D256" s="17" t="str">
        <x:v>lower_better</x:v>
      </x:c>
      <x:c r="E256" s="18" t="n">
        <x:v>15</x:v>
      </x:c>
      <x:c r="F256" s="17" t="str">
        <x:v>MF</x:v>
      </x:c>
      <x:c r="G256" s="17" t="n">
        <x:v>3</x:v>
      </x:c>
      <x:c r="H256" s="19" t="n">
        <x:v>9.3</x:v>
      </x:c>
      <x:c r="I256" s="17" t="str">
        <x:v>总色差 ΔE.xlsx</x:v>
      </x:c>
      <x:c r="J256" s="17" t="str">
        <x:v>总色差 ΔE</x:v>
      </x:c>
      <x:c r="K256" s="17" t="str">
        <x:v>G8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f04227bcfcc4e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28" hidden="0" customWidth="1"/>
    <x:col min="5" max="5" width="24" hidden="0" customWidth="1"/>
    <x:col min="6" max="6" width="14" hidden="0" customWidth="1"/>
    <x:col min="7" max="7" width="18" hidden="0" customWidth="1"/>
    <x:col min="8" max="8" width="34" hidden="0" customWidth="1"/>
  </x:cols>
  <x:sheetData>
    <x:row r="1" ht="30" customHeight="1">
      <x:c r="A1" s="3" t="str">
        <x:v>表型索引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组合图作为代表性外观证据；统计样本量仍以原始指标表中的重复数为准。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3" t="str">
        <x:v>证据ID</x:v>
      </x:c>
      <x:c r="B4" s="13" t="str">
        <x:v>处理</x:v>
      </x:c>
      <x:c r="C4" s="13" t="str">
        <x:v>天数</x:v>
      </x:c>
      <x:c r="D4" s="13" t="str">
        <x:v>源文件</x:v>
      </x:c>
      <x:c r="E4" s="13" t="str">
        <x:v>图中位置</x:v>
      </x:c>
      <x:c r="F4" s="13" t="str">
        <x:v>可见果实数</x:v>
      </x:c>
      <x:c r="G4" s="13" t="str">
        <x:v>用途</x:v>
      </x:c>
      <x:c r="H4" s="13" t="str">
        <x:v>限制</x:v>
      </x:c>
    </x:row>
    <x:row r="5">
      <x:c r="A5" s="17" t="str">
        <x:v>P-CR-0</x:v>
      </x:c>
      <x:c r="B5" s="17" t="str">
        <x:v>CR</x:v>
      </x:c>
      <x:c r="C5" s="17" t="n">
        <x:v>0</x:v>
      </x:c>
      <x:c r="D5" s="17" t="str">
        <x:v>文献一表型图.png</x:v>
      </x:c>
      <x:c r="E5" s="17" t="str">
        <x:v>图A / CR行 / 0 d列</x:v>
      </x:c>
      <x:c r="F5" s="17" t="n">
        <x:v>6</x:v>
      </x:c>
      <x:c r="G5" s="17" t="str">
        <x:v>小试外观记录</x:v>
      </x:c>
      <x:c r="H5" s="17" t="str">
        <x:v>确证阶段按盲法量表记录腐烂和感官评分</x:v>
      </x:c>
    </x:row>
    <x:row r="6">
      <x:c r="A6" s="17" t="str">
        <x:v>P-CR-3</x:v>
      </x:c>
      <x:c r="B6" s="17" t="str">
        <x:v>CR</x:v>
      </x:c>
      <x:c r="C6" s="17" t="n">
        <x:v>3</x:v>
      </x:c>
      <x:c r="D6" s="17" t="str">
        <x:v>文献一表型图.png</x:v>
      </x:c>
      <x:c r="E6" s="17" t="str">
        <x:v>图A / CR行 / 3 d列</x:v>
      </x:c>
      <x:c r="F6" s="17" t="n">
        <x:v>6</x:v>
      </x:c>
      <x:c r="G6" s="17" t="str">
        <x:v>小试外观记录</x:v>
      </x:c>
      <x:c r="H6" s="17" t="str">
        <x:v>确证阶段按盲法量表记录腐烂和感官评分</x:v>
      </x:c>
    </x:row>
    <x:row r="7">
      <x:c r="A7" s="17" t="str">
        <x:v>P-CR-6</x:v>
      </x:c>
      <x:c r="B7" s="17" t="str">
        <x:v>CR</x:v>
      </x:c>
      <x:c r="C7" s="17" t="n">
        <x:v>6</x:v>
      </x:c>
      <x:c r="D7" s="17" t="str">
        <x:v>文献一表型图.png</x:v>
      </x:c>
      <x:c r="E7" s="17" t="str">
        <x:v>图A / CR行 / 6 d列</x:v>
      </x:c>
      <x:c r="F7" s="17" t="n">
        <x:v>6</x:v>
      </x:c>
      <x:c r="G7" s="17" t="str">
        <x:v>小试外观记录</x:v>
      </x:c>
      <x:c r="H7" s="17" t="str">
        <x:v>确证阶段按盲法量表记录腐烂和感官评分</x:v>
      </x:c>
    </x:row>
    <x:row r="8">
      <x:c r="A8" s="17" t="str">
        <x:v>P-CR-9</x:v>
      </x:c>
      <x:c r="B8" s="17" t="str">
        <x:v>CR</x:v>
      </x:c>
      <x:c r="C8" s="17" t="n">
        <x:v>9</x:v>
      </x:c>
      <x:c r="D8" s="17" t="str">
        <x:v>文献一表型图.png</x:v>
      </x:c>
      <x:c r="E8" s="17" t="str">
        <x:v>图A / CR行 / 9 d列</x:v>
      </x:c>
      <x:c r="F8" s="17" t="n">
        <x:v>6</x:v>
      </x:c>
      <x:c r="G8" s="17" t="str">
        <x:v>小试外观记录</x:v>
      </x:c>
      <x:c r="H8" s="17" t="str">
        <x:v>确证阶段按盲法量表记录腐烂和感官评分</x:v>
      </x:c>
    </x:row>
    <x:row r="9">
      <x:c r="A9" s="17" t="str">
        <x:v>P-CR-12</x:v>
      </x:c>
      <x:c r="B9" s="17" t="str">
        <x:v>CR</x:v>
      </x:c>
      <x:c r="C9" s="17" t="n">
        <x:v>12</x:v>
      </x:c>
      <x:c r="D9" s="17" t="str">
        <x:v>文献一表型图.png</x:v>
      </x:c>
      <x:c r="E9" s="17" t="str">
        <x:v>图A / CR行 / 12 d列</x:v>
      </x:c>
      <x:c r="F9" s="17" t="n">
        <x:v>6</x:v>
      </x:c>
      <x:c r="G9" s="17" t="str">
        <x:v>小试外观记录</x:v>
      </x:c>
      <x:c r="H9" s="17" t="str">
        <x:v>确证阶段按盲法量表记录腐烂和感官评分</x:v>
      </x:c>
    </x:row>
    <x:row r="10">
      <x:c r="A10" s="17" t="str">
        <x:v>P-CR-15</x:v>
      </x:c>
      <x:c r="B10" s="17" t="str">
        <x:v>CR</x:v>
      </x:c>
      <x:c r="C10" s="17" t="n">
        <x:v>15</x:v>
      </x:c>
      <x:c r="D10" s="17" t="str">
        <x:v>文献一表型图.png</x:v>
      </x:c>
      <x:c r="E10" s="17" t="str">
        <x:v>图A / CR行 / 15 d列</x:v>
      </x:c>
      <x:c r="F10" s="17" t="n">
        <x:v>6</x:v>
      </x:c>
      <x:c r="G10" s="17" t="str">
        <x:v>小试外观记录</x:v>
      </x:c>
      <x:c r="H10" s="17" t="str">
        <x:v>确证阶段按盲法量表记录腐烂和感官评分</x:v>
      </x:c>
    </x:row>
    <x:row r="11">
      <x:c r="A11" s="17" t="str">
        <x:v>P-MF-0</x:v>
      </x:c>
      <x:c r="B11" s="17" t="str">
        <x:v>MF</x:v>
      </x:c>
      <x:c r="C11" s="17" t="n">
        <x:v>0</x:v>
      </x:c>
      <x:c r="D11" s="17" t="str">
        <x:v>文献一表型图.png</x:v>
      </x:c>
      <x:c r="E11" s="17" t="str">
        <x:v>图A / MF行 / 0 d列</x:v>
      </x:c>
      <x:c r="F11" s="17" t="n">
        <x:v>6</x:v>
      </x:c>
      <x:c r="G11" s="17" t="str">
        <x:v>小试外观记录</x:v>
      </x:c>
      <x:c r="H11" s="17" t="str">
        <x:v>确证阶段按盲法量表记录腐烂和感官评分</x:v>
      </x:c>
    </x:row>
    <x:row r="12">
      <x:c r="A12" s="17" t="str">
        <x:v>P-MF-3</x:v>
      </x:c>
      <x:c r="B12" s="17" t="str">
        <x:v>MF</x:v>
      </x:c>
      <x:c r="C12" s="17" t="n">
        <x:v>3</x:v>
      </x:c>
      <x:c r="D12" s="17" t="str">
        <x:v>文献一表型图.png</x:v>
      </x:c>
      <x:c r="E12" s="17" t="str">
        <x:v>图A / MF行 / 3 d列</x:v>
      </x:c>
      <x:c r="F12" s="17" t="n">
        <x:v>6</x:v>
      </x:c>
      <x:c r="G12" s="17" t="str">
        <x:v>小试外观记录</x:v>
      </x:c>
      <x:c r="H12" s="17" t="str">
        <x:v>确证阶段按盲法量表记录腐烂和感官评分</x:v>
      </x:c>
    </x:row>
    <x:row r="13">
      <x:c r="A13" s="17" t="str">
        <x:v>P-MF-6</x:v>
      </x:c>
      <x:c r="B13" s="17" t="str">
        <x:v>MF</x:v>
      </x:c>
      <x:c r="C13" s="17" t="n">
        <x:v>6</x:v>
      </x:c>
      <x:c r="D13" s="17" t="str">
        <x:v>文献一表型图.png</x:v>
      </x:c>
      <x:c r="E13" s="17" t="str">
        <x:v>图A / MF行 / 6 d列</x:v>
      </x:c>
      <x:c r="F13" s="17" t="n">
        <x:v>6</x:v>
      </x:c>
      <x:c r="G13" s="17" t="str">
        <x:v>小试外观记录</x:v>
      </x:c>
      <x:c r="H13" s="17" t="str">
        <x:v>确证阶段按盲法量表记录腐烂和感官评分</x:v>
      </x:c>
    </x:row>
    <x:row r="14">
      <x:c r="A14" s="17" t="str">
        <x:v>P-MF-9</x:v>
      </x:c>
      <x:c r="B14" s="17" t="str">
        <x:v>MF</x:v>
      </x:c>
      <x:c r="C14" s="17" t="n">
        <x:v>9</x:v>
      </x:c>
      <x:c r="D14" s="17" t="str">
        <x:v>文献一表型图.png</x:v>
      </x:c>
      <x:c r="E14" s="17" t="str">
        <x:v>图A / MF行 / 9 d列</x:v>
      </x:c>
      <x:c r="F14" s="17" t="n">
        <x:v>6</x:v>
      </x:c>
      <x:c r="G14" s="17" t="str">
        <x:v>小试外观记录</x:v>
      </x:c>
      <x:c r="H14" s="17" t="str">
        <x:v>确证阶段按盲法量表记录腐烂和感官评分</x:v>
      </x:c>
    </x:row>
    <x:row r="15">
      <x:c r="A15" s="17" t="str">
        <x:v>P-MF-12</x:v>
      </x:c>
      <x:c r="B15" s="17" t="str">
        <x:v>MF</x:v>
      </x:c>
      <x:c r="C15" s="17" t="n">
        <x:v>12</x:v>
      </x:c>
      <x:c r="D15" s="17" t="str">
        <x:v>文献一表型图.png</x:v>
      </x:c>
      <x:c r="E15" s="17" t="str">
        <x:v>图A / MF行 / 12 d列</x:v>
      </x:c>
      <x:c r="F15" s="17" t="n">
        <x:v>6</x:v>
      </x:c>
      <x:c r="G15" s="17" t="str">
        <x:v>小试外观记录</x:v>
      </x:c>
      <x:c r="H15" s="17" t="str">
        <x:v>确证阶段按盲法量表记录腐烂和感官评分</x:v>
      </x:c>
    </x:row>
    <x:row r="16">
      <x:c r="A16" s="17" t="str">
        <x:v>P-MF-15</x:v>
      </x:c>
      <x:c r="B16" s="17" t="str">
        <x:v>MF</x:v>
      </x:c>
      <x:c r="C16" s="17" t="n">
        <x:v>15</x:v>
      </x:c>
      <x:c r="D16" s="17" t="str">
        <x:v>文献一表型图.png</x:v>
      </x:c>
      <x:c r="E16" s="17" t="str">
        <x:v>图A / MF行 / 15 d列</x:v>
      </x:c>
      <x:c r="F16" s="17" t="n">
        <x:v>6</x:v>
      </x:c>
      <x:c r="G16" s="17" t="str">
        <x:v>小试外观记录</x:v>
      </x:c>
      <x:c r="H16" s="17" t="str">
        <x:v>确证阶段按盲法量表记录腐烂和感官评分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2" hidden="0" customWidth="1"/>
    <x:col min="4" max="4" width="14" hidden="0" customWidth="1"/>
    <x:col min="5" max="5" width="14" hidden="0" customWidth="1"/>
    <x:col min="6" max="6" width="28" hidden="0" customWidth="1"/>
    <x:col min="7" max="7" width="14" hidden="0" customWidth="1"/>
    <x:col min="8" max="8" width="16" hidden="0" customWidth="1"/>
    <x:col min="9" max="9" width="16" hidden="0" customWidth="1"/>
    <x:col min="10" max="10" width="20" hidden="0" customWidth="1"/>
    <x:col min="11" max="11" width="16" hidden="0" customWidth="1"/>
    <x:col min="12" max="12" width="16" hidden="0" customWidth="1"/>
    <x:col min="13" max="13" width="12" hidden="0" customWidth="1"/>
    <x:col min="14" max="14" width="16" hidden="0" customWidth="1"/>
  </x:cols>
  <x:sheetData>
    <x:row r="1" ht="30" customHeight="1">
      <x:c r="A1" s="3" t="str">
        <x:v>处理批次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采购、到货、销售渠道、处理成本和批次责任按业务台账登记。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13" t="str">
        <x:v>批次号</x:v>
      </x:c>
      <x:c r="B4" s="13" t="str">
        <x:v>品种</x:v>
      </x:c>
      <x:c r="C4" s="13" t="str">
        <x:v>产地</x:v>
      </x:c>
      <x:c r="D4" s="13" t="str">
        <x:v>采收/加工日期</x:v>
      </x:c>
      <x:c r="E4" s="13" t="str">
        <x:v>到仓日期</x:v>
      </x:c>
      <x:c r="F4" s="13" t="str">
        <x:v>到仓仓库</x:v>
      </x:c>
      <x:c r="G4" s="13" t="str">
        <x:v>到货量kg</x:v>
      </x:c>
      <x:c r="H4" s="13" t="str">
        <x:v>采购单价元/kg</x:v>
      </x:c>
      <x:c r="I4" s="13" t="str">
        <x:v>采购金额元</x:v>
      </x:c>
      <x:c r="J4" s="13" t="str">
        <x:v>处理工艺</x:v>
      </x:c>
      <x:c r="K4" s="13" t="str">
        <x:v>处理成本元/kg</x:v>
      </x:c>
      <x:c r="L4" s="13" t="str">
        <x:v>计划销售渠道</x:v>
      </x:c>
      <x:c r="M4" s="13" t="str">
        <x:v>批次状态</x:v>
      </x:c>
      <x:c r="N4" s="13" t="str">
        <x:v>数据属性</x:v>
      </x:c>
    </x:row>
    <x:row r="5">
      <x:c r="A5" s="17" t="str">
        <x:v>GD-CM-2601-001</x:v>
      </x:c>
      <x:c r="B5" s="17" t="str">
        <x:v>红颜</x:v>
      </x:c>
      <x:c r="C5" s="17" t="str">
        <x:v>广东广州增城区小楼镇基地</x:v>
      </x:c>
      <x:c r="D5" s="20" t="n">
        <x:v>46027</x:v>
      </x:c>
      <x:c r="E5" s="20" t="n">
        <x:v>46028</x:v>
      </x:c>
      <x:c r="F5" s="17" t="str">
        <x:v>广州江南市场冷链仓</x:v>
      </x:c>
      <x:c r="G5" s="21" t="n">
        <x:v>4631</x:v>
      </x:c>
      <x:c r="H5" s="21" t="n">
        <x:v>19.71</x:v>
      </x:c>
      <x:c r="I5" s="21" t="n">
        <x:v>91277</x:v>
      </x:c>
      <x:c r="J5" s="21" t="str">
        <x:v>5 mT静磁场冷藏</x:v>
      </x:c>
      <x:c r="K5" s="21" t="n">
        <x:v>0.35</x:v>
      </x:c>
      <x:c r="L5" s="17" t="str">
        <x:v>连锁商超</x:v>
      </x:c>
      <x:c r="M5" s="17" t="str">
        <x:v>已结批</x:v>
      </x:c>
      <x:c r="N5" s="17" t="str">
        <x:v>经营基线台账</x:v>
      </x:c>
    </x:row>
    <x:row r="6">
      <x:c r="A6" s="17" t="str">
        <x:v>GD-CM-2601-002</x:v>
      </x:c>
      <x:c r="B6" s="17" t="str">
        <x:v>红颜</x:v>
      </x:c>
      <x:c r="C6" s="17" t="str">
        <x:v>广东韶关翁源县龙仙镇基地</x:v>
      </x:c>
      <x:c r="D6" s="20" t="n">
        <x:v>46036</x:v>
      </x:c>
      <x:c r="E6" s="20" t="n">
        <x:v>46037</x:v>
      </x:c>
      <x:c r="F6" s="17" t="str">
        <x:v>深圳海吉星冷链仓</x:v>
      </x:c>
      <x:c r="G6" s="21" t="n">
        <x:v>4557</x:v>
      </x:c>
      <x:c r="H6" s="21" t="n">
        <x:v>19.04</x:v>
      </x:c>
      <x:c r="I6" s="21" t="n">
        <x:v>86765</x:v>
      </x:c>
      <x:c r="J6" s="21" t="str">
        <x:v>5 mT静磁场冷藏</x:v>
      </x:c>
      <x:c r="K6" s="21" t="n">
        <x:v>0.35</x:v>
      </x:c>
      <x:c r="L6" s="17" t="str">
        <x:v>社区电商</x:v>
      </x:c>
      <x:c r="M6" s="17" t="str">
        <x:v>已结批</x:v>
      </x:c>
      <x:c r="N6" s="17" t="str">
        <x:v>经营基线台账</x:v>
      </x:c>
    </x:row>
    <x:row r="7">
      <x:c r="A7" s="17" t="str">
        <x:v>GD-CM-2601-003</x:v>
      </x:c>
      <x:c r="B7" s="17" t="str">
        <x:v>红颜</x:v>
      </x:c>
      <x:c r="C7" s="17" t="str">
        <x:v>广西南宁武鸣区城厢镇基地</x:v>
      </x:c>
      <x:c r="D7" s="20" t="n">
        <x:v>46045</x:v>
      </x:c>
      <x:c r="E7" s="20" t="n">
        <x:v>46046</x:v>
      </x:c>
      <x:c r="F7" s="17" t="str">
        <x:v>南宁农产品交易中心冷库</x:v>
      </x:c>
      <x:c r="G7" s="21" t="n">
        <x:v>4766</x:v>
      </x:c>
      <x:c r="H7" s="21" t="n">
        <x:v>19.78</x:v>
      </x:c>
      <x:c r="I7" s="21" t="n">
        <x:v>94271</x:v>
      </x:c>
      <x:c r="J7" s="21" t="str">
        <x:v>5 mT静磁场冷藏</x:v>
      </x:c>
      <x:c r="K7" s="21" t="n">
        <x:v>0.35</x:v>
      </x:c>
      <x:c r="L7" s="17" t="str">
        <x:v>批发客户</x:v>
      </x:c>
      <x:c r="M7" s="17" t="str">
        <x:v>已结批</x:v>
      </x:c>
      <x:c r="N7" s="17" t="str">
        <x:v>经营基线台账</x:v>
      </x:c>
    </x:row>
    <x:row r="8">
      <x:c r="A8" s="17" t="str">
        <x:v>GD-CM-2602-004</x:v>
      </x:c>
      <x:c r="B8" s="17" t="str">
        <x:v>红颜</x:v>
      </x:c>
      <x:c r="C8" s="17" t="str">
        <x:v>广东广州增城区小楼镇基地</x:v>
      </x:c>
      <x:c r="D8" s="20" t="n">
        <x:v>46054</x:v>
      </x:c>
      <x:c r="E8" s="20" t="n">
        <x:v>46055</x:v>
      </x:c>
      <x:c r="F8" s="17" t="str">
        <x:v>广州江南市场冷链仓</x:v>
      </x:c>
      <x:c r="G8" s="21" t="n">
        <x:v>4137</x:v>
      </x:c>
      <x:c r="H8" s="21" t="n">
        <x:v>19.61</x:v>
      </x:c>
      <x:c r="I8" s="21" t="n">
        <x:v>81127</x:v>
      </x:c>
      <x:c r="J8" s="21" t="str">
        <x:v>5 mT静磁场冷藏</x:v>
      </x:c>
      <x:c r="K8" s="21" t="n">
        <x:v>0.35</x:v>
      </x:c>
      <x:c r="L8" s="17" t="str">
        <x:v>企业团购</x:v>
      </x:c>
      <x:c r="M8" s="17" t="str">
        <x:v>已结批</x:v>
      </x:c>
      <x:c r="N8" s="17" t="str">
        <x:v>经营基线台账</x:v>
      </x:c>
    </x:row>
    <x:row r="9">
      <x:c r="A9" s="17" t="str">
        <x:v>GD-CM-2602-005</x:v>
      </x:c>
      <x:c r="B9" s="17" t="str">
        <x:v>红颜</x:v>
      </x:c>
      <x:c r="C9" s="17" t="str">
        <x:v>广东韶关翁源县龙仙镇基地</x:v>
      </x:c>
      <x:c r="D9" s="20" t="n">
        <x:v>46063</x:v>
      </x:c>
      <x:c r="E9" s="20" t="n">
        <x:v>46064</x:v>
      </x:c>
      <x:c r="F9" s="17" t="str">
        <x:v>深圳海吉星冷链仓</x:v>
      </x:c>
      <x:c r="G9" s="21" t="n">
        <x:v>4609</x:v>
      </x:c>
      <x:c r="H9" s="21" t="n">
        <x:v>16.64</x:v>
      </x:c>
      <x:c r="I9" s="21" t="n">
        <x:v>76694</x:v>
      </x:c>
      <x:c r="J9" s="21" t="str">
        <x:v>5 mT静磁场冷藏</x:v>
      </x:c>
      <x:c r="K9" s="21" t="n">
        <x:v>0.35</x:v>
      </x:c>
      <x:c r="L9" s="17" t="str">
        <x:v>供港渠道</x:v>
      </x:c>
      <x:c r="M9" s="17" t="str">
        <x:v>已结批</x:v>
      </x:c>
      <x:c r="N9" s="17" t="str">
        <x:v>经营基线台账</x:v>
      </x:c>
    </x:row>
    <x:row r="10">
      <x:c r="A10" s="17" t="str">
        <x:v>GD-CM-2602-006</x:v>
      </x:c>
      <x:c r="B10" s="17" t="str">
        <x:v>红颜</x:v>
      </x:c>
      <x:c r="C10" s="17" t="str">
        <x:v>广西南宁武鸣区城厢镇基地</x:v>
      </x:c>
      <x:c r="D10" s="20" t="n">
        <x:v>46072</x:v>
      </x:c>
      <x:c r="E10" s="20" t="n">
        <x:v>46073</x:v>
      </x:c>
      <x:c r="F10" s="17" t="str">
        <x:v>南宁农产品交易中心冷库</x:v>
      </x:c>
      <x:c r="G10" s="21" t="n">
        <x:v>4478</x:v>
      </x:c>
      <x:c r="H10" s="21" t="n">
        <x:v>17.5</x:v>
      </x:c>
      <x:c r="I10" s="21" t="n">
        <x:v>78365</x:v>
      </x:c>
      <x:c r="J10" s="21" t="str">
        <x:v>5 mT静磁场冷藏</x:v>
      </x:c>
      <x:c r="K10" s="21" t="n">
        <x:v>0.35</x:v>
      </x:c>
      <x:c r="L10" s="17" t="str">
        <x:v>餐饮配送</x:v>
      </x:c>
      <x:c r="M10" s="17" t="str">
        <x:v>已结批</x:v>
      </x:c>
      <x:c r="N10" s="17" t="str">
        <x:v>经营基线台账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8" hidden="0" customWidth="1"/>
    <x:col min="12" max="12" width="14" hidden="0" customWidth="1"/>
    <x:col min="13" max="13" width="14" hidden="0" customWidth="1"/>
  </x:cols>
  <x:sheetData>
    <x:row r="1" ht="30" customHeight="1">
      <x:c r="A1" s="3" t="str">
        <x:v>库存流水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平衡差按“期初+入库-出库-报损-期末”逐日核对。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13" t="str">
        <x:v>日期</x:v>
      </x:c>
      <x:c r="B4" s="13" t="str">
        <x:v>批次号</x:v>
      </x:c>
      <x:c r="C4" s="13" t="str">
        <x:v>仓库</x:v>
      </x:c>
      <x:c r="D4" s="13" t="str">
        <x:v>期初库存kg</x:v>
      </x:c>
      <x:c r="E4" s="13" t="str">
        <x:v>入库kg</x:v>
      </x:c>
      <x:c r="F4" s="13" t="str">
        <x:v>出库kg</x:v>
      </x:c>
      <x:c r="G4" s="13" t="str">
        <x:v>报损kg</x:v>
      </x:c>
      <x:c r="H4" s="13" t="str">
        <x:v>期末库存kg</x:v>
      </x:c>
      <x:c r="I4" s="13" t="str">
        <x:v>入库后天数</x:v>
      </x:c>
      <x:c r="J4" s="13" t="str">
        <x:v>库位类型</x:v>
      </x:c>
      <x:c r="K4" s="13" t="str">
        <x:v>出库去向</x:v>
      </x:c>
      <x:c r="L4" s="13" t="str">
        <x:v>平衡差kg</x:v>
      </x:c>
      <x:c r="M4" s="13" t="str">
        <x:v>复核结果</x:v>
      </x:c>
    </x:row>
    <x:row r="5">
      <x:c r="A5" s="20" t="n">
        <x:v>46028</x:v>
      </x:c>
      <x:c r="B5" s="17" t="str">
        <x:v>GD-CM-2601-001</x:v>
      </x:c>
      <x:c r="C5" s="17" t="str">
        <x:v>广州江南市场冷链仓</x:v>
      </x:c>
      <x:c r="D5" s="22" t="n">
        <x:v>0</x:v>
      </x:c>
      <x:c r="E5" s="22" t="n">
        <x:v>4631</x:v>
      </x:c>
      <x:c r="F5" s="22" t="n">
        <x:v>611.3</x:v>
      </x:c>
      <x:c r="G5" s="22" t="n">
        <x:v>27.8</x:v>
      </x:c>
      <x:c r="H5" s="22" t="n">
        <x:v>3991.9</x:v>
      </x:c>
      <x:c r="I5" s="17" t="n">
        <x:v>0</x:v>
      </x:c>
      <x:c r="J5" s="17" t="str">
        <x:v>暂存区</x:v>
      </x:c>
      <x:c r="K5" s="17" t="str">
        <x:v>供港发车</x:v>
      </x:c>
      <x:c r="L5" s="19" t="n">
        <x:f>D5+E5-F5-G5-H5</x:f>
        <x:v>-4.547473508864641e-13</x:v>
      </x:c>
      <x:c r="M5" s="17" t="str">
        <x:f>IF(ABS(L5)&lt;=0.01,"通过","复核")</x:f>
        <x:v>通过</x:v>
      </x:c>
    </x:row>
    <x:row r="6">
      <x:c r="A6" s="20" t="n">
        <x:v>46029</x:v>
      </x:c>
      <x:c r="B6" s="17" t="str">
        <x:v>GD-CM-2601-001</x:v>
      </x:c>
      <x:c r="C6" s="17" t="str">
        <x:v>广州江南市场冷链仓</x:v>
      </x:c>
      <x:c r="D6" s="22" t="n">
        <x:v>3991.9</x:v>
      </x:c>
      <x:c r="E6" s="22" t="n">
        <x:v>0</x:v>
      </x:c>
      <x:c r="F6" s="22" t="n">
        <x:v>275.3</x:v>
      </x:c>
      <x:c r="G6" s="22" t="n">
        <x:v>30.4</x:v>
      </x:c>
      <x:c r="H6" s="22" t="n">
        <x:v>3686.2</x:v>
      </x:c>
      <x:c r="I6" s="17" t="n">
        <x:v>1</x:v>
      </x:c>
      <x:c r="J6" s="17" t="str">
        <x:v>冷藏区</x:v>
      </x:c>
      <x:c r="K6" s="17" t="str">
        <x:v>商超配送</x:v>
      </x:c>
      <x:c r="L6" s="19" t="n">
        <x:f>D6+E6-F6-G6-H6</x:f>
        <x:v>0</x:v>
      </x:c>
      <x:c r="M6" s="17" t="str">
        <x:f>IF(ABS(L6)&lt;=0.01,"通过","复核")</x:f>
        <x:v>通过</x:v>
      </x:c>
    </x:row>
    <x:row r="7">
      <x:c r="A7" s="20" t="n">
        <x:v>46030</x:v>
      </x:c>
      <x:c r="B7" s="17" t="str">
        <x:v>GD-CM-2601-001</x:v>
      </x:c>
      <x:c r="C7" s="17" t="str">
        <x:v>广州江南市场冷链仓</x:v>
      </x:c>
      <x:c r="D7" s="22" t="n">
        <x:v>3686.2</x:v>
      </x:c>
      <x:c r="E7" s="22" t="n">
        <x:v>0</x:v>
      </x:c>
      <x:c r="F7" s="22" t="n">
        <x:v>201</x:v>
      </x:c>
      <x:c r="G7" s="22" t="n">
        <x:v>47</x:v>
      </x:c>
      <x:c r="H7" s="22" t="n">
        <x:v>3438.2</x:v>
      </x:c>
      <x:c r="I7" s="17" t="n">
        <x:v>2</x:v>
      </x:c>
      <x:c r="J7" s="17" t="str">
        <x:v>冷藏区</x:v>
      </x:c>
      <x:c r="K7" s="17" t="str">
        <x:v>供港发车</x:v>
      </x:c>
      <x:c r="L7" s="19" t="n">
        <x:f>D7+E7-F7-G7-H7</x:f>
        <x:v>0</x:v>
      </x:c>
      <x:c r="M7" s="17" t="str">
        <x:f>IF(ABS(L7)&lt;=0.01,"通过","复核")</x:f>
        <x:v>通过</x:v>
      </x:c>
    </x:row>
    <x:row r="8">
      <x:c r="A8" s="20" t="n">
        <x:v>46031</x:v>
      </x:c>
      <x:c r="B8" s="17" t="str">
        <x:v>GD-CM-2601-001</x:v>
      </x:c>
      <x:c r="C8" s="17" t="str">
        <x:v>广州江南市场冷链仓</x:v>
      </x:c>
      <x:c r="D8" s="22" t="n">
        <x:v>3438.2</x:v>
      </x:c>
      <x:c r="E8" s="22" t="n">
        <x:v>0</x:v>
      </x:c>
      <x:c r="F8" s="22" t="n">
        <x:v>268.7</x:v>
      </x:c>
      <x:c r="G8" s="22" t="n">
        <x:v>40.5</x:v>
      </x:c>
      <x:c r="H8" s="22" t="n">
        <x:v>3129</x:v>
      </x:c>
      <x:c r="I8" s="17" t="n">
        <x:v>3</x:v>
      </x:c>
      <x:c r="J8" s="17" t="str">
        <x:v>冷藏区</x:v>
      </x:c>
      <x:c r="K8" s="17" t="str">
        <x:v>电商发货</x:v>
      </x:c>
      <x:c r="L8" s="19" t="n">
        <x:f>D8+E8-F8-G8-H8</x:f>
        <x:v>0</x:v>
      </x:c>
      <x:c r="M8" s="17" t="str">
        <x:f>IF(ABS(L8)&lt;=0.01,"通过","复核")</x:f>
        <x:v>通过</x:v>
      </x:c>
    </x:row>
    <x:row r="9">
      <x:c r="A9" s="20" t="n">
        <x:v>46032</x:v>
      </x:c>
      <x:c r="B9" s="17" t="str">
        <x:v>GD-CM-2601-001</x:v>
      </x:c>
      <x:c r="C9" s="17" t="str">
        <x:v>广州江南市场冷链仓</x:v>
      </x:c>
      <x:c r="D9" s="22" t="n">
        <x:v>3129</x:v>
      </x:c>
      <x:c r="E9" s="22" t="n">
        <x:v>0</x:v>
      </x:c>
      <x:c r="F9" s="22" t="n">
        <x:v>287.9</x:v>
      </x:c>
      <x:c r="G9" s="22" t="n">
        <x:v>42.2</x:v>
      </x:c>
      <x:c r="H9" s="22" t="n">
        <x:v>2798.9</x:v>
      </x:c>
      <x:c r="I9" s="17" t="n">
        <x:v>4</x:v>
      </x:c>
      <x:c r="J9" s="17" t="str">
        <x:v>冷藏区</x:v>
      </x:c>
      <x:c r="K9" s="17" t="str">
        <x:v>餐饮直配</x:v>
      </x:c>
      <x:c r="L9" s="19" t="n">
        <x:f>D9+E9-F9-G9-H9</x:f>
        <x:v>0</x:v>
      </x:c>
      <x:c r="M9" s="17" t="str">
        <x:f>IF(ABS(L9)&lt;=0.01,"通过","复核")</x:f>
        <x:v>通过</x:v>
      </x:c>
    </x:row>
    <x:row r="10">
      <x:c r="A10" s="20" t="n">
        <x:v>46033</x:v>
      </x:c>
      <x:c r="B10" s="17" t="str">
        <x:v>GD-CM-2601-001</x:v>
      </x:c>
      <x:c r="C10" s="17" t="str">
        <x:v>广州江南市场冷链仓</x:v>
      </x:c>
      <x:c r="D10" s="22" t="n">
        <x:v>2798.9</x:v>
      </x:c>
      <x:c r="E10" s="22" t="n">
        <x:v>0</x:v>
      </x:c>
      <x:c r="F10" s="22" t="n">
        <x:v>289.6</x:v>
      </x:c>
      <x:c r="G10" s="22" t="n">
        <x:v>26.4</x:v>
      </x:c>
      <x:c r="H10" s="22" t="n">
        <x:v>2482.9</x:v>
      </x:c>
      <x:c r="I10" s="17" t="n">
        <x:v>5</x:v>
      </x:c>
      <x:c r="J10" s="17" t="str">
        <x:v>冷藏区</x:v>
      </x:c>
      <x:c r="K10" s="17" t="str">
        <x:v>商超配送</x:v>
      </x:c>
      <x:c r="L10" s="19" t="n">
        <x:f>D10+E10-F10-G10-H10</x:f>
        <x:v>0</x:v>
      </x:c>
      <x:c r="M10" s="17" t="str">
        <x:f>IF(ABS(L10)&lt;=0.01,"通过","复核")</x:f>
        <x:v>通过</x:v>
      </x:c>
    </x:row>
    <x:row r="11">
      <x:c r="A11" s="20" t="n">
        <x:v>46034</x:v>
      </x:c>
      <x:c r="B11" s="17" t="str">
        <x:v>GD-CM-2601-001</x:v>
      </x:c>
      <x:c r="C11" s="17" t="str">
        <x:v>广州江南市场冷链仓</x:v>
      </x:c>
      <x:c r="D11" s="22" t="n">
        <x:v>2482.9</x:v>
      </x:c>
      <x:c r="E11" s="22" t="n">
        <x:v>0</x:v>
      </x:c>
      <x:c r="F11" s="22" t="n">
        <x:v>260.9</x:v>
      </x:c>
      <x:c r="G11" s="22" t="n">
        <x:v>35</x:v>
      </x:c>
      <x:c r="H11" s="22" t="n">
        <x:v>2187</x:v>
      </x:c>
      <x:c r="I11" s="17" t="n">
        <x:v>6</x:v>
      </x:c>
      <x:c r="J11" s="17" t="str">
        <x:v>冷藏区</x:v>
      </x:c>
      <x:c r="K11" s="17" t="str">
        <x:v>电商发货</x:v>
      </x:c>
      <x:c r="L11" s="19" t="n">
        <x:f>D11+E11-F11-G11-H11</x:f>
        <x:v>0</x:v>
      </x:c>
      <x:c r="M11" s="17" t="str">
        <x:f>IF(ABS(L11)&lt;=0.01,"通过","复核")</x:f>
        <x:v>通过</x:v>
      </x:c>
    </x:row>
    <x:row r="12">
      <x:c r="A12" s="20" t="n">
        <x:v>46035</x:v>
      </x:c>
      <x:c r="B12" s="17" t="str">
        <x:v>GD-CM-2601-001</x:v>
      </x:c>
      <x:c r="C12" s="17" t="str">
        <x:v>广州江南市场冷链仓</x:v>
      </x:c>
      <x:c r="D12" s="22" t="n">
        <x:v>2187</x:v>
      </x:c>
      <x:c r="E12" s="22" t="n">
        <x:v>0</x:v>
      </x:c>
      <x:c r="F12" s="22" t="n">
        <x:v>207.8</x:v>
      </x:c>
      <x:c r="G12" s="22" t="n">
        <x:v>45.5</x:v>
      </x:c>
      <x:c r="H12" s="22" t="n">
        <x:v>1933.7</x:v>
      </x:c>
      <x:c r="I12" s="17" t="n">
        <x:v>7</x:v>
      </x:c>
      <x:c r="J12" s="17" t="str">
        <x:v>冷藏区</x:v>
      </x:c>
      <x:c r="K12" s="17" t="str">
        <x:v>供港发车</x:v>
      </x:c>
      <x:c r="L12" s="19" t="n">
        <x:f>D12+E12-F12-G12-H12</x:f>
        <x:v>0</x:v>
      </x:c>
      <x:c r="M12" s="17" t="str">
        <x:f>IF(ABS(L12)&lt;=0.01,"通过","复核")</x:f>
        <x:v>通过</x:v>
      </x:c>
    </x:row>
    <x:row r="13">
      <x:c r="A13" s="20" t="n">
        <x:v>46036</x:v>
      </x:c>
      <x:c r="B13" s="17" t="str">
        <x:v>GD-CM-2601-001</x:v>
      </x:c>
      <x:c r="C13" s="17" t="str">
        <x:v>广州江南市场冷链仓</x:v>
      </x:c>
      <x:c r="D13" s="22" t="n">
        <x:v>1933.7</x:v>
      </x:c>
      <x:c r="E13" s="22" t="n">
        <x:v>0</x:v>
      </x:c>
      <x:c r="F13" s="22" t="n">
        <x:v>256.6</x:v>
      </x:c>
      <x:c r="G13" s="22" t="n">
        <x:v>27.6</x:v>
      </x:c>
      <x:c r="H13" s="22" t="n">
        <x:v>1649.5</x:v>
      </x:c>
      <x:c r="I13" s="17" t="n">
        <x:v>8</x:v>
      </x:c>
      <x:c r="J13" s="17" t="str">
        <x:v>冷藏区</x:v>
      </x:c>
      <x:c r="K13" s="17" t="str">
        <x:v>餐饮直配</x:v>
      </x:c>
      <x:c r="L13" s="19" t="n">
        <x:f>D13+E13-F13-G13-H13</x:f>
        <x:v>0</x:v>
      </x:c>
      <x:c r="M13" s="17" t="str">
        <x:f>IF(ABS(L13)&lt;=0.01,"通过","复核")</x:f>
        <x:v>通过</x:v>
      </x:c>
    </x:row>
    <x:row r="14">
      <x:c r="A14" s="20" t="n">
        <x:v>46037</x:v>
      </x:c>
      <x:c r="B14" s="17" t="str">
        <x:v>GD-CM-2601-001</x:v>
      </x:c>
      <x:c r="C14" s="17" t="str">
        <x:v>广州江南市场冷链仓</x:v>
      </x:c>
      <x:c r="D14" s="22" t="n">
        <x:v>1649.5</x:v>
      </x:c>
      <x:c r="E14" s="22" t="n">
        <x:v>0</x:v>
      </x:c>
      <x:c r="F14" s="22" t="n">
        <x:v>276.3</x:v>
      </x:c>
      <x:c r="G14" s="22" t="n">
        <x:v>27.9</x:v>
      </x:c>
      <x:c r="H14" s="22" t="n">
        <x:v>1345.3</x:v>
      </x:c>
      <x:c r="I14" s="17" t="n">
        <x:v>9</x:v>
      </x:c>
      <x:c r="J14" s="17" t="str">
        <x:v>冷藏区</x:v>
      </x:c>
      <x:c r="K14" s="17" t="str">
        <x:v>批发市场发车</x:v>
      </x:c>
      <x:c r="L14" s="19" t="n">
        <x:f>D14+E14-F14-G14-H14</x:f>
        <x:v>0</x:v>
      </x:c>
      <x:c r="M14" s="17" t="str">
        <x:f>IF(ABS(L14)&lt;=0.01,"通过","复核")</x:f>
        <x:v>通过</x:v>
      </x:c>
    </x:row>
    <x:row r="15">
      <x:c r="A15" s="20" t="n">
        <x:v>46038</x:v>
      </x:c>
      <x:c r="B15" s="17" t="str">
        <x:v>GD-CM-2601-001</x:v>
      </x:c>
      <x:c r="C15" s="17" t="str">
        <x:v>广州江南市场冷链仓</x:v>
      </x:c>
      <x:c r="D15" s="22" t="n">
        <x:v>1345.3</x:v>
      </x:c>
      <x:c r="E15" s="22" t="n">
        <x:v>0</x:v>
      </x:c>
      <x:c r="F15" s="22" t="n">
        <x:v>214.4</x:v>
      </x:c>
      <x:c r="G15" s="22" t="n">
        <x:v>26.7</x:v>
      </x:c>
      <x:c r="H15" s="22" t="n">
        <x:v>1104.2</x:v>
      </x:c>
      <x:c r="I15" s="17" t="n">
        <x:v>10</x:v>
      </x:c>
      <x:c r="J15" s="17" t="str">
        <x:v>冷藏区</x:v>
      </x:c>
      <x:c r="K15" s="17" t="str">
        <x:v>商超配送</x:v>
      </x:c>
      <x:c r="L15" s="19" t="n">
        <x:f>D15+E15-F15-G15-H15</x:f>
        <x:v>-2.2737367544323206e-13</x:v>
      </x:c>
      <x:c r="M15" s="17" t="str">
        <x:f>IF(ABS(L15)&lt;=0.01,"通过","复核")</x:f>
        <x:v>通过</x:v>
      </x:c>
    </x:row>
    <x:row r="16">
      <x:c r="A16" s="20" t="n">
        <x:v>46039</x:v>
      </x:c>
      <x:c r="B16" s="17" t="str">
        <x:v>GD-CM-2601-001</x:v>
      </x:c>
      <x:c r="C16" s="17" t="str">
        <x:v>广州江南市场冷链仓</x:v>
      </x:c>
      <x:c r="D16" s="22" t="n">
        <x:v>1104.2</x:v>
      </x:c>
      <x:c r="E16" s="22" t="n">
        <x:v>0</x:v>
      </x:c>
      <x:c r="F16" s="22" t="n">
        <x:v>258.1</x:v>
      </x:c>
      <x:c r="G16" s="22" t="n">
        <x:v>26.1</x:v>
      </x:c>
      <x:c r="H16" s="22" t="n">
        <x:v>820</x:v>
      </x:c>
      <x:c r="I16" s="17" t="n">
        <x:v>11</x:v>
      </x:c>
      <x:c r="J16" s="17" t="str">
        <x:v>冷藏区</x:v>
      </x:c>
      <x:c r="K16" s="17" t="str">
        <x:v>餐饮直配</x:v>
      </x:c>
      <x:c r="L16" s="19" t="n">
        <x:f>D16+E16-F16-G16-H16</x:f>
        <x:v>0</x:v>
      </x:c>
      <x:c r="M16" s="17" t="str">
        <x:f>IF(ABS(L16)&lt;=0.01,"通过","复核")</x:f>
        <x:v>通过</x:v>
      </x:c>
    </x:row>
    <x:row r="17">
      <x:c r="A17" s="20" t="n">
        <x:v>46040</x:v>
      </x:c>
      <x:c r="B17" s="17" t="str">
        <x:v>GD-CM-2601-001</x:v>
      </x:c>
      <x:c r="C17" s="17" t="str">
        <x:v>广州江南市场冷链仓</x:v>
      </x:c>
      <x:c r="D17" s="22" t="n">
        <x:v>820</x:v>
      </x:c>
      <x:c r="E17" s="22" t="n">
        <x:v>0</x:v>
      </x:c>
      <x:c r="F17" s="22" t="n">
        <x:v>280.1</x:v>
      </x:c>
      <x:c r="G17" s="22" t="n">
        <x:v>33.4</x:v>
      </x:c>
      <x:c r="H17" s="22" t="n">
        <x:v>506.5</x:v>
      </x:c>
      <x:c r="I17" s="17" t="n">
        <x:v>12</x:v>
      </x:c>
      <x:c r="J17" s="17" t="str">
        <x:v>冷藏区</x:v>
      </x:c>
      <x:c r="K17" s="17" t="str">
        <x:v>电商发货</x:v>
      </x:c>
      <x:c r="L17" s="19" t="n">
        <x:f>D17+E17-F17-G17-H17</x:f>
        <x:v>0</x:v>
      </x:c>
      <x:c r="M17" s="17" t="str">
        <x:f>IF(ABS(L17)&lt;=0.01,"通过","复核")</x:f>
        <x:v>通过</x:v>
      </x:c>
    </x:row>
    <x:row r="18">
      <x:c r="A18" s="20" t="n">
        <x:v>46041</x:v>
      </x:c>
      <x:c r="B18" s="17" t="str">
        <x:v>GD-CM-2601-001</x:v>
      </x:c>
      <x:c r="C18" s="17" t="str">
        <x:v>广州江南市场冷链仓</x:v>
      </x:c>
      <x:c r="D18" s="22" t="n">
        <x:v>506.5</x:v>
      </x:c>
      <x:c r="E18" s="22" t="n">
        <x:v>0</x:v>
      </x:c>
      <x:c r="F18" s="22" t="n">
        <x:v>251.3</x:v>
      </x:c>
      <x:c r="G18" s="22" t="n">
        <x:v>47.9</x:v>
      </x:c>
      <x:c r="H18" s="22" t="n">
        <x:v>207.3</x:v>
      </x:c>
      <x:c r="I18" s="17" t="n">
        <x:v>13</x:v>
      </x:c>
      <x:c r="J18" s="17" t="str">
        <x:v>冷藏区</x:v>
      </x:c>
      <x:c r="K18" s="17" t="str">
        <x:v>电商发货</x:v>
      </x:c>
      <x:c r="L18" s="19" t="n">
        <x:f>D18+E18-F18-G18-H18</x:f>
        <x:v>-2.842170943040401e-14</x:v>
      </x:c>
      <x:c r="M18" s="17" t="str">
        <x:f>IF(ABS(L18)&lt;=0.01,"通过","复核")</x:f>
        <x:v>通过</x:v>
      </x:c>
    </x:row>
    <x:row r="19">
      <x:c r="A19" s="20" t="n">
        <x:v>46042</x:v>
      </x:c>
      <x:c r="B19" s="17" t="str">
        <x:v>GD-CM-2601-001</x:v>
      </x:c>
      <x:c r="C19" s="17" t="str">
        <x:v>广州江南市场冷链仓</x:v>
      </x:c>
      <x:c r="D19" s="22" t="n">
        <x:v>207.3</x:v>
      </x:c>
      <x:c r="E19" s="22" t="n">
        <x:v>0</x:v>
      </x:c>
      <x:c r="F19" s="22" t="n">
        <x:v>180.1</x:v>
      </x:c>
      <x:c r="G19" s="22" t="n">
        <x:v>27.2</x:v>
      </x:c>
      <x:c r="H19" s="22" t="n">
        <x:v>0</x:v>
      </x:c>
      <x:c r="I19" s="17" t="n">
        <x:v>14</x:v>
      </x:c>
      <x:c r="J19" s="17" t="str">
        <x:v>冷藏区</x:v>
      </x:c>
      <x:c r="K19" s="17" t="str">
        <x:v>供港发车</x:v>
      </x:c>
      <x:c r="L19" s="19" t="n">
        <x:f>D19+E19-F19-G19-H19</x:f>
        <x:v>1.7763568394002505e-14</x:v>
      </x:c>
      <x:c r="M19" s="17" t="str">
        <x:f>IF(ABS(L19)&lt;=0.01,"通过","复核")</x:f>
        <x:v>通过</x:v>
      </x:c>
    </x:row>
    <x:row r="20">
      <x:c r="A20" s="20" t="n">
        <x:v>46043</x:v>
      </x:c>
      <x:c r="B20" s="17" t="str">
        <x:v>GD-CM-2601-001</x:v>
      </x:c>
      <x:c r="C20" s="17" t="str">
        <x:v>广州江南市场冷链仓</x:v>
      </x:c>
      <x:c r="D20" s="22" t="n">
        <x:v>0</x:v>
      </x:c>
      <x:c r="E20" s="22" t="n">
        <x:v>0</x:v>
      </x:c>
      <x:c r="F20" s="22" t="n">
        <x:v>0</x:v>
      </x:c>
      <x:c r="G20" s="22" t="n">
        <x:v>0</x:v>
      </x:c>
      <x:c r="H20" s="22" t="n">
        <x:v>0</x:v>
      </x:c>
      <x:c r="I20" s="17" t="n">
        <x:v>15</x:v>
      </x:c>
      <x:c r="J20" s="17" t="str">
        <x:v>冷藏区</x:v>
      </x:c>
      <x:c r="K20" s="17" t="str">
        <x:v>电商发货</x:v>
      </x:c>
      <x:c r="L20" s="19" t="n">
        <x:f>D20+E20-F20-G20-H20</x:f>
        <x:v>0</x:v>
      </x:c>
      <x:c r="M20" s="17" t="str">
        <x:f>IF(ABS(L20)&lt;=0.01,"通过","复核")</x:f>
        <x:v>通过</x:v>
      </x:c>
    </x:row>
    <x:row r="21">
      <x:c r="A21" s="20" t="n">
        <x:v>46037</x:v>
      </x:c>
      <x:c r="B21" s="17" t="str">
        <x:v>GD-CM-2601-002</x:v>
      </x:c>
      <x:c r="C21" s="17" t="str">
        <x:v>深圳海吉星冷链仓</x:v>
      </x:c>
      <x:c r="D21" s="22" t="n">
        <x:v>0</x:v>
      </x:c>
      <x:c r="E21" s="22" t="n">
        <x:v>4557</x:v>
      </x:c>
      <x:c r="F21" s="22" t="n">
        <x:v>601.5</x:v>
      </x:c>
      <x:c r="G21" s="22" t="n">
        <x:v>27.3</x:v>
      </x:c>
      <x:c r="H21" s="22" t="n">
        <x:v>3928.2</x:v>
      </x:c>
      <x:c r="I21" s="17" t="n">
        <x:v>0</x:v>
      </x:c>
      <x:c r="J21" s="17" t="str">
        <x:v>暂存区</x:v>
      </x:c>
      <x:c r="K21" s="17" t="str">
        <x:v>商超配送</x:v>
      </x:c>
      <x:c r="L21" s="19" t="n">
        <x:f>D21+E21-F21-G21-H21</x:f>
        <x:v>0</x:v>
      </x:c>
      <x:c r="M21" s="17" t="str">
        <x:f>IF(ABS(L21)&lt;=0.01,"通过","复核")</x:f>
        <x:v>通过</x:v>
      </x:c>
    </x:row>
    <x:row r="22">
      <x:c r="A22" s="20" t="n">
        <x:v>46038</x:v>
      </x:c>
      <x:c r="B22" s="17" t="str">
        <x:v>GD-CM-2601-002</x:v>
      </x:c>
      <x:c r="C22" s="17" t="str">
        <x:v>深圳海吉星冷链仓</x:v>
      </x:c>
      <x:c r="D22" s="22" t="n">
        <x:v>3928.2</x:v>
      </x:c>
      <x:c r="E22" s="22" t="n">
        <x:v>0</x:v>
      </x:c>
      <x:c r="F22" s="22" t="n">
        <x:v>261.8</x:v>
      </x:c>
      <x:c r="G22" s="22" t="n">
        <x:v>37.1</x:v>
      </x:c>
      <x:c r="H22" s="22" t="n">
        <x:v>3629.3</x:v>
      </x:c>
      <x:c r="I22" s="17" t="n">
        <x:v>1</x:v>
      </x:c>
      <x:c r="J22" s="17" t="str">
        <x:v>冷藏区</x:v>
      </x:c>
      <x:c r="K22" s="17" t="str">
        <x:v>电商发货</x:v>
      </x:c>
      <x:c r="L22" s="19" t="n">
        <x:f>D22+E22-F22-G22-H22</x:f>
        <x:v>-4.547473508864641e-13</x:v>
      </x:c>
      <x:c r="M22" s="17" t="str">
        <x:f>IF(ABS(L22)&lt;=0.01,"通过","复核")</x:f>
        <x:v>通过</x:v>
      </x:c>
    </x:row>
    <x:row r="23">
      <x:c r="A23" s="20" t="n">
        <x:v>46039</x:v>
      </x:c>
      <x:c r="B23" s="17" t="str">
        <x:v>GD-CM-2601-002</x:v>
      </x:c>
      <x:c r="C23" s="17" t="str">
        <x:v>深圳海吉星冷链仓</x:v>
      </x:c>
      <x:c r="D23" s="22" t="n">
        <x:v>3629.3</x:v>
      </x:c>
      <x:c r="E23" s="22" t="n">
        <x:v>0</x:v>
      </x:c>
      <x:c r="F23" s="22" t="n">
        <x:v>198.8</x:v>
      </x:c>
      <x:c r="G23" s="22" t="n">
        <x:v>27.5</x:v>
      </x:c>
      <x:c r="H23" s="22" t="n">
        <x:v>3403</x:v>
      </x:c>
      <x:c r="I23" s="17" t="n">
        <x:v>2</x:v>
      </x:c>
      <x:c r="J23" s="17" t="str">
        <x:v>冷藏区</x:v>
      </x:c>
      <x:c r="K23" s="17" t="str">
        <x:v>餐饮直配</x:v>
      </x:c>
      <x:c r="L23" s="19" t="n">
        <x:f>D23+E23-F23-G23-H23</x:f>
        <x:v>0</x:v>
      </x:c>
      <x:c r="M23" s="17" t="str">
        <x:f>IF(ABS(L23)&lt;=0.01,"通过","复核")</x:f>
        <x:v>通过</x:v>
      </x:c>
    </x:row>
    <x:row r="24">
      <x:c r="A24" s="20" t="n">
        <x:v>46040</x:v>
      </x:c>
      <x:c r="B24" s="17" t="str">
        <x:v>GD-CM-2601-002</x:v>
      </x:c>
      <x:c r="C24" s="17" t="str">
        <x:v>深圳海吉星冷链仓</x:v>
      </x:c>
      <x:c r="D24" s="22" t="n">
        <x:v>3403</x:v>
      </x:c>
      <x:c r="E24" s="22" t="n">
        <x:v>0</x:v>
      </x:c>
      <x:c r="F24" s="22" t="n">
        <x:v>252.3</x:v>
      </x:c>
      <x:c r="G24" s="22" t="n">
        <x:v>35.8</x:v>
      </x:c>
      <x:c r="H24" s="22" t="n">
        <x:v>3114.9</x:v>
      </x:c>
      <x:c r="I24" s="17" t="n">
        <x:v>3</x:v>
      </x:c>
      <x:c r="J24" s="17" t="str">
        <x:v>冷藏区</x:v>
      </x:c>
      <x:c r="K24" s="17" t="str">
        <x:v>供港发车</x:v>
      </x:c>
      <x:c r="L24" s="19" t="n">
        <x:f>D24+E24-F24-G24-H24</x:f>
        <x:v>-4.547473508864641e-13</x:v>
      </x:c>
      <x:c r="M24" s="17" t="str">
        <x:f>IF(ABS(L24)&lt;=0.01,"通过","复核")</x:f>
        <x:v>通过</x:v>
      </x:c>
    </x:row>
    <x:row r="25">
      <x:c r="A25" s="20" t="n">
        <x:v>46041</x:v>
      </x:c>
      <x:c r="B25" s="17" t="str">
        <x:v>GD-CM-2601-002</x:v>
      </x:c>
      <x:c r="C25" s="17" t="str">
        <x:v>深圳海吉星冷链仓</x:v>
      </x:c>
      <x:c r="D25" s="22" t="n">
        <x:v>3114.9</x:v>
      </x:c>
      <x:c r="E25" s="22" t="n">
        <x:v>0</x:v>
      </x:c>
      <x:c r="F25" s="22" t="n">
        <x:v>200.1</x:v>
      </x:c>
      <x:c r="G25" s="22" t="n">
        <x:v>28.3</x:v>
      </x:c>
      <x:c r="H25" s="22" t="n">
        <x:v>2886.5</x:v>
      </x:c>
      <x:c r="I25" s="17" t="n">
        <x:v>4</x:v>
      </x:c>
      <x:c r="J25" s="17" t="str">
        <x:v>冷藏区</x:v>
      </x:c>
      <x:c r="K25" s="17" t="str">
        <x:v>商超配送</x:v>
      </x:c>
      <x:c r="L25" s="19" t="n">
        <x:f>D25+E25-F25-G25-H25</x:f>
        <x:v>0</x:v>
      </x:c>
      <x:c r="M25" s="17" t="str">
        <x:f>IF(ABS(L25)&lt;=0.01,"通过","复核")</x:f>
        <x:v>通过</x:v>
      </x:c>
    </x:row>
    <x:row r="26">
      <x:c r="A26" s="20" t="n">
        <x:v>46042</x:v>
      </x:c>
      <x:c r="B26" s="17" t="str">
        <x:v>GD-CM-2601-002</x:v>
      </x:c>
      <x:c r="C26" s="17" t="str">
        <x:v>深圳海吉星冷链仓</x:v>
      </x:c>
      <x:c r="D26" s="22" t="n">
        <x:v>2886.5</x:v>
      </x:c>
      <x:c r="E26" s="22" t="n">
        <x:v>0</x:v>
      </x:c>
      <x:c r="F26" s="22" t="n">
        <x:v>264.9</x:v>
      </x:c>
      <x:c r="G26" s="22" t="n">
        <x:v>45.2</x:v>
      </x:c>
      <x:c r="H26" s="22" t="n">
        <x:v>2576.4</x:v>
      </x:c>
      <x:c r="I26" s="17" t="n">
        <x:v>5</x:v>
      </x:c>
      <x:c r="J26" s="17" t="str">
        <x:v>冷藏区</x:v>
      </x:c>
      <x:c r="K26" s="17" t="str">
        <x:v>批发市场发车</x:v>
      </x:c>
      <x:c r="L26" s="19" t="n">
        <x:f>D26+E26-F26-G26-H26</x:f>
        <x:v>0</x:v>
      </x:c>
      <x:c r="M26" s="17" t="str">
        <x:f>IF(ABS(L26)&lt;=0.01,"通过","复核")</x:f>
        <x:v>通过</x:v>
      </x:c>
    </x:row>
    <x:row r="27">
      <x:c r="A27" s="20" t="n">
        <x:v>46043</x:v>
      </x:c>
      <x:c r="B27" s="17" t="str">
        <x:v>GD-CM-2601-002</x:v>
      </x:c>
      <x:c r="C27" s="17" t="str">
        <x:v>深圳海吉星冷链仓</x:v>
      </x:c>
      <x:c r="D27" s="22" t="n">
        <x:v>2576.4</x:v>
      </x:c>
      <x:c r="E27" s="22" t="n">
        <x:v>0</x:v>
      </x:c>
      <x:c r="F27" s="22" t="n">
        <x:v>220</x:v>
      </x:c>
      <x:c r="G27" s="22" t="n">
        <x:v>47.3</x:v>
      </x:c>
      <x:c r="H27" s="22" t="n">
        <x:v>2309.1</x:v>
      </x:c>
      <x:c r="I27" s="17" t="n">
        <x:v>6</x:v>
      </x:c>
      <x:c r="J27" s="17" t="str">
        <x:v>冷藏区</x:v>
      </x:c>
      <x:c r="K27" s="17" t="str">
        <x:v>商超配送</x:v>
      </x:c>
      <x:c r="L27" s="19" t="n">
        <x:f>D27+E27-F27-G27-H27</x:f>
        <x:v>0</x:v>
      </x:c>
      <x:c r="M27" s="17" t="str">
        <x:f>IF(ABS(L27)&lt;=0.01,"通过","复核")</x:f>
        <x:v>通过</x:v>
      </x:c>
    </x:row>
    <x:row r="28">
      <x:c r="A28" s="20" t="n">
        <x:v>46044</x:v>
      </x:c>
      <x:c r="B28" s="17" t="str">
        <x:v>GD-CM-2601-002</x:v>
      </x:c>
      <x:c r="C28" s="17" t="str">
        <x:v>深圳海吉星冷链仓</x:v>
      </x:c>
      <x:c r="D28" s="22" t="n">
        <x:v>2309.1</x:v>
      </x:c>
      <x:c r="E28" s="22" t="n">
        <x:v>0</x:v>
      </x:c>
      <x:c r="F28" s="22" t="n">
        <x:v>216.6</x:v>
      </x:c>
      <x:c r="G28" s="22" t="n">
        <x:v>28.1</x:v>
      </x:c>
      <x:c r="H28" s="22" t="n">
        <x:v>2064.4</x:v>
      </x:c>
      <x:c r="I28" s="17" t="n">
        <x:v>7</x:v>
      </x:c>
      <x:c r="J28" s="17" t="str">
        <x:v>冷藏区</x:v>
      </x:c>
      <x:c r="K28" s="17" t="str">
        <x:v>电商发货</x:v>
      </x:c>
      <x:c r="L28" s="19" t="n">
        <x:f>D28+E28-F28-G28-H28</x:f>
        <x:v>0</x:v>
      </x:c>
      <x:c r="M28" s="17" t="str">
        <x:f>IF(ABS(L28)&lt;=0.01,"通过","复核")</x:f>
        <x:v>通过</x:v>
      </x:c>
    </x:row>
    <x:row r="29">
      <x:c r="A29" s="20" t="n">
        <x:v>46045</x:v>
      </x:c>
      <x:c r="B29" s="17" t="str">
        <x:v>GD-CM-2601-002</x:v>
      </x:c>
      <x:c r="C29" s="17" t="str">
        <x:v>深圳海吉星冷链仓</x:v>
      </x:c>
      <x:c r="D29" s="22" t="n">
        <x:v>2064.4</x:v>
      </x:c>
      <x:c r="E29" s="22" t="n">
        <x:v>0</x:v>
      </x:c>
      <x:c r="F29" s="22" t="n">
        <x:v>275.8</x:v>
      </x:c>
      <x:c r="G29" s="22" t="n">
        <x:v>36.9</x:v>
      </x:c>
      <x:c r="H29" s="22" t="n">
        <x:v>1751.7</x:v>
      </x:c>
      <x:c r="I29" s="17" t="n">
        <x:v>8</x:v>
      </x:c>
      <x:c r="J29" s="17" t="str">
        <x:v>冷藏区</x:v>
      </x:c>
      <x:c r="K29" s="17" t="str">
        <x:v>批发市场发车</x:v>
      </x:c>
      <x:c r="L29" s="19" t="n">
        <x:f>D29+E29-F29-G29-H29</x:f>
        <x:v>0</x:v>
      </x:c>
      <x:c r="M29" s="17" t="str">
        <x:f>IF(ABS(L29)&lt;=0.01,"通过","复核")</x:f>
        <x:v>通过</x:v>
      </x:c>
    </x:row>
    <x:row r="30">
      <x:c r="A30" s="20" t="n">
        <x:v>46046</x:v>
      </x:c>
      <x:c r="B30" s="17" t="str">
        <x:v>GD-CM-2601-002</x:v>
      </x:c>
      <x:c r="C30" s="17" t="str">
        <x:v>深圳海吉星冷链仓</x:v>
      </x:c>
      <x:c r="D30" s="22" t="n">
        <x:v>1751.7</x:v>
      </x:c>
      <x:c r="E30" s="22" t="n">
        <x:v>0</x:v>
      </x:c>
      <x:c r="F30" s="22" t="n">
        <x:v>205.3</x:v>
      </x:c>
      <x:c r="G30" s="22" t="n">
        <x:v>38.9</x:v>
      </x:c>
      <x:c r="H30" s="22" t="n">
        <x:v>1507.5</x:v>
      </x:c>
      <x:c r="I30" s="17" t="n">
        <x:v>9</x:v>
      </x:c>
      <x:c r="J30" s="17" t="str">
        <x:v>冷藏区</x:v>
      </x:c>
      <x:c r="K30" s="17" t="str">
        <x:v>餐饮直配</x:v>
      </x:c>
      <x:c r="L30" s="19" t="n">
        <x:f>D30+E30-F30-G30-H30</x:f>
        <x:v>0</x:v>
      </x:c>
      <x:c r="M30" s="17" t="str">
        <x:f>IF(ABS(L30)&lt;=0.01,"通过","复核")</x:f>
        <x:v>通过</x:v>
      </x:c>
    </x:row>
    <x:row r="31">
      <x:c r="A31" s="20" t="n">
        <x:v>46047</x:v>
      </x:c>
      <x:c r="B31" s="17" t="str">
        <x:v>GD-CM-2601-002</x:v>
      </x:c>
      <x:c r="C31" s="17" t="str">
        <x:v>深圳海吉星冷链仓</x:v>
      </x:c>
      <x:c r="D31" s="22" t="n">
        <x:v>1507.5</x:v>
      </x:c>
      <x:c r="E31" s="22" t="n">
        <x:v>0</x:v>
      </x:c>
      <x:c r="F31" s="22" t="n">
        <x:v>225.3</x:v>
      </x:c>
      <x:c r="G31" s="22" t="n">
        <x:v>26.1</x:v>
      </x:c>
      <x:c r="H31" s="22" t="n">
        <x:v>1256.1</x:v>
      </x:c>
      <x:c r="I31" s="17" t="n">
        <x:v>10</x:v>
      </x:c>
      <x:c r="J31" s="17" t="str">
        <x:v>冷藏区</x:v>
      </x:c>
      <x:c r="K31" s="17" t="str">
        <x:v>供港发车</x:v>
      </x:c>
      <x:c r="L31" s="19" t="n">
        <x:f>D31+E31-F31-G31-H31</x:f>
        <x:v>2.2737367544323206e-13</x:v>
      </x:c>
      <x:c r="M31" s="17" t="str">
        <x:f>IF(ABS(L31)&lt;=0.01,"通过","复核")</x:f>
        <x:v>通过</x:v>
      </x:c>
    </x:row>
    <x:row r="32">
      <x:c r="A32" s="20" t="n">
        <x:v>46048</x:v>
      </x:c>
      <x:c r="B32" s="17" t="str">
        <x:v>GD-CM-2601-002</x:v>
      </x:c>
      <x:c r="C32" s="17" t="str">
        <x:v>深圳海吉星冷链仓</x:v>
      </x:c>
      <x:c r="D32" s="22" t="n">
        <x:v>1256.1</x:v>
      </x:c>
      <x:c r="E32" s="22" t="n">
        <x:v>0</x:v>
      </x:c>
      <x:c r="F32" s="22" t="n">
        <x:v>219.3</x:v>
      </x:c>
      <x:c r="G32" s="22" t="n">
        <x:v>45.2</x:v>
      </x:c>
      <x:c r="H32" s="22" t="n">
        <x:v>991.6</x:v>
      </x:c>
      <x:c r="I32" s="17" t="n">
        <x:v>11</x:v>
      </x:c>
      <x:c r="J32" s="17" t="str">
        <x:v>冷藏区</x:v>
      </x:c>
      <x:c r="K32" s="17" t="str">
        <x:v>批发市场发车</x:v>
      </x:c>
      <x:c r="L32" s="19" t="n">
        <x:f>D32+E32-F32-G32-H32</x:f>
        <x:v>-1.1368683772161603e-13</x:v>
      </x:c>
      <x:c r="M32" s="17" t="str">
        <x:f>IF(ABS(L32)&lt;=0.01,"通过","复核")</x:f>
        <x:v>通过</x:v>
      </x:c>
    </x:row>
    <x:row r="33">
      <x:c r="A33" s="20" t="n">
        <x:v>46049</x:v>
      </x:c>
      <x:c r="B33" s="17" t="str">
        <x:v>GD-CM-2601-002</x:v>
      </x:c>
      <x:c r="C33" s="17" t="str">
        <x:v>深圳海吉星冷链仓</x:v>
      </x:c>
      <x:c r="D33" s="22" t="n">
        <x:v>991.6</x:v>
      </x:c>
      <x:c r="E33" s="22" t="n">
        <x:v>0</x:v>
      </x:c>
      <x:c r="F33" s="22" t="n">
        <x:v>242.5</x:v>
      </x:c>
      <x:c r="G33" s="22" t="n">
        <x:v>32.1</x:v>
      </x:c>
      <x:c r="H33" s="22" t="n">
        <x:v>717</x:v>
      </x:c>
      <x:c r="I33" s="17" t="n">
        <x:v>12</x:v>
      </x:c>
      <x:c r="J33" s="17" t="str">
        <x:v>冷藏区</x:v>
      </x:c>
      <x:c r="K33" s="17" t="str">
        <x:v>餐饮直配</x:v>
      </x:c>
      <x:c r="L33" s="19" t="n">
        <x:f>D33+E33-F33-G33-H33</x:f>
        <x:v>0</x:v>
      </x:c>
      <x:c r="M33" s="17" t="str">
        <x:f>IF(ABS(L33)&lt;=0.01,"通过","复核")</x:f>
        <x:v>通过</x:v>
      </x:c>
    </x:row>
    <x:row r="34">
      <x:c r="A34" s="20" t="n">
        <x:v>46050</x:v>
      </x:c>
      <x:c r="B34" s="17" t="str">
        <x:v>GD-CM-2601-002</x:v>
      </x:c>
      <x:c r="C34" s="17" t="str">
        <x:v>深圳海吉星冷链仓</x:v>
      </x:c>
      <x:c r="D34" s="22" t="n">
        <x:v>717</x:v>
      </x:c>
      <x:c r="E34" s="22" t="n">
        <x:v>0</x:v>
      </x:c>
      <x:c r="F34" s="22" t="n">
        <x:v>227.2</x:v>
      </x:c>
      <x:c r="G34" s="22" t="n">
        <x:v>30.3</x:v>
      </x:c>
      <x:c r="H34" s="22" t="n">
        <x:v>459.5</x:v>
      </x:c>
      <x:c r="I34" s="17" t="n">
        <x:v>13</x:v>
      </x:c>
      <x:c r="J34" s="17" t="str">
        <x:v>冷藏区</x:v>
      </x:c>
      <x:c r="K34" s="17" t="str">
        <x:v>商超配送</x:v>
      </x:c>
      <x:c r="L34" s="19" t="n">
        <x:f>D34+E34-F34-G34-H34</x:f>
        <x:v>0</x:v>
      </x:c>
      <x:c r="M34" s="17" t="str">
        <x:f>IF(ABS(L34)&lt;=0.01,"通过","复核")</x:f>
        <x:v>通过</x:v>
      </x:c>
    </x:row>
    <x:row r="35">
      <x:c r="A35" s="20" t="n">
        <x:v>46051</x:v>
      </x:c>
      <x:c r="B35" s="17" t="str">
        <x:v>GD-CM-2601-002</x:v>
      </x:c>
      <x:c r="C35" s="17" t="str">
        <x:v>深圳海吉星冷链仓</x:v>
      </x:c>
      <x:c r="D35" s="22" t="n">
        <x:v>459.5</x:v>
      </x:c>
      <x:c r="E35" s="22" t="n">
        <x:v>0</x:v>
      </x:c>
      <x:c r="F35" s="22" t="n">
        <x:v>283.3</x:v>
      </x:c>
      <x:c r="G35" s="22" t="n">
        <x:v>28.3</x:v>
      </x:c>
      <x:c r="H35" s="22" t="n">
        <x:v>147.9</x:v>
      </x:c>
      <x:c r="I35" s="17" t="n">
        <x:v>14</x:v>
      </x:c>
      <x:c r="J35" s="17" t="str">
        <x:v>冷藏区</x:v>
      </x:c>
      <x:c r="K35" s="17" t="str">
        <x:v>电商发货</x:v>
      </x:c>
      <x:c r="L35" s="19" t="n">
        <x:f>D35+E35-F35-G35-H35</x:f>
        <x:v>-2.842170943040401e-14</x:v>
      </x:c>
      <x:c r="M35" s="17" t="str">
        <x:f>IF(ABS(L35)&lt;=0.01,"通过","复核")</x:f>
        <x:v>通过</x:v>
      </x:c>
    </x:row>
    <x:row r="36">
      <x:c r="A36" s="20" t="n">
        <x:v>46052</x:v>
      </x:c>
      <x:c r="B36" s="17" t="str">
        <x:v>GD-CM-2601-002</x:v>
      </x:c>
      <x:c r="C36" s="17" t="str">
        <x:v>深圳海吉星冷链仓</x:v>
      </x:c>
      <x:c r="D36" s="22" t="n">
        <x:v>147.9</x:v>
      </x:c>
      <x:c r="E36" s="22" t="n">
        <x:v>0</x:v>
      </x:c>
      <x:c r="F36" s="22" t="n">
        <x:v>84.1</x:v>
      </x:c>
      <x:c r="G36" s="22" t="n">
        <x:v>63.8</x:v>
      </x:c>
      <x:c r="H36" s="22" t="n">
        <x:v>0</x:v>
      </x:c>
      <x:c r="I36" s="17" t="n">
        <x:v>15</x:v>
      </x:c>
      <x:c r="J36" s="17" t="str">
        <x:v>冷藏区</x:v>
      </x:c>
      <x:c r="K36" s="17" t="str">
        <x:v>商超配送</x:v>
      </x:c>
      <x:c r="L36" s="19" t="n">
        <x:f>D36+E36-F36-G36-H36</x:f>
        <x:v>1.4210854715202004e-14</x:v>
      </x:c>
      <x:c r="M36" s="17" t="str">
        <x:f>IF(ABS(L36)&lt;=0.01,"通过","复核")</x:f>
        <x:v>通过</x:v>
      </x:c>
    </x:row>
    <x:row r="37">
      <x:c r="A37" s="20" t="n">
        <x:v>46046</x:v>
      </x:c>
      <x:c r="B37" s="17" t="str">
        <x:v>GD-CM-2601-003</x:v>
      </x:c>
      <x:c r="C37" s="17" t="str">
        <x:v>南宁农产品交易中心冷库</x:v>
      </x:c>
      <x:c r="D37" s="22" t="n">
        <x:v>0</x:v>
      </x:c>
      <x:c r="E37" s="22" t="n">
        <x:v>4766</x:v>
      </x:c>
      <x:c r="F37" s="22" t="n">
        <x:v>629.1</x:v>
      </x:c>
      <x:c r="G37" s="22" t="n">
        <x:v>28.6</x:v>
      </x:c>
      <x:c r="H37" s="22" t="n">
        <x:v>4108.3</x:v>
      </x:c>
      <x:c r="I37" s="17" t="n">
        <x:v>0</x:v>
      </x:c>
      <x:c r="J37" s="17" t="str">
        <x:v>暂存区</x:v>
      </x:c>
      <x:c r="K37" s="17" t="str">
        <x:v>电商发货</x:v>
      </x:c>
      <x:c r="L37" s="19" t="n">
        <x:f>D37+E37-F37-G37-H37</x:f>
        <x:v>-9.094947017729282e-13</x:v>
      </x:c>
      <x:c r="M37" s="17" t="str">
        <x:f>IF(ABS(L37)&lt;=0.01,"通过","复核")</x:f>
        <x:v>通过</x:v>
      </x:c>
    </x:row>
    <x:row r="38">
      <x:c r="A38" s="20" t="n">
        <x:v>46047</x:v>
      </x:c>
      <x:c r="B38" s="17" t="str">
        <x:v>GD-CM-2601-003</x:v>
      </x:c>
      <x:c r="C38" s="17" t="str">
        <x:v>南宁农产品交易中心冷库</x:v>
      </x:c>
      <x:c r="D38" s="22" t="n">
        <x:v>4108.3</x:v>
      </x:c>
      <x:c r="E38" s="22" t="n">
        <x:v>0</x:v>
      </x:c>
      <x:c r="F38" s="22" t="n">
        <x:v>283.6</x:v>
      </x:c>
      <x:c r="G38" s="22" t="n">
        <x:v>32.5</x:v>
      </x:c>
      <x:c r="H38" s="22" t="n">
        <x:v>3792.2</x:v>
      </x:c>
      <x:c r="I38" s="17" t="n">
        <x:v>1</x:v>
      </x:c>
      <x:c r="J38" s="17" t="str">
        <x:v>冷藏区</x:v>
      </x:c>
      <x:c r="K38" s="17" t="str">
        <x:v>批发市场发车</x:v>
      </x:c>
      <x:c r="L38" s="19" t="n">
        <x:f>D38+E38-F38-G38-H38</x:f>
        <x:v>4.547473508864641e-13</x:v>
      </x:c>
      <x:c r="M38" s="17" t="str">
        <x:f>IF(ABS(L38)&lt;=0.01,"通过","复核")</x:f>
        <x:v>通过</x:v>
      </x:c>
    </x:row>
    <x:row r="39">
      <x:c r="A39" s="20" t="n">
        <x:v>46048</x:v>
      </x:c>
      <x:c r="B39" s="17" t="str">
        <x:v>GD-CM-2601-003</x:v>
      </x:c>
      <x:c r="C39" s="17" t="str">
        <x:v>南宁农产品交易中心冷库</x:v>
      </x:c>
      <x:c r="D39" s="22" t="n">
        <x:v>3792.2</x:v>
      </x:c>
      <x:c r="E39" s="22" t="n">
        <x:v>0</x:v>
      </x:c>
      <x:c r="F39" s="22" t="n">
        <x:v>210.1</x:v>
      </x:c>
      <x:c r="G39" s="22" t="n">
        <x:v>29.3</x:v>
      </x:c>
      <x:c r="H39" s="22" t="n">
        <x:v>3552.8</x:v>
      </x:c>
      <x:c r="I39" s="17" t="n">
        <x:v>2</x:v>
      </x:c>
      <x:c r="J39" s="17" t="str">
        <x:v>冷藏区</x:v>
      </x:c>
      <x:c r="K39" s="17" t="str">
        <x:v>商超配送</x:v>
      </x:c>
      <x:c r="L39" s="19" t="n">
        <x:f>D39+E39-F39-G39-H39</x:f>
        <x:v>-4.547473508864641e-13</x:v>
      </x:c>
      <x:c r="M39" s="17" t="str">
        <x:f>IF(ABS(L39)&lt;=0.01,"通过","复核")</x:f>
        <x:v>通过</x:v>
      </x:c>
    </x:row>
    <x:row r="40">
      <x:c r="A40" s="20" t="n">
        <x:v>46049</x:v>
      </x:c>
      <x:c r="B40" s="17" t="str">
        <x:v>GD-CM-2601-003</x:v>
      </x:c>
      <x:c r="C40" s="17" t="str">
        <x:v>南宁农产品交易中心冷库</x:v>
      </x:c>
      <x:c r="D40" s="22" t="n">
        <x:v>3552.8</x:v>
      </x:c>
      <x:c r="E40" s="22" t="n">
        <x:v>0</x:v>
      </x:c>
      <x:c r="F40" s="22" t="n">
        <x:v>298.3</x:v>
      </x:c>
      <x:c r="G40" s="22" t="n">
        <x:v>28.6</x:v>
      </x:c>
      <x:c r="H40" s="22" t="n">
        <x:v>3225.9</x:v>
      </x:c>
      <x:c r="I40" s="17" t="n">
        <x:v>3</x:v>
      </x:c>
      <x:c r="J40" s="17" t="str">
        <x:v>冷藏区</x:v>
      </x:c>
      <x:c r="K40" s="17" t="str">
        <x:v>电商发货</x:v>
      </x:c>
      <x:c r="L40" s="19" t="n">
        <x:f>D40+E40-F40-G40-H40</x:f>
        <x:v>0</x:v>
      </x:c>
      <x:c r="M40" s="17" t="str">
        <x:f>IF(ABS(L40)&lt;=0.01,"通过","复核")</x:f>
        <x:v>通过</x:v>
      </x:c>
    </x:row>
    <x:row r="41">
      <x:c r="A41" s="20" t="n">
        <x:v>46050</x:v>
      </x:c>
      <x:c r="B41" s="17" t="str">
        <x:v>GD-CM-2601-003</x:v>
      </x:c>
      <x:c r="C41" s="17" t="str">
        <x:v>南宁农产品交易中心冷库</x:v>
      </x:c>
      <x:c r="D41" s="22" t="n">
        <x:v>3225.9</x:v>
      </x:c>
      <x:c r="E41" s="22" t="n">
        <x:v>0</x:v>
      </x:c>
      <x:c r="F41" s="22" t="n">
        <x:v>271.5</x:v>
      </x:c>
      <x:c r="G41" s="22" t="n">
        <x:v>28.2</x:v>
      </x:c>
      <x:c r="H41" s="22" t="n">
        <x:v>2926.2</x:v>
      </x:c>
      <x:c r="I41" s="17" t="n">
        <x:v>4</x:v>
      </x:c>
      <x:c r="J41" s="17" t="str">
        <x:v>冷藏区</x:v>
      </x:c>
      <x:c r="K41" s="17" t="str">
        <x:v>餐饮直配</x:v>
      </x:c>
      <x:c r="L41" s="19" t="n">
        <x:f>D41+E41-F41-G41-H41</x:f>
        <x:v>4.547473508864641e-13</x:v>
      </x:c>
      <x:c r="M41" s="17" t="str">
        <x:f>IF(ABS(L41)&lt;=0.01,"通过","复核")</x:f>
        <x:v>通过</x:v>
      </x:c>
    </x:row>
    <x:row r="42">
      <x:c r="A42" s="20" t="n">
        <x:v>46051</x:v>
      </x:c>
      <x:c r="B42" s="17" t="str">
        <x:v>GD-CM-2601-003</x:v>
      </x:c>
      <x:c r="C42" s="17" t="str">
        <x:v>南宁农产品交易中心冷库</x:v>
      </x:c>
      <x:c r="D42" s="22" t="n">
        <x:v>2926.2</x:v>
      </x:c>
      <x:c r="E42" s="22" t="n">
        <x:v>0</x:v>
      </x:c>
      <x:c r="F42" s="22" t="n">
        <x:v>251.3</x:v>
      </x:c>
      <x:c r="G42" s="22" t="n">
        <x:v>38.8</x:v>
      </x:c>
      <x:c r="H42" s="22" t="n">
        <x:v>2636.1</x:v>
      </x:c>
      <x:c r="I42" s="17" t="n">
        <x:v>5</x:v>
      </x:c>
      <x:c r="J42" s="17" t="str">
        <x:v>冷藏区</x:v>
      </x:c>
      <x:c r="K42" s="17" t="str">
        <x:v>餐饮直配</x:v>
      </x:c>
      <x:c r="L42" s="19" t="n">
        <x:f>D42+E42-F42-G42-H42</x:f>
        <x:v>-4.547473508864641e-13</x:v>
      </x:c>
      <x:c r="M42" s="17" t="str">
        <x:f>IF(ABS(L42)&lt;=0.01,"通过","复核")</x:f>
        <x:v>通过</x:v>
      </x:c>
    </x:row>
    <x:row r="43">
      <x:c r="A43" s="20" t="n">
        <x:v>46052</x:v>
      </x:c>
      <x:c r="B43" s="17" t="str">
        <x:v>GD-CM-2601-003</x:v>
      </x:c>
      <x:c r="C43" s="17" t="str">
        <x:v>南宁农产品交易中心冷库</x:v>
      </x:c>
      <x:c r="D43" s="22" t="n">
        <x:v>2636.1</x:v>
      </x:c>
      <x:c r="E43" s="22" t="n">
        <x:v>0</x:v>
      </x:c>
      <x:c r="F43" s="22" t="n">
        <x:v>292.8</x:v>
      </x:c>
      <x:c r="G43" s="22" t="n">
        <x:v>37.2</x:v>
      </x:c>
      <x:c r="H43" s="22" t="n">
        <x:v>2306.1</x:v>
      </x:c>
      <x:c r="I43" s="17" t="n">
        <x:v>6</x:v>
      </x:c>
      <x:c r="J43" s="17" t="str">
        <x:v>冷藏区</x:v>
      </x:c>
      <x:c r="K43" s="17" t="str">
        <x:v>电商发货</x:v>
      </x:c>
      <x:c r="L43" s="19" t="n">
        <x:f>D43+E43-F43-G43-H43</x:f>
        <x:v>0</x:v>
      </x:c>
      <x:c r="M43" s="17" t="str">
        <x:f>IF(ABS(L43)&lt;=0.01,"通过","复核")</x:f>
        <x:v>通过</x:v>
      </x:c>
    </x:row>
    <x:row r="44">
      <x:c r="A44" s="20" t="n">
        <x:v>46053</x:v>
      </x:c>
      <x:c r="B44" s="17" t="str">
        <x:v>GD-CM-2601-003</x:v>
      </x:c>
      <x:c r="C44" s="17" t="str">
        <x:v>南宁农产品交易中心冷库</x:v>
      </x:c>
      <x:c r="D44" s="22" t="n">
        <x:v>2306.1</x:v>
      </x:c>
      <x:c r="E44" s="22" t="n">
        <x:v>0</x:v>
      </x:c>
      <x:c r="F44" s="22" t="n">
        <x:v>294.4</x:v>
      </x:c>
      <x:c r="G44" s="22" t="n">
        <x:v>44.6</x:v>
      </x:c>
      <x:c r="H44" s="22" t="n">
        <x:v>1967.1</x:v>
      </x:c>
      <x:c r="I44" s="17" t="n">
        <x:v>7</x:v>
      </x:c>
      <x:c r="J44" s="17" t="str">
        <x:v>冷藏区</x:v>
      </x:c>
      <x:c r="K44" s="17" t="str">
        <x:v>餐饮直配</x:v>
      </x:c>
      <x:c r="L44" s="19" t="n">
        <x:f>D44+E44-F44-G44-H44</x:f>
        <x:v>0</x:v>
      </x:c>
      <x:c r="M44" s="17" t="str">
        <x:f>IF(ABS(L44)&lt;=0.01,"通过","复核")</x:f>
        <x:v>通过</x:v>
      </x:c>
    </x:row>
    <x:row r="45">
      <x:c r="A45" s="20" t="n">
        <x:v>46054</x:v>
      </x:c>
      <x:c r="B45" s="17" t="str">
        <x:v>GD-CM-2601-003</x:v>
      </x:c>
      <x:c r="C45" s="17" t="str">
        <x:v>南宁农产品交易中心冷库</x:v>
      </x:c>
      <x:c r="D45" s="22" t="n">
        <x:v>1967.1</x:v>
      </x:c>
      <x:c r="E45" s="22" t="n">
        <x:v>0</x:v>
      </x:c>
      <x:c r="F45" s="22" t="n">
        <x:v>207.3</x:v>
      </x:c>
      <x:c r="G45" s="22" t="n">
        <x:v>46.6</x:v>
      </x:c>
      <x:c r="H45" s="22" t="n">
        <x:v>1713.2</x:v>
      </x:c>
      <x:c r="I45" s="17" t="n">
        <x:v>8</x:v>
      </x:c>
      <x:c r="J45" s="17" t="str">
        <x:v>冷藏区</x:v>
      </x:c>
      <x:c r="K45" s="17" t="str">
        <x:v>商超配送</x:v>
      </x:c>
      <x:c r="L45" s="19" t="n">
        <x:f>D45+E45-F45-G45-H45</x:f>
        <x:v>0</x:v>
      </x:c>
      <x:c r="M45" s="17" t="str">
        <x:f>IF(ABS(L45)&lt;=0.01,"通过","复核")</x:f>
        <x:v>通过</x:v>
      </x:c>
    </x:row>
    <x:row r="46">
      <x:c r="A46" s="20" t="n">
        <x:v>46055</x:v>
      </x:c>
      <x:c r="B46" s="17" t="str">
        <x:v>GD-CM-2601-003</x:v>
      </x:c>
      <x:c r="C46" s="17" t="str">
        <x:v>南宁农产品交易中心冷库</x:v>
      </x:c>
      <x:c r="D46" s="22" t="n">
        <x:v>1713.2</x:v>
      </x:c>
      <x:c r="E46" s="22" t="n">
        <x:v>0</x:v>
      </x:c>
      <x:c r="F46" s="22" t="n">
        <x:v>210.2</x:v>
      </x:c>
      <x:c r="G46" s="22" t="n">
        <x:v>32.2</x:v>
      </x:c>
      <x:c r="H46" s="22" t="n">
        <x:v>1470.8</x:v>
      </x:c>
      <x:c r="I46" s="17" t="n">
        <x:v>9</x:v>
      </x:c>
      <x:c r="J46" s="17" t="str">
        <x:v>冷藏区</x:v>
      </x:c>
      <x:c r="K46" s="17" t="str">
        <x:v>供港发车</x:v>
      </x:c>
      <x:c r="L46" s="19" t="n">
        <x:f>D46+E46-F46-G46-H46</x:f>
        <x:v>0</x:v>
      </x:c>
      <x:c r="M46" s="17" t="str">
        <x:f>IF(ABS(L46)&lt;=0.01,"通过","复核")</x:f>
        <x:v>通过</x:v>
      </x:c>
    </x:row>
    <x:row r="47">
      <x:c r="A47" s="20" t="n">
        <x:v>46056</x:v>
      </x:c>
      <x:c r="B47" s="17" t="str">
        <x:v>GD-CM-2601-003</x:v>
      </x:c>
      <x:c r="C47" s="17" t="str">
        <x:v>南宁农产品交易中心冷库</x:v>
      </x:c>
      <x:c r="D47" s="22" t="n">
        <x:v>1470.8</x:v>
      </x:c>
      <x:c r="E47" s="22" t="n">
        <x:v>0</x:v>
      </x:c>
      <x:c r="F47" s="22" t="n">
        <x:v>218.9</x:v>
      </x:c>
      <x:c r="G47" s="22" t="n">
        <x:v>40.3</x:v>
      </x:c>
      <x:c r="H47" s="22" t="n">
        <x:v>1211.6</x:v>
      </x:c>
      <x:c r="I47" s="17" t="n">
        <x:v>10</x:v>
      </x:c>
      <x:c r="J47" s="17" t="str">
        <x:v>冷藏区</x:v>
      </x:c>
      <x:c r="K47" s="17" t="str">
        <x:v>批发市场发车</x:v>
      </x:c>
      <x:c r="L47" s="19" t="n">
        <x:f>D47+E47-F47-G47-H47</x:f>
        <x:v>0</x:v>
      </x:c>
      <x:c r="M47" s="17" t="str">
        <x:f>IF(ABS(L47)&lt;=0.01,"通过","复核")</x:f>
        <x:v>通过</x:v>
      </x:c>
    </x:row>
    <x:row r="48">
      <x:c r="A48" s="20" t="n">
        <x:v>46057</x:v>
      </x:c>
      <x:c r="B48" s="17" t="str">
        <x:v>GD-CM-2601-003</x:v>
      </x:c>
      <x:c r="C48" s="17" t="str">
        <x:v>南宁农产品交易中心冷库</x:v>
      </x:c>
      <x:c r="D48" s="22" t="n">
        <x:v>1211.6</x:v>
      </x:c>
      <x:c r="E48" s="22" t="n">
        <x:v>0</x:v>
      </x:c>
      <x:c r="F48" s="22" t="n">
        <x:v>232.3</x:v>
      </x:c>
      <x:c r="G48" s="22" t="n">
        <x:v>40.8</x:v>
      </x:c>
      <x:c r="H48" s="22" t="n">
        <x:v>938.5</x:v>
      </x:c>
      <x:c r="I48" s="17" t="n">
        <x:v>11</x:v>
      </x:c>
      <x:c r="J48" s="17" t="str">
        <x:v>冷藏区</x:v>
      </x:c>
      <x:c r="K48" s="17" t="str">
        <x:v>供港发车</x:v>
      </x:c>
      <x:c r="L48" s="19" t="n">
        <x:f>D48+E48-F48-G48-H48</x:f>
        <x:v>0</x:v>
      </x:c>
      <x:c r="M48" s="17" t="str">
        <x:f>IF(ABS(L48)&lt;=0.01,"通过","复核")</x:f>
        <x:v>通过</x:v>
      </x:c>
    </x:row>
    <x:row r="49">
      <x:c r="A49" s="20" t="n">
        <x:v>46058</x:v>
      </x:c>
      <x:c r="B49" s="17" t="str">
        <x:v>GD-CM-2601-003</x:v>
      </x:c>
      <x:c r="C49" s="17" t="str">
        <x:v>南宁农产品交易中心冷库</x:v>
      </x:c>
      <x:c r="D49" s="22" t="n">
        <x:v>938.5</x:v>
      </x:c>
      <x:c r="E49" s="22" t="n">
        <x:v>0</x:v>
      </x:c>
      <x:c r="F49" s="22" t="n">
        <x:v>297.9</x:v>
      </x:c>
      <x:c r="G49" s="22" t="n">
        <x:v>28.4</x:v>
      </x:c>
      <x:c r="H49" s="22" t="n">
        <x:v>612.2</x:v>
      </x:c>
      <x:c r="I49" s="17" t="n">
        <x:v>12</x:v>
      </x:c>
      <x:c r="J49" s="17" t="str">
        <x:v>冷藏区</x:v>
      </x:c>
      <x:c r="K49" s="17" t="str">
        <x:v>供港发车</x:v>
      </x:c>
      <x:c r="L49" s="19" t="n">
        <x:f>D49+E49-F49-G49-H49</x:f>
        <x:v>0</x:v>
      </x:c>
      <x:c r="M49" s="17" t="str">
        <x:f>IF(ABS(L49)&lt;=0.01,"通过","复核")</x:f>
        <x:v>通过</x:v>
      </x:c>
    </x:row>
    <x:row r="50">
      <x:c r="A50" s="20" t="n">
        <x:v>46059</x:v>
      </x:c>
      <x:c r="B50" s="17" t="str">
        <x:v>GD-CM-2601-003</x:v>
      </x:c>
      <x:c r="C50" s="17" t="str">
        <x:v>南宁农产品交易中心冷库</x:v>
      </x:c>
      <x:c r="D50" s="22" t="n">
        <x:v>612.2</x:v>
      </x:c>
      <x:c r="E50" s="22" t="n">
        <x:v>0</x:v>
      </x:c>
      <x:c r="F50" s="22" t="n">
        <x:v>215.7</x:v>
      </x:c>
      <x:c r="G50" s="22" t="n">
        <x:v>33.3</x:v>
      </x:c>
      <x:c r="H50" s="22" t="n">
        <x:v>363.2</x:v>
      </x:c>
      <x:c r="I50" s="17" t="n">
        <x:v>13</x:v>
      </x:c>
      <x:c r="J50" s="17" t="str">
        <x:v>冷藏区</x:v>
      </x:c>
      <x:c r="K50" s="17" t="str">
        <x:v>供港发车</x:v>
      </x:c>
      <x:c r="L50" s="19" t="n">
        <x:f>D50+E50-F50-G50-H50</x:f>
        <x:v>5.684341886080802e-14</x:v>
      </x:c>
      <x:c r="M50" s="17" t="str">
        <x:f>IF(ABS(L50)&lt;=0.01,"通过","复核")</x:f>
        <x:v>通过</x:v>
      </x:c>
    </x:row>
    <x:row r="51">
      <x:c r="A51" s="20" t="n">
        <x:v>46060</x:v>
      </x:c>
      <x:c r="B51" s="17" t="str">
        <x:v>GD-CM-2601-003</x:v>
      </x:c>
      <x:c r="C51" s="17" t="str">
        <x:v>南宁农产品交易中心冷库</x:v>
      </x:c>
      <x:c r="D51" s="22" t="n">
        <x:v>363.2</x:v>
      </x:c>
      <x:c r="E51" s="22" t="n">
        <x:v>0</x:v>
      </x:c>
      <x:c r="F51" s="22" t="n">
        <x:v>301.9</x:v>
      </x:c>
      <x:c r="G51" s="22" t="n">
        <x:v>37.4</x:v>
      </x:c>
      <x:c r="H51" s="22" t="n">
        <x:v>23.9</x:v>
      </x:c>
      <x:c r="I51" s="17" t="n">
        <x:v>14</x:v>
      </x:c>
      <x:c r="J51" s="17" t="str">
        <x:v>冷藏区</x:v>
      </x:c>
      <x:c r="K51" s="17" t="str">
        <x:v>电商发货</x:v>
      </x:c>
      <x:c r="L51" s="19" t="n">
        <x:f>D51+E51-F51-G51-H51</x:f>
        <x:v>1.4210854715202004e-14</x:v>
      </x:c>
      <x:c r="M51" s="17" t="str">
        <x:f>IF(ABS(L51)&lt;=0.01,"通过","复核")</x:f>
        <x:v>通过</x:v>
      </x:c>
    </x:row>
    <x:row r="52">
      <x:c r="A52" s="20" t="n">
        <x:v>46061</x:v>
      </x:c>
      <x:c r="B52" s="17" t="str">
        <x:v>GD-CM-2601-003</x:v>
      </x:c>
      <x:c r="C52" s="17" t="str">
        <x:v>南宁农产品交易中心冷库</x:v>
      </x:c>
      <x:c r="D52" s="22" t="n">
        <x:v>23.9</x:v>
      </x:c>
      <x:c r="E52" s="22" t="n">
        <x:v>0</x:v>
      </x:c>
      <x:c r="F52" s="22" t="n">
        <x:v>0</x:v>
      </x:c>
      <x:c r="G52" s="22" t="n">
        <x:v>23.9</x:v>
      </x:c>
      <x:c r="H52" s="22" t="n">
        <x:v>0</x:v>
      </x:c>
      <x:c r="I52" s="17" t="n">
        <x:v>15</x:v>
      </x:c>
      <x:c r="J52" s="17" t="str">
        <x:v>冷藏区</x:v>
      </x:c>
      <x:c r="K52" s="17" t="str">
        <x:v>供港发车</x:v>
      </x:c>
      <x:c r="L52" s="19" t="n">
        <x:f>D52+E52-F52-G52-H52</x:f>
        <x:v>0</x:v>
      </x:c>
      <x:c r="M52" s="17" t="str">
        <x:f>IF(ABS(L52)&lt;=0.01,"通过","复核")</x:f>
        <x:v>通过</x:v>
      </x:c>
    </x:row>
    <x:row r="53">
      <x:c r="A53" s="20" t="n">
        <x:v>46055</x:v>
      </x:c>
      <x:c r="B53" s="17" t="str">
        <x:v>GD-CM-2602-004</x:v>
      </x:c>
      <x:c r="C53" s="17" t="str">
        <x:v>广州江南市场冷链仓</x:v>
      </x:c>
      <x:c r="D53" s="22" t="n">
        <x:v>0</x:v>
      </x:c>
      <x:c r="E53" s="22" t="n">
        <x:v>4137</x:v>
      </x:c>
      <x:c r="F53" s="22" t="n">
        <x:v>546.1</x:v>
      </x:c>
      <x:c r="G53" s="22" t="n">
        <x:v>24.8</x:v>
      </x:c>
      <x:c r="H53" s="22" t="n">
        <x:v>3566.1</x:v>
      </x:c>
      <x:c r="I53" s="17" t="n">
        <x:v>0</x:v>
      </x:c>
      <x:c r="J53" s="17" t="str">
        <x:v>暂存区</x:v>
      </x:c>
      <x:c r="K53" s="17" t="str">
        <x:v>电商发货</x:v>
      </x:c>
      <x:c r="L53" s="19" t="n">
        <x:f>D53+E53-F53-G53-H53</x:f>
        <x:v>0</x:v>
      </x:c>
      <x:c r="M53" s="17" t="str">
        <x:f>IF(ABS(L53)&lt;=0.01,"通过","复核")</x:f>
        <x:v>通过</x:v>
      </x:c>
    </x:row>
    <x:row r="54">
      <x:c r="A54" s="20" t="n">
        <x:v>46056</x:v>
      </x:c>
      <x:c r="B54" s="17" t="str">
        <x:v>GD-CM-2602-004</x:v>
      </x:c>
      <x:c r="C54" s="17" t="str">
        <x:v>广州江南市场冷链仓</x:v>
      </x:c>
      <x:c r="D54" s="22" t="n">
        <x:v>3566.1</x:v>
      </x:c>
      <x:c r="E54" s="22" t="n">
        <x:v>0</x:v>
      </x:c>
      <x:c r="F54" s="22" t="n">
        <x:v>218.6</x:v>
      </x:c>
      <x:c r="G54" s="22" t="n">
        <x:v>28.5</x:v>
      </x:c>
      <x:c r="H54" s="22" t="n">
        <x:v>3319</x:v>
      </x:c>
      <x:c r="I54" s="17" t="n">
        <x:v>1</x:v>
      </x:c>
      <x:c r="J54" s="17" t="str">
        <x:v>冷藏区</x:v>
      </x:c>
      <x:c r="K54" s="17" t="str">
        <x:v>电商发货</x:v>
      </x:c>
      <x:c r="L54" s="19" t="n">
        <x:f>D54+E54-F54-G54-H54</x:f>
        <x:v>0</x:v>
      </x:c>
      <x:c r="M54" s="17" t="str">
        <x:f>IF(ABS(L54)&lt;=0.01,"通过","复核")</x:f>
        <x:v>通过</x:v>
      </x:c>
    </x:row>
    <x:row r="55">
      <x:c r="A55" s="20" t="n">
        <x:v>46057</x:v>
      </x:c>
      <x:c r="B55" s="17" t="str">
        <x:v>GD-CM-2602-004</x:v>
      </x:c>
      <x:c r="C55" s="17" t="str">
        <x:v>广州江南市场冷链仓</x:v>
      </x:c>
      <x:c r="D55" s="22" t="n">
        <x:v>3319</x:v>
      </x:c>
      <x:c r="E55" s="22" t="n">
        <x:v>0</x:v>
      </x:c>
      <x:c r="F55" s="22" t="n">
        <x:v>255.5</x:v>
      </x:c>
      <x:c r="G55" s="22" t="n">
        <x:v>40.6</x:v>
      </x:c>
      <x:c r="H55" s="22" t="n">
        <x:v>3022.9</x:v>
      </x:c>
      <x:c r="I55" s="17" t="n">
        <x:v>2</x:v>
      </x:c>
      <x:c r="J55" s="17" t="str">
        <x:v>冷藏区</x:v>
      </x:c>
      <x:c r="K55" s="17" t="str">
        <x:v>餐饮直配</x:v>
      </x:c>
      <x:c r="L55" s="19" t="n">
        <x:f>D55+E55-F55-G55-H55</x:f>
        <x:v>0</x:v>
      </x:c>
      <x:c r="M55" s="17" t="str">
        <x:f>IF(ABS(L55)&lt;=0.01,"通过","复核")</x:f>
        <x:v>通过</x:v>
      </x:c>
    </x:row>
    <x:row r="56">
      <x:c r="A56" s="20" t="n">
        <x:v>46058</x:v>
      </x:c>
      <x:c r="B56" s="17" t="str">
        <x:v>GD-CM-2602-004</x:v>
      </x:c>
      <x:c r="C56" s="17" t="str">
        <x:v>广州江南市场冷链仓</x:v>
      </x:c>
      <x:c r="D56" s="22" t="n">
        <x:v>3022.9</x:v>
      </x:c>
      <x:c r="E56" s="22" t="n">
        <x:v>0</x:v>
      </x:c>
      <x:c r="F56" s="22" t="n">
        <x:v>229.9</x:v>
      </x:c>
      <x:c r="G56" s="22" t="n">
        <x:v>37.5</x:v>
      </x:c>
      <x:c r="H56" s="22" t="n">
        <x:v>2755.5</x:v>
      </x:c>
      <x:c r="I56" s="17" t="n">
        <x:v>3</x:v>
      </x:c>
      <x:c r="J56" s="17" t="str">
        <x:v>冷藏区</x:v>
      </x:c>
      <x:c r="K56" s="17" t="str">
        <x:v>餐饮直配</x:v>
      </x:c>
      <x:c r="L56" s="19" t="n">
        <x:f>D56+E56-F56-G56-H56</x:f>
        <x:v>0</x:v>
      </x:c>
      <x:c r="M56" s="17" t="str">
        <x:f>IF(ABS(L56)&lt;=0.01,"通过","复核")</x:f>
        <x:v>通过</x:v>
      </x:c>
    </x:row>
    <x:row r="57">
      <x:c r="A57" s="20" t="n">
        <x:v>46059</x:v>
      </x:c>
      <x:c r="B57" s="17" t="str">
        <x:v>GD-CM-2602-004</x:v>
      </x:c>
      <x:c r="C57" s="17" t="str">
        <x:v>广州江南市场冷链仓</x:v>
      </x:c>
      <x:c r="D57" s="22" t="n">
        <x:v>2755.5</x:v>
      </x:c>
      <x:c r="E57" s="22" t="n">
        <x:v>0</x:v>
      </x:c>
      <x:c r="F57" s="22" t="n">
        <x:v>245</x:v>
      </x:c>
      <x:c r="G57" s="22" t="n">
        <x:v>32.8</x:v>
      </x:c>
      <x:c r="H57" s="22" t="n">
        <x:v>2477.7</x:v>
      </x:c>
      <x:c r="I57" s="17" t="n">
        <x:v>4</x:v>
      </x:c>
      <x:c r="J57" s="17" t="str">
        <x:v>冷藏区</x:v>
      </x:c>
      <x:c r="K57" s="17" t="str">
        <x:v>电商发货</x:v>
      </x:c>
      <x:c r="L57" s="19" t="n">
        <x:f>D57+E57-F57-G57-H57</x:f>
        <x:v>0</x:v>
      </x:c>
      <x:c r="M57" s="17" t="str">
        <x:f>IF(ABS(L57)&lt;=0.01,"通过","复核")</x:f>
        <x:v>通过</x:v>
      </x:c>
    </x:row>
    <x:row r="58">
      <x:c r="A58" s="20" t="n">
        <x:v>46060</x:v>
      </x:c>
      <x:c r="B58" s="17" t="str">
        <x:v>GD-CM-2602-004</x:v>
      </x:c>
      <x:c r="C58" s="17" t="str">
        <x:v>广州江南市场冷链仓</x:v>
      </x:c>
      <x:c r="D58" s="22" t="n">
        <x:v>2477.7</x:v>
      </x:c>
      <x:c r="E58" s="22" t="n">
        <x:v>0</x:v>
      </x:c>
      <x:c r="F58" s="22" t="n">
        <x:v>222.3</x:v>
      </x:c>
      <x:c r="G58" s="22" t="n">
        <x:v>27</x:v>
      </x:c>
      <x:c r="H58" s="22" t="n">
        <x:v>2228.4</x:v>
      </x:c>
      <x:c r="I58" s="17" t="n">
        <x:v>5</x:v>
      </x:c>
      <x:c r="J58" s="17" t="str">
        <x:v>冷藏区</x:v>
      </x:c>
      <x:c r="K58" s="17" t="str">
        <x:v>电商发货</x:v>
      </x:c>
      <x:c r="L58" s="19" t="n">
        <x:f>D58+E58-F58-G58-H58</x:f>
        <x:v>-4.547473508864641e-13</x:v>
      </x:c>
      <x:c r="M58" s="17" t="str">
        <x:f>IF(ABS(L58)&lt;=0.01,"通过","复核")</x:f>
        <x:v>通过</x:v>
      </x:c>
    </x:row>
    <x:row r="59">
      <x:c r="A59" s="20" t="n">
        <x:v>46061</x:v>
      </x:c>
      <x:c r="B59" s="17" t="str">
        <x:v>GD-CM-2602-004</x:v>
      </x:c>
      <x:c r="C59" s="17" t="str">
        <x:v>广州江南市场冷链仓</x:v>
      </x:c>
      <x:c r="D59" s="22" t="n">
        <x:v>2228.4</x:v>
      </x:c>
      <x:c r="E59" s="22" t="n">
        <x:v>0</x:v>
      </x:c>
      <x:c r="F59" s="22" t="n">
        <x:v>201.6</x:v>
      </x:c>
      <x:c r="G59" s="22" t="n">
        <x:v>41.1</x:v>
      </x:c>
      <x:c r="H59" s="22" t="n">
        <x:v>1985.7</x:v>
      </x:c>
      <x:c r="I59" s="17" t="n">
        <x:v>6</x:v>
      </x:c>
      <x:c r="J59" s="17" t="str">
        <x:v>冷藏区</x:v>
      </x:c>
      <x:c r="K59" s="17" t="str">
        <x:v>供港发车</x:v>
      </x:c>
      <x:c r="L59" s="19" t="n">
        <x:f>D59+E59-F59-G59-H59</x:f>
        <x:v>2.2737367544323206e-13</x:v>
      </x:c>
      <x:c r="M59" s="17" t="str">
        <x:f>IF(ABS(L59)&lt;=0.01,"通过","复核")</x:f>
        <x:v>通过</x:v>
      </x:c>
    </x:row>
    <x:row r="60">
      <x:c r="A60" s="20" t="n">
        <x:v>46062</x:v>
      </x:c>
      <x:c r="B60" s="17" t="str">
        <x:v>GD-CM-2602-004</x:v>
      </x:c>
      <x:c r="C60" s="17" t="str">
        <x:v>广州江南市场冷链仓</x:v>
      </x:c>
      <x:c r="D60" s="22" t="n">
        <x:v>1985.7</x:v>
      </x:c>
      <x:c r="E60" s="22" t="n">
        <x:v>0</x:v>
      </x:c>
      <x:c r="F60" s="22" t="n">
        <x:v>239.6</x:v>
      </x:c>
      <x:c r="G60" s="22" t="n">
        <x:v>40.2</x:v>
      </x:c>
      <x:c r="H60" s="22" t="n">
        <x:v>1705.9</x:v>
      </x:c>
      <x:c r="I60" s="17" t="n">
        <x:v>7</x:v>
      </x:c>
      <x:c r="J60" s="17" t="str">
        <x:v>冷藏区</x:v>
      </x:c>
      <x:c r="K60" s="17" t="str">
        <x:v>商超配送</x:v>
      </x:c>
      <x:c r="L60" s="19" t="n">
        <x:f>D60+E60-F60-G60-H60</x:f>
        <x:v>0</x:v>
      </x:c>
      <x:c r="M60" s="17" t="str">
        <x:f>IF(ABS(L60)&lt;=0.01,"通过","复核")</x:f>
        <x:v>通过</x:v>
      </x:c>
    </x:row>
    <x:row r="61">
      <x:c r="A61" s="20" t="n">
        <x:v>46063</x:v>
      </x:c>
      <x:c r="B61" s="17" t="str">
        <x:v>GD-CM-2602-004</x:v>
      </x:c>
      <x:c r="C61" s="17" t="str">
        <x:v>广州江南市场冷链仓</x:v>
      </x:c>
      <x:c r="D61" s="22" t="n">
        <x:v>1705.9</x:v>
      </x:c>
      <x:c r="E61" s="22" t="n">
        <x:v>0</x:v>
      </x:c>
      <x:c r="F61" s="22" t="n">
        <x:v>231.1</x:v>
      </x:c>
      <x:c r="G61" s="22" t="n">
        <x:v>36.7</x:v>
      </x:c>
      <x:c r="H61" s="22" t="n">
        <x:v>1438.1</x:v>
      </x:c>
      <x:c r="I61" s="17" t="n">
        <x:v>8</x:v>
      </x:c>
      <x:c r="J61" s="17" t="str">
        <x:v>冷藏区</x:v>
      </x:c>
      <x:c r="K61" s="17" t="str">
        <x:v>供港发车</x:v>
      </x:c>
      <x:c r="L61" s="19" t="n">
        <x:f>D61+E61-F61-G61-H61</x:f>
        <x:v>2.2737367544323206e-13</x:v>
      </x:c>
      <x:c r="M61" s="17" t="str">
        <x:f>IF(ABS(L61)&lt;=0.01,"通过","复核")</x:f>
        <x:v>通过</x:v>
      </x:c>
    </x:row>
    <x:row r="62">
      <x:c r="A62" s="20" t="n">
        <x:v>46064</x:v>
      </x:c>
      <x:c r="B62" s="17" t="str">
        <x:v>GD-CM-2602-004</x:v>
      </x:c>
      <x:c r="C62" s="17" t="str">
        <x:v>广州江南市场冷链仓</x:v>
      </x:c>
      <x:c r="D62" s="22" t="n">
        <x:v>1438.1</x:v>
      </x:c>
      <x:c r="E62" s="22" t="n">
        <x:v>0</x:v>
      </x:c>
      <x:c r="F62" s="22" t="n">
        <x:v>203.6</x:v>
      </x:c>
      <x:c r="G62" s="22" t="n">
        <x:v>35.1</x:v>
      </x:c>
      <x:c r="H62" s="22" t="n">
        <x:v>1199.4</x:v>
      </x:c>
      <x:c r="I62" s="17" t="n">
        <x:v>9</x:v>
      </x:c>
      <x:c r="J62" s="17" t="str">
        <x:v>冷藏区</x:v>
      </x:c>
      <x:c r="K62" s="17" t="str">
        <x:v>批发市场发车</x:v>
      </x:c>
      <x:c r="L62" s="19" t="n">
        <x:f>D62+E62-F62-G62-H62</x:f>
        <x:v>0</x:v>
      </x:c>
      <x:c r="M62" s="17" t="str">
        <x:f>IF(ABS(L62)&lt;=0.01,"通过","复核")</x:f>
        <x:v>通过</x:v>
      </x:c>
    </x:row>
    <x:row r="63">
      <x:c r="A63" s="20" t="n">
        <x:v>46065</x:v>
      </x:c>
      <x:c r="B63" s="17" t="str">
        <x:v>GD-CM-2602-004</x:v>
      </x:c>
      <x:c r="C63" s="17" t="str">
        <x:v>广州江南市场冷链仓</x:v>
      </x:c>
      <x:c r="D63" s="22" t="n">
        <x:v>1199.4</x:v>
      </x:c>
      <x:c r="E63" s="22" t="n">
        <x:v>0</x:v>
      </x:c>
      <x:c r="F63" s="22" t="n">
        <x:v>183.9</x:v>
      </x:c>
      <x:c r="G63" s="22" t="n">
        <x:v>23.3</x:v>
      </x:c>
      <x:c r="H63" s="22" t="n">
        <x:v>992.2</x:v>
      </x:c>
      <x:c r="I63" s="17" t="n">
        <x:v>10</x:v>
      </x:c>
      <x:c r="J63" s="17" t="str">
        <x:v>冷藏区</x:v>
      </x:c>
      <x:c r="K63" s="17" t="str">
        <x:v>批发市场发车</x:v>
      </x:c>
      <x:c r="L63" s="19" t="n">
        <x:f>D63+E63-F63-G63-H63</x:f>
        <x:v>1.1368683772161603e-13</x:v>
      </x:c>
      <x:c r="M63" s="17" t="str">
        <x:f>IF(ABS(L63)&lt;=0.01,"通过","复核")</x:f>
        <x:v>通过</x:v>
      </x:c>
    </x:row>
    <x:row r="64">
      <x:c r="A64" s="20" t="n">
        <x:v>46066</x:v>
      </x:c>
      <x:c r="B64" s="17" t="str">
        <x:v>GD-CM-2602-004</x:v>
      </x:c>
      <x:c r="C64" s="17" t="str">
        <x:v>广州江南市场冷链仓</x:v>
      </x:c>
      <x:c r="D64" s="22" t="n">
        <x:v>992.2</x:v>
      </x:c>
      <x:c r="E64" s="22" t="n">
        <x:v>0</x:v>
      </x:c>
      <x:c r="F64" s="22" t="n">
        <x:v>221.4</x:v>
      </x:c>
      <x:c r="G64" s="22" t="n">
        <x:v>37.3</x:v>
      </x:c>
      <x:c r="H64" s="22" t="n">
        <x:v>733.5</x:v>
      </x:c>
      <x:c r="I64" s="17" t="n">
        <x:v>11</x:v>
      </x:c>
      <x:c r="J64" s="17" t="str">
        <x:v>冷藏区</x:v>
      </x:c>
      <x:c r="K64" s="17" t="str">
        <x:v>供港发车</x:v>
      </x:c>
      <x:c r="L64" s="19" t="n">
        <x:f>D64+E64-F64-G64-H64</x:f>
        <x:v>1.1368683772161603e-13</x:v>
      </x:c>
      <x:c r="M64" s="17" t="str">
        <x:f>IF(ABS(L64)&lt;=0.01,"通过","复核")</x:f>
        <x:v>通过</x:v>
      </x:c>
    </x:row>
    <x:row r="65">
      <x:c r="A65" s="20" t="n">
        <x:v>46067</x:v>
      </x:c>
      <x:c r="B65" s="17" t="str">
        <x:v>GD-CM-2602-004</x:v>
      </x:c>
      <x:c r="C65" s="17" t="str">
        <x:v>广州江南市场冷链仓</x:v>
      </x:c>
      <x:c r="D65" s="22" t="n">
        <x:v>733.5</x:v>
      </x:c>
      <x:c r="E65" s="22" t="n">
        <x:v>0</x:v>
      </x:c>
      <x:c r="F65" s="22" t="n">
        <x:v>193</x:v>
      </x:c>
      <x:c r="G65" s="22" t="n">
        <x:v>28.9</x:v>
      </x:c>
      <x:c r="H65" s="22" t="n">
        <x:v>511.6</x:v>
      </x:c>
      <x:c r="I65" s="17" t="n">
        <x:v>12</x:v>
      </x:c>
      <x:c r="J65" s="17" t="str">
        <x:v>冷藏区</x:v>
      </x:c>
      <x:c r="K65" s="17" t="str">
        <x:v>电商发货</x:v>
      </x:c>
      <x:c r="L65" s="19" t="n">
        <x:f>D65+E65-F65-G65-H65</x:f>
        <x:v>0</x:v>
      </x:c>
      <x:c r="M65" s="17" t="str">
        <x:f>IF(ABS(L65)&lt;=0.01,"通过","复核")</x:f>
        <x:v>通过</x:v>
      </x:c>
    </x:row>
    <x:row r="66">
      <x:c r="A66" s="20" t="n">
        <x:v>46068</x:v>
      </x:c>
      <x:c r="B66" s="17" t="str">
        <x:v>GD-CM-2602-004</x:v>
      </x:c>
      <x:c r="C66" s="17" t="str">
        <x:v>广州江南市场冷链仓</x:v>
      </x:c>
      <x:c r="D66" s="22" t="n">
        <x:v>511.6</x:v>
      </x:c>
      <x:c r="E66" s="22" t="n">
        <x:v>0</x:v>
      </x:c>
      <x:c r="F66" s="22" t="n">
        <x:v>196.2</x:v>
      </x:c>
      <x:c r="G66" s="22" t="n">
        <x:v>33.7</x:v>
      </x:c>
      <x:c r="H66" s="22" t="n">
        <x:v>281.7</x:v>
      </x:c>
      <x:c r="I66" s="17" t="n">
        <x:v>13</x:v>
      </x:c>
      <x:c r="J66" s="17" t="str">
        <x:v>冷藏区</x:v>
      </x:c>
      <x:c r="K66" s="17" t="str">
        <x:v>供港发车</x:v>
      </x:c>
      <x:c r="L66" s="19" t="n">
        <x:f>D66+E66-F66-G66-H66</x:f>
        <x:v>5.684341886080802e-14</x:v>
      </x:c>
      <x:c r="M66" s="17" t="str">
        <x:f>IF(ABS(L66)&lt;=0.01,"通过","复核")</x:f>
        <x:v>通过</x:v>
      </x:c>
    </x:row>
    <x:row r="67">
      <x:c r="A67" s="20" t="n">
        <x:v>46069</x:v>
      </x:c>
      <x:c r="B67" s="17" t="str">
        <x:v>GD-CM-2602-004</x:v>
      </x:c>
      <x:c r="C67" s="17" t="str">
        <x:v>广州江南市场冷链仓</x:v>
      </x:c>
      <x:c r="D67" s="22" t="n">
        <x:v>281.7</x:v>
      </x:c>
      <x:c r="E67" s="22" t="n">
        <x:v>0</x:v>
      </x:c>
      <x:c r="F67" s="22" t="n">
        <x:v>208</x:v>
      </x:c>
      <x:c r="G67" s="22" t="n">
        <x:v>25.6</x:v>
      </x:c>
      <x:c r="H67" s="22" t="n">
        <x:v>48.1</x:v>
      </x:c>
      <x:c r="I67" s="17" t="n">
        <x:v>14</x:v>
      </x:c>
      <x:c r="J67" s="17" t="str">
        <x:v>冷藏区</x:v>
      </x:c>
      <x:c r="K67" s="17" t="str">
        <x:v>商超配送</x:v>
      </x:c>
      <x:c r="L67" s="19" t="n">
        <x:f>D67+E67-F67-G67-H67</x:f>
        <x:v>-1.4210854715202004e-14</x:v>
      </x:c>
      <x:c r="M67" s="17" t="str">
        <x:f>IF(ABS(L67)&lt;=0.01,"通过","复核")</x:f>
        <x:v>通过</x:v>
      </x:c>
    </x:row>
    <x:row r="68">
      <x:c r="A68" s="20" t="n">
        <x:v>46070</x:v>
      </x:c>
      <x:c r="B68" s="17" t="str">
        <x:v>GD-CM-2602-004</x:v>
      </x:c>
      <x:c r="C68" s="17" t="str">
        <x:v>广州江南市场冷链仓</x:v>
      </x:c>
      <x:c r="D68" s="22" t="n">
        <x:v>48.1</x:v>
      </x:c>
      <x:c r="E68" s="22" t="n">
        <x:v>0</x:v>
      </x:c>
      <x:c r="F68" s="22" t="n">
        <x:v>0</x:v>
      </x:c>
      <x:c r="G68" s="22" t="n">
        <x:v>48.1</x:v>
      </x:c>
      <x:c r="H68" s="22" t="n">
        <x:v>0</x:v>
      </x:c>
      <x:c r="I68" s="17" t="n">
        <x:v>15</x:v>
      </x:c>
      <x:c r="J68" s="17" t="str">
        <x:v>冷藏区</x:v>
      </x:c>
      <x:c r="K68" s="17" t="str">
        <x:v>餐饮直配</x:v>
      </x:c>
      <x:c r="L68" s="19" t="n">
        <x:f>D68+E68-F68-G68-H68</x:f>
        <x:v>0</x:v>
      </x:c>
      <x:c r="M68" s="17" t="str">
        <x:f>IF(ABS(L68)&lt;=0.01,"通过","复核")</x:f>
        <x:v>通过</x:v>
      </x:c>
    </x:row>
    <x:row r="69">
      <x:c r="A69" s="20" t="n">
        <x:v>46064</x:v>
      </x:c>
      <x:c r="B69" s="17" t="str">
        <x:v>GD-CM-2602-005</x:v>
      </x:c>
      <x:c r="C69" s="17" t="str">
        <x:v>深圳海吉星冷链仓</x:v>
      </x:c>
      <x:c r="D69" s="22" t="n">
        <x:v>0</x:v>
      </x:c>
      <x:c r="E69" s="22" t="n">
        <x:v>4609</x:v>
      </x:c>
      <x:c r="F69" s="22" t="n">
        <x:v>608.4</x:v>
      </x:c>
      <x:c r="G69" s="22" t="n">
        <x:v>27.7</x:v>
      </x:c>
      <x:c r="H69" s="22" t="n">
        <x:v>3972.9</x:v>
      </x:c>
      <x:c r="I69" s="17" t="n">
        <x:v>0</x:v>
      </x:c>
      <x:c r="J69" s="17" t="str">
        <x:v>暂存区</x:v>
      </x:c>
      <x:c r="K69" s="17" t="str">
        <x:v>供港发车</x:v>
      </x:c>
      <x:c r="L69" s="19" t="n">
        <x:f>D69+E69-F69-G69-H69</x:f>
        <x:v>0</x:v>
      </x:c>
      <x:c r="M69" s="17" t="str">
        <x:f>IF(ABS(L69)&lt;=0.01,"通过","复核")</x:f>
        <x:v>通过</x:v>
      </x:c>
    </x:row>
    <x:row r="70">
      <x:c r="A70" s="20" t="n">
        <x:v>46065</x:v>
      </x:c>
      <x:c r="B70" s="17" t="str">
        <x:v>GD-CM-2602-005</x:v>
      </x:c>
      <x:c r="C70" s="17" t="str">
        <x:v>深圳海吉星冷链仓</x:v>
      </x:c>
      <x:c r="D70" s="22" t="n">
        <x:v>3972.9</x:v>
      </x:c>
      <x:c r="E70" s="22" t="n">
        <x:v>0</x:v>
      </x:c>
      <x:c r="F70" s="22" t="n">
        <x:v>291.5</x:v>
      </x:c>
      <x:c r="G70" s="22" t="n">
        <x:v>44.1</x:v>
      </x:c>
      <x:c r="H70" s="22" t="n">
        <x:v>3637.3</x:v>
      </x:c>
      <x:c r="I70" s="17" t="n">
        <x:v>1</x:v>
      </x:c>
      <x:c r="J70" s="17" t="str">
        <x:v>冷藏区</x:v>
      </x:c>
      <x:c r="K70" s="17" t="str">
        <x:v>电商发货</x:v>
      </x:c>
      <x:c r="L70" s="19" t="n">
        <x:f>D70+E70-F70-G70-H70</x:f>
        <x:v>0</x:v>
      </x:c>
      <x:c r="M70" s="17" t="str">
        <x:f>IF(ABS(L70)&lt;=0.01,"通过","复核")</x:f>
        <x:v>通过</x:v>
      </x:c>
    </x:row>
    <x:row r="71">
      <x:c r="A71" s="20" t="n">
        <x:v>46066</x:v>
      </x:c>
      <x:c r="B71" s="17" t="str">
        <x:v>GD-CM-2602-005</x:v>
      </x:c>
      <x:c r="C71" s="17" t="str">
        <x:v>深圳海吉星冷链仓</x:v>
      </x:c>
      <x:c r="D71" s="22" t="n">
        <x:v>3637.3</x:v>
      </x:c>
      <x:c r="E71" s="22" t="n">
        <x:v>0</x:v>
      </x:c>
      <x:c r="F71" s="22" t="n">
        <x:v>232.4</x:v>
      </x:c>
      <x:c r="G71" s="22" t="n">
        <x:v>35.9</x:v>
      </x:c>
      <x:c r="H71" s="22" t="n">
        <x:v>3369</x:v>
      </x:c>
      <x:c r="I71" s="17" t="n">
        <x:v>2</x:v>
      </x:c>
      <x:c r="J71" s="17" t="str">
        <x:v>冷藏区</x:v>
      </x:c>
      <x:c r="K71" s="17" t="str">
        <x:v>餐饮直配</x:v>
      </x:c>
      <x:c r="L71" s="19" t="n">
        <x:f>D71+E71-F71-G71-H71</x:f>
        <x:v>0</x:v>
      </x:c>
      <x:c r="M71" s="17" t="str">
        <x:f>IF(ABS(L71)&lt;=0.01,"通过","复核")</x:f>
        <x:v>通过</x:v>
      </x:c>
    </x:row>
    <x:row r="72">
      <x:c r="A72" s="20" t="n">
        <x:v>46067</x:v>
      </x:c>
      <x:c r="B72" s="17" t="str">
        <x:v>GD-CM-2602-005</x:v>
      </x:c>
      <x:c r="C72" s="17" t="str">
        <x:v>深圳海吉星冷链仓</x:v>
      </x:c>
      <x:c r="D72" s="22" t="n">
        <x:v>3369</x:v>
      </x:c>
      <x:c r="E72" s="22" t="n">
        <x:v>0</x:v>
      </x:c>
      <x:c r="F72" s="22" t="n">
        <x:v>262.1</x:v>
      </x:c>
      <x:c r="G72" s="22" t="n">
        <x:v>34.8</x:v>
      </x:c>
      <x:c r="H72" s="22" t="n">
        <x:v>3072.1</x:v>
      </x:c>
      <x:c r="I72" s="17" t="n">
        <x:v>3</x:v>
      </x:c>
      <x:c r="J72" s="17" t="str">
        <x:v>冷藏区</x:v>
      </x:c>
      <x:c r="K72" s="17" t="str">
        <x:v>餐饮直配</x:v>
      </x:c>
      <x:c r="L72" s="19" t="n">
        <x:f>D72+E72-F72-G72-H72</x:f>
        <x:v>0</x:v>
      </x:c>
      <x:c r="M72" s="17" t="str">
        <x:f>IF(ABS(L72)&lt;=0.01,"通过","复核")</x:f>
        <x:v>通过</x:v>
      </x:c>
    </x:row>
    <x:row r="73">
      <x:c r="A73" s="20" t="n">
        <x:v>46068</x:v>
      </x:c>
      <x:c r="B73" s="17" t="str">
        <x:v>GD-CM-2602-005</x:v>
      </x:c>
      <x:c r="C73" s="17" t="str">
        <x:v>深圳海吉星冷链仓</x:v>
      </x:c>
      <x:c r="D73" s="22" t="n">
        <x:v>3072.1</x:v>
      </x:c>
      <x:c r="E73" s="22" t="n">
        <x:v>0</x:v>
      </x:c>
      <x:c r="F73" s="22" t="n">
        <x:v>240.8</x:v>
      </x:c>
      <x:c r="G73" s="22" t="n">
        <x:v>27.2</x:v>
      </x:c>
      <x:c r="H73" s="22" t="n">
        <x:v>2804.1</x:v>
      </x:c>
      <x:c r="I73" s="17" t="n">
        <x:v>4</x:v>
      </x:c>
      <x:c r="J73" s="17" t="str">
        <x:v>冷藏区</x:v>
      </x:c>
      <x:c r="K73" s="17" t="str">
        <x:v>供港发车</x:v>
      </x:c>
      <x:c r="L73" s="19" t="n">
        <x:f>D73+E73-F73-G73-H73</x:f>
        <x:v>0</x:v>
      </x:c>
      <x:c r="M73" s="17" t="str">
        <x:f>IF(ABS(L73)&lt;=0.01,"通过","复核")</x:f>
        <x:v>通过</x:v>
      </x:c>
    </x:row>
    <x:row r="74">
      <x:c r="A74" s="20" t="n">
        <x:v>46069</x:v>
      </x:c>
      <x:c r="B74" s="17" t="str">
        <x:v>GD-CM-2602-005</x:v>
      </x:c>
      <x:c r="C74" s="17" t="str">
        <x:v>深圳海吉星冷链仓</x:v>
      </x:c>
      <x:c r="D74" s="22" t="n">
        <x:v>2804.1</x:v>
      </x:c>
      <x:c r="E74" s="22" t="n">
        <x:v>0</x:v>
      </x:c>
      <x:c r="F74" s="22" t="n">
        <x:v>258.7</x:v>
      </x:c>
      <x:c r="G74" s="22" t="n">
        <x:v>28.1</x:v>
      </x:c>
      <x:c r="H74" s="22" t="n">
        <x:v>2517.3</x:v>
      </x:c>
      <x:c r="I74" s="17" t="n">
        <x:v>5</x:v>
      </x:c>
      <x:c r="J74" s="17" t="str">
        <x:v>冷藏区</x:v>
      </x:c>
      <x:c r="K74" s="17" t="str">
        <x:v>商超配送</x:v>
      </x:c>
      <x:c r="L74" s="19" t="n">
        <x:f>D74+E74-F74-G74-H74</x:f>
        <x:v>0</x:v>
      </x:c>
      <x:c r="M74" s="17" t="str">
        <x:f>IF(ABS(L74)&lt;=0.01,"通过","复核")</x:f>
        <x:v>通过</x:v>
      </x:c>
    </x:row>
    <x:row r="75">
      <x:c r="A75" s="20" t="n">
        <x:v>46070</x:v>
      </x:c>
      <x:c r="B75" s="17" t="str">
        <x:v>GD-CM-2602-005</x:v>
      </x:c>
      <x:c r="C75" s="17" t="str">
        <x:v>深圳海吉星冷链仓</x:v>
      </x:c>
      <x:c r="D75" s="22" t="n">
        <x:v>2517.3</x:v>
      </x:c>
      <x:c r="E75" s="22" t="n">
        <x:v>0</x:v>
      </x:c>
      <x:c r="F75" s="22" t="n">
        <x:v>257.7</x:v>
      </x:c>
      <x:c r="G75" s="22" t="n">
        <x:v>26.8</x:v>
      </x:c>
      <x:c r="H75" s="22" t="n">
        <x:v>2232.8</x:v>
      </x:c>
      <x:c r="I75" s="17" t="n">
        <x:v>6</x:v>
      </x:c>
      <x:c r="J75" s="17" t="str">
        <x:v>冷藏区</x:v>
      </x:c>
      <x:c r="K75" s="17" t="str">
        <x:v>商超配送</x:v>
      </x:c>
      <x:c r="L75" s="19" t="n">
        <x:f>D75+E75-F75-G75-H75</x:f>
        <x:v>0</x:v>
      </x:c>
      <x:c r="M75" s="17" t="str">
        <x:f>IF(ABS(L75)&lt;=0.01,"通过","复核")</x:f>
        <x:v>通过</x:v>
      </x:c>
    </x:row>
    <x:row r="76">
      <x:c r="A76" s="20" t="n">
        <x:v>46071</x:v>
      </x:c>
      <x:c r="B76" s="17" t="str">
        <x:v>GD-CM-2602-005</x:v>
      </x:c>
      <x:c r="C76" s="17" t="str">
        <x:v>深圳海吉星冷链仓</x:v>
      </x:c>
      <x:c r="D76" s="22" t="n">
        <x:v>2232.8</x:v>
      </x:c>
      <x:c r="E76" s="22" t="n">
        <x:v>0</x:v>
      </x:c>
      <x:c r="F76" s="22" t="n">
        <x:v>231.8</x:v>
      </x:c>
      <x:c r="G76" s="22" t="n">
        <x:v>37.3</x:v>
      </x:c>
      <x:c r="H76" s="22" t="n">
        <x:v>1963.7</x:v>
      </x:c>
      <x:c r="I76" s="17" t="n">
        <x:v>7</x:v>
      </x:c>
      <x:c r="J76" s="17" t="str">
        <x:v>冷藏区</x:v>
      </x:c>
      <x:c r="K76" s="17" t="str">
        <x:v>电商发货</x:v>
      </x:c>
      <x:c r="L76" s="19" t="n">
        <x:f>D76+E76-F76-G76-H76</x:f>
        <x:v>2.2737367544323206e-13</x:v>
      </x:c>
      <x:c r="M76" s="17" t="str">
        <x:f>IF(ABS(L76)&lt;=0.01,"通过","复核")</x:f>
        <x:v>通过</x:v>
      </x:c>
    </x:row>
    <x:row r="77">
      <x:c r="A77" s="20" t="n">
        <x:v>46072</x:v>
      </x:c>
      <x:c r="B77" s="17" t="str">
        <x:v>GD-CM-2602-005</x:v>
      </x:c>
      <x:c r="C77" s="17" t="str">
        <x:v>深圳海吉星冷链仓</x:v>
      </x:c>
      <x:c r="D77" s="22" t="n">
        <x:v>1963.7</x:v>
      </x:c>
      <x:c r="E77" s="22" t="n">
        <x:v>0</x:v>
      </x:c>
      <x:c r="F77" s="22" t="n">
        <x:v>231.2</x:v>
      </x:c>
      <x:c r="G77" s="22" t="n">
        <x:v>45.5</x:v>
      </x:c>
      <x:c r="H77" s="22" t="n">
        <x:v>1687</x:v>
      </x:c>
      <x:c r="I77" s="17" t="n">
        <x:v>8</x:v>
      </x:c>
      <x:c r="J77" s="17" t="str">
        <x:v>冷藏区</x:v>
      </x:c>
      <x:c r="K77" s="17" t="str">
        <x:v>餐饮直配</x:v>
      </x:c>
      <x:c r="L77" s="19" t="n">
        <x:f>D77+E77-F77-G77-H77</x:f>
        <x:v>0</x:v>
      </x:c>
      <x:c r="M77" s="17" t="str">
        <x:f>IF(ABS(L77)&lt;=0.01,"通过","复核")</x:f>
        <x:v>通过</x:v>
      </x:c>
    </x:row>
    <x:row r="78">
      <x:c r="A78" s="20" t="n">
        <x:v>46073</x:v>
      </x:c>
      <x:c r="B78" s="17" t="str">
        <x:v>GD-CM-2602-005</x:v>
      </x:c>
      <x:c r="C78" s="17" t="str">
        <x:v>深圳海吉星冷链仓</x:v>
      </x:c>
      <x:c r="D78" s="22" t="n">
        <x:v>1687</x:v>
      </x:c>
      <x:c r="E78" s="22" t="n">
        <x:v>0</x:v>
      </x:c>
      <x:c r="F78" s="22" t="n">
        <x:v>275.1</x:v>
      </x:c>
      <x:c r="G78" s="22" t="n">
        <x:v>38.1</x:v>
      </x:c>
      <x:c r="H78" s="22" t="n">
        <x:v>1373.8</x:v>
      </x:c>
      <x:c r="I78" s="17" t="n">
        <x:v>9</x:v>
      </x:c>
      <x:c r="J78" s="17" t="str">
        <x:v>冷藏区</x:v>
      </x:c>
      <x:c r="K78" s="17" t="str">
        <x:v>批发市场发车</x:v>
      </x:c>
      <x:c r="L78" s="19" t="n">
        <x:f>D78+E78-F78-G78-H78</x:f>
        <x:v>2.2737367544323206e-13</x:v>
      </x:c>
      <x:c r="M78" s="17" t="str">
        <x:f>IF(ABS(L78)&lt;=0.01,"通过","复核")</x:f>
        <x:v>通过</x:v>
      </x:c>
    </x:row>
    <x:row r="79">
      <x:c r="A79" s="20" t="n">
        <x:v>46074</x:v>
      </x:c>
      <x:c r="B79" s="17" t="str">
        <x:v>GD-CM-2602-005</x:v>
      </x:c>
      <x:c r="C79" s="17" t="str">
        <x:v>深圳海吉星冷链仓</x:v>
      </x:c>
      <x:c r="D79" s="22" t="n">
        <x:v>1373.8</x:v>
      </x:c>
      <x:c r="E79" s="22" t="n">
        <x:v>0</x:v>
      </x:c>
      <x:c r="F79" s="22" t="n">
        <x:v>255.4</x:v>
      </x:c>
      <x:c r="G79" s="22" t="n">
        <x:v>26.5</x:v>
      </x:c>
      <x:c r="H79" s="22" t="n">
        <x:v>1091.9</x:v>
      </x:c>
      <x:c r="I79" s="17" t="n">
        <x:v>10</x:v>
      </x:c>
      <x:c r="J79" s="17" t="str">
        <x:v>冷藏区</x:v>
      </x:c>
      <x:c r="K79" s="17" t="str">
        <x:v>电商发货</x:v>
      </x:c>
      <x:c r="L79" s="19" t="n">
        <x:f>D79+E79-F79-G79-H79</x:f>
        <x:v>-2.2737367544323206e-13</x:v>
      </x:c>
      <x:c r="M79" s="17" t="str">
        <x:f>IF(ABS(L79)&lt;=0.01,"通过","复核")</x:f>
        <x:v>通过</x:v>
      </x:c>
    </x:row>
    <x:row r="80">
      <x:c r="A80" s="20" t="n">
        <x:v>46075</x:v>
      </x:c>
      <x:c r="B80" s="17" t="str">
        <x:v>GD-CM-2602-005</x:v>
      </x:c>
      <x:c r="C80" s="17" t="str">
        <x:v>深圳海吉星冷链仓</x:v>
      </x:c>
      <x:c r="D80" s="22" t="n">
        <x:v>1091.9</x:v>
      </x:c>
      <x:c r="E80" s="22" t="n">
        <x:v>0</x:v>
      </x:c>
      <x:c r="F80" s="22" t="n">
        <x:v>214.9</x:v>
      </x:c>
      <x:c r="G80" s="22" t="n">
        <x:v>27.9</x:v>
      </x:c>
      <x:c r="H80" s="22" t="n">
        <x:v>849.1</x:v>
      </x:c>
      <x:c r="I80" s="17" t="n">
        <x:v>11</x:v>
      </x:c>
      <x:c r="J80" s="17" t="str">
        <x:v>冷藏区</x:v>
      </x:c>
      <x:c r="K80" s="17" t="str">
        <x:v>供港发车</x:v>
      </x:c>
      <x:c r="L80" s="19" t="n">
        <x:f>D80+E80-F80-G80-H80</x:f>
        <x:v>1.1368683772161603e-13</x:v>
      </x:c>
      <x:c r="M80" s="17" t="str">
        <x:f>IF(ABS(L80)&lt;=0.01,"通过","复核")</x:f>
        <x:v>通过</x:v>
      </x:c>
    </x:row>
    <x:row r="81">
      <x:c r="A81" s="20" t="n">
        <x:v>46076</x:v>
      </x:c>
      <x:c r="B81" s="17" t="str">
        <x:v>GD-CM-2602-005</x:v>
      </x:c>
      <x:c r="C81" s="17" t="str">
        <x:v>深圳海吉星冷链仓</x:v>
      </x:c>
      <x:c r="D81" s="22" t="n">
        <x:v>849.1</x:v>
      </x:c>
      <x:c r="E81" s="22" t="n">
        <x:v>0</x:v>
      </x:c>
      <x:c r="F81" s="22" t="n">
        <x:v>269.9</x:v>
      </x:c>
      <x:c r="G81" s="22" t="n">
        <x:v>29.6</x:v>
      </x:c>
      <x:c r="H81" s="22" t="n">
        <x:v>549.6</x:v>
      </x:c>
      <x:c r="I81" s="17" t="n">
        <x:v>12</x:v>
      </x:c>
      <x:c r="J81" s="17" t="str">
        <x:v>冷藏区</x:v>
      </x:c>
      <x:c r="K81" s="17" t="str">
        <x:v>批发市场发车</x:v>
      </x:c>
      <x:c r="L81" s="19" t="n">
        <x:f>D81+E81-F81-G81-H81</x:f>
        <x:v>0</x:v>
      </x:c>
      <x:c r="M81" s="17" t="str">
        <x:f>IF(ABS(L81)&lt;=0.01,"通过","复核")</x:f>
        <x:v>通过</x:v>
      </x:c>
    </x:row>
    <x:row r="82">
      <x:c r="A82" s="20" t="n">
        <x:v>46077</x:v>
      </x:c>
      <x:c r="B82" s="17" t="str">
        <x:v>GD-CM-2602-005</x:v>
      </x:c>
      <x:c r="C82" s="17" t="str">
        <x:v>深圳海吉星冷链仓</x:v>
      </x:c>
      <x:c r="D82" s="22" t="n">
        <x:v>549.6</x:v>
      </x:c>
      <x:c r="E82" s="22" t="n">
        <x:v>0</x:v>
      </x:c>
      <x:c r="F82" s="22" t="n">
        <x:v>226.2</x:v>
      </x:c>
      <x:c r="G82" s="22" t="n">
        <x:v>28.2</x:v>
      </x:c>
      <x:c r="H82" s="22" t="n">
        <x:v>295.2</x:v>
      </x:c>
      <x:c r="I82" s="17" t="n">
        <x:v>13</x:v>
      </x:c>
      <x:c r="J82" s="17" t="str">
        <x:v>冷藏区</x:v>
      </x:c>
      <x:c r="K82" s="17" t="str">
        <x:v>供港发车</x:v>
      </x:c>
      <x:c r="L82" s="19" t="n">
        <x:f>D82+E82-F82-G82-H82</x:f>
        <x:v>5.684341886080802e-14</x:v>
      </x:c>
      <x:c r="M82" s="17" t="str">
        <x:f>IF(ABS(L82)&lt;=0.01,"通过","复核")</x:f>
        <x:v>通过</x:v>
      </x:c>
    </x:row>
    <x:row r="83">
      <x:c r="A83" s="20" t="n">
        <x:v>46078</x:v>
      </x:c>
      <x:c r="B83" s="17" t="str">
        <x:v>GD-CM-2602-005</x:v>
      </x:c>
      <x:c r="C83" s="17" t="str">
        <x:v>深圳海吉星冷链仓</x:v>
      </x:c>
      <x:c r="D83" s="22" t="n">
        <x:v>295.2</x:v>
      </x:c>
      <x:c r="E83" s="22" t="n">
        <x:v>0</x:v>
      </x:c>
      <x:c r="F83" s="22" t="n">
        <x:v>257.7</x:v>
      </x:c>
      <x:c r="G83" s="22" t="n">
        <x:v>37.5</x:v>
      </x:c>
      <x:c r="H83" s="22" t="n">
        <x:v>0</x:v>
      </x:c>
      <x:c r="I83" s="17" t="n">
        <x:v>14</x:v>
      </x:c>
      <x:c r="J83" s="17" t="str">
        <x:v>冷藏区</x:v>
      </x:c>
      <x:c r="K83" s="17" t="str">
        <x:v>批发市场发车</x:v>
      </x:c>
      <x:c r="L83" s="19" t="n">
        <x:f>D83+E83-F83-G83-H83</x:f>
        <x:v>0</x:v>
      </x:c>
      <x:c r="M83" s="17" t="str">
        <x:f>IF(ABS(L83)&lt;=0.01,"通过","复核")</x:f>
        <x:v>通过</x:v>
      </x:c>
    </x:row>
    <x:row r="84">
      <x:c r="A84" s="20" t="n">
        <x:v>46079</x:v>
      </x:c>
      <x:c r="B84" s="17" t="str">
        <x:v>GD-CM-2602-005</x:v>
      </x:c>
      <x:c r="C84" s="17" t="str">
        <x:v>深圳海吉星冷链仓</x:v>
      </x:c>
      <x:c r="D84" s="22" t="n">
        <x:v>0</x:v>
      </x:c>
      <x:c r="E84" s="22" t="n">
        <x:v>0</x:v>
      </x:c>
      <x:c r="F84" s="22" t="n">
        <x:v>0</x:v>
      </x:c>
      <x:c r="G84" s="22" t="n">
        <x:v>0</x:v>
      </x:c>
      <x:c r="H84" s="22" t="n">
        <x:v>0</x:v>
      </x:c>
      <x:c r="I84" s="17" t="n">
        <x:v>15</x:v>
      </x:c>
      <x:c r="J84" s="17" t="str">
        <x:v>冷藏区</x:v>
      </x:c>
      <x:c r="K84" s="17" t="str">
        <x:v>餐饮直配</x:v>
      </x:c>
      <x:c r="L84" s="19" t="n">
        <x:f>D84+E84-F84-G84-H84</x:f>
        <x:v>0</x:v>
      </x:c>
      <x:c r="M84" s="17" t="str">
        <x:f>IF(ABS(L84)&lt;=0.01,"通过","复核")</x:f>
        <x:v>通过</x:v>
      </x:c>
    </x:row>
    <x:row r="85">
      <x:c r="A85" s="20" t="n">
        <x:v>46073</x:v>
      </x:c>
      <x:c r="B85" s="17" t="str">
        <x:v>GD-CM-2602-006</x:v>
      </x:c>
      <x:c r="C85" s="17" t="str">
        <x:v>南宁农产品交易中心冷库</x:v>
      </x:c>
      <x:c r="D85" s="22" t="n">
        <x:v>0</x:v>
      </x:c>
      <x:c r="E85" s="22" t="n">
        <x:v>4478</x:v>
      </x:c>
      <x:c r="F85" s="22" t="n">
        <x:v>591.1</x:v>
      </x:c>
      <x:c r="G85" s="22" t="n">
        <x:v>26.9</x:v>
      </x:c>
      <x:c r="H85" s="22" t="n">
        <x:v>3860</x:v>
      </x:c>
      <x:c r="I85" s="17" t="n">
        <x:v>0</x:v>
      </x:c>
      <x:c r="J85" s="17" t="str">
        <x:v>暂存区</x:v>
      </x:c>
      <x:c r="K85" s="17" t="str">
        <x:v>供港发车</x:v>
      </x:c>
      <x:c r="L85" s="19" t="n">
        <x:f>D85+E85-F85-G85-H85</x:f>
        <x:v>0</x:v>
      </x:c>
      <x:c r="M85" s="17" t="str">
        <x:f>IF(ABS(L85)&lt;=0.01,"通过","复核")</x:f>
        <x:v>通过</x:v>
      </x:c>
    </x:row>
    <x:row r="86">
      <x:c r="A86" s="20" t="n">
        <x:v>46074</x:v>
      </x:c>
      <x:c r="B86" s="17" t="str">
        <x:v>GD-CM-2602-006</x:v>
      </x:c>
      <x:c r="C86" s="17" t="str">
        <x:v>南宁农产品交易中心冷库</x:v>
      </x:c>
      <x:c r="D86" s="22" t="n">
        <x:v>3860</x:v>
      </x:c>
      <x:c r="E86" s="22" t="n">
        <x:v>0</x:v>
      </x:c>
      <x:c r="F86" s="22" t="n">
        <x:v>228.2</x:v>
      </x:c>
      <x:c r="G86" s="22" t="n">
        <x:v>40.2</x:v>
      </x:c>
      <x:c r="H86" s="22" t="n">
        <x:v>3591.6</x:v>
      </x:c>
      <x:c r="I86" s="17" t="n">
        <x:v>1</x:v>
      </x:c>
      <x:c r="J86" s="17" t="str">
        <x:v>冷藏区</x:v>
      </x:c>
      <x:c r="K86" s="17" t="str">
        <x:v>商超配送</x:v>
      </x:c>
      <x:c r="L86" s="19" t="n">
        <x:f>D86+E86-F86-G86-H86</x:f>
        <x:v>4.547473508864641e-13</x:v>
      </x:c>
      <x:c r="M86" s="17" t="str">
        <x:f>IF(ABS(L86)&lt;=0.01,"通过","复核")</x:f>
        <x:v>通过</x:v>
      </x:c>
    </x:row>
    <x:row r="87">
      <x:c r="A87" s="20" t="n">
        <x:v>46075</x:v>
      </x:c>
      <x:c r="B87" s="17" t="str">
        <x:v>GD-CM-2602-006</x:v>
      </x:c>
      <x:c r="C87" s="17" t="str">
        <x:v>南宁农产品交易中心冷库</x:v>
      </x:c>
      <x:c r="D87" s="22" t="n">
        <x:v>3591.6</x:v>
      </x:c>
      <x:c r="E87" s="22" t="n">
        <x:v>0</x:v>
      </x:c>
      <x:c r="F87" s="22" t="n">
        <x:v>208.7</x:v>
      </x:c>
      <x:c r="G87" s="22" t="n">
        <x:v>28</x:v>
      </x:c>
      <x:c r="H87" s="22" t="n">
        <x:v>3354.9</x:v>
      </x:c>
      <x:c r="I87" s="17" t="n">
        <x:v>2</x:v>
      </x:c>
      <x:c r="J87" s="17" t="str">
        <x:v>冷藏区</x:v>
      </x:c>
      <x:c r="K87" s="17" t="str">
        <x:v>餐饮直配</x:v>
      </x:c>
      <x:c r="L87" s="19" t="n">
        <x:f>D87+E87-F87-G87-H87</x:f>
        <x:v>0</x:v>
      </x:c>
      <x:c r="M87" s="17" t="str">
        <x:f>IF(ABS(L87)&lt;=0.01,"通过","复核")</x:f>
        <x:v>通过</x:v>
      </x:c>
    </x:row>
    <x:row r="88">
      <x:c r="A88" s="20" t="n">
        <x:v>46076</x:v>
      </x:c>
      <x:c r="B88" s="17" t="str">
        <x:v>GD-CM-2602-006</x:v>
      </x:c>
      <x:c r="C88" s="17" t="str">
        <x:v>南宁农产品交易中心冷库</x:v>
      </x:c>
      <x:c r="D88" s="22" t="n">
        <x:v>3354.9</x:v>
      </x:c>
      <x:c r="E88" s="22" t="n">
        <x:v>0</x:v>
      </x:c>
      <x:c r="F88" s="22" t="n">
        <x:v>202.8</x:v>
      </x:c>
      <x:c r="G88" s="22" t="n">
        <x:v>46.5</x:v>
      </x:c>
      <x:c r="H88" s="22" t="n">
        <x:v>3105.6</x:v>
      </x:c>
      <x:c r="I88" s="17" t="n">
        <x:v>3</x:v>
      </x:c>
      <x:c r="J88" s="17" t="str">
        <x:v>冷藏区</x:v>
      </x:c>
      <x:c r="K88" s="17" t="str">
        <x:v>批发市场发车</x:v>
      </x:c>
      <x:c r="L88" s="19" t="n">
        <x:f>D88+E88-F88-G88-H88</x:f>
        <x:v>0</x:v>
      </x:c>
      <x:c r="M88" s="17" t="str">
        <x:f>IF(ABS(L88)&lt;=0.01,"通过","复核")</x:f>
        <x:v>通过</x:v>
      </x:c>
    </x:row>
    <x:row r="89">
      <x:c r="A89" s="20" t="n">
        <x:v>46077</x:v>
      </x:c>
      <x:c r="B89" s="17" t="str">
        <x:v>GD-CM-2602-006</x:v>
      </x:c>
      <x:c r="C89" s="17" t="str">
        <x:v>南宁农产品交易中心冷库</x:v>
      </x:c>
      <x:c r="D89" s="22" t="n">
        <x:v>3105.6</x:v>
      </x:c>
      <x:c r="E89" s="22" t="n">
        <x:v>0</x:v>
      </x:c>
      <x:c r="F89" s="22" t="n">
        <x:v>243.8</x:v>
      </x:c>
      <x:c r="G89" s="22" t="n">
        <x:v>44</x:v>
      </x:c>
      <x:c r="H89" s="22" t="n">
        <x:v>2817.8</x:v>
      </x:c>
      <x:c r="I89" s="17" t="n">
        <x:v>4</x:v>
      </x:c>
      <x:c r="J89" s="17" t="str">
        <x:v>冷藏区</x:v>
      </x:c>
      <x:c r="K89" s="17" t="str">
        <x:v>供港发车</x:v>
      </x:c>
      <x:c r="L89" s="19" t="n">
        <x:f>D89+E89-F89-G89-H89</x:f>
        <x:v>-4.547473508864641e-13</x:v>
      </x:c>
      <x:c r="M89" s="17" t="str">
        <x:f>IF(ABS(L89)&lt;=0.01,"通过","复核")</x:f>
        <x:v>通过</x:v>
      </x:c>
    </x:row>
    <x:row r="90">
      <x:c r="A90" s="20" t="n">
        <x:v>46078</x:v>
      </x:c>
      <x:c r="B90" s="17" t="str">
        <x:v>GD-CM-2602-006</x:v>
      </x:c>
      <x:c r="C90" s="17" t="str">
        <x:v>南宁农产品交易中心冷库</x:v>
      </x:c>
      <x:c r="D90" s="22" t="n">
        <x:v>2817.8</x:v>
      </x:c>
      <x:c r="E90" s="22" t="n">
        <x:v>0</x:v>
      </x:c>
      <x:c r="F90" s="22" t="n">
        <x:v>240.1</x:v>
      </x:c>
      <x:c r="G90" s="22" t="n">
        <x:v>30.3</x:v>
      </x:c>
      <x:c r="H90" s="22" t="n">
        <x:v>2547.4</x:v>
      </x:c>
      <x:c r="I90" s="17" t="n">
        <x:v>5</x:v>
      </x:c>
      <x:c r="J90" s="17" t="str">
        <x:v>冷藏区</x:v>
      </x:c>
      <x:c r="K90" s="17" t="str">
        <x:v>餐饮直配</x:v>
      </x:c>
      <x:c r="L90" s="19" t="n">
        <x:f>D90+E90-F90-G90-H90</x:f>
        <x:v>0</x:v>
      </x:c>
      <x:c r="M90" s="17" t="str">
        <x:f>IF(ABS(L90)&lt;=0.01,"通过","复核")</x:f>
        <x:v>通过</x:v>
      </x:c>
    </x:row>
    <x:row r="91">
      <x:c r="A91" s="20" t="n">
        <x:v>46079</x:v>
      </x:c>
      <x:c r="B91" s="17" t="str">
        <x:v>GD-CM-2602-006</x:v>
      </x:c>
      <x:c r="C91" s="17" t="str">
        <x:v>南宁农产品交易中心冷库</x:v>
      </x:c>
      <x:c r="D91" s="22" t="n">
        <x:v>2547.4</x:v>
      </x:c>
      <x:c r="E91" s="22" t="n">
        <x:v>0</x:v>
      </x:c>
      <x:c r="F91" s="22" t="n">
        <x:v>198.6</x:v>
      </x:c>
      <x:c r="G91" s="22" t="n">
        <x:v>44.1</x:v>
      </x:c>
      <x:c r="H91" s="22" t="n">
        <x:v>2304.7</x:v>
      </x:c>
      <x:c r="I91" s="17" t="n">
        <x:v>6</x:v>
      </x:c>
      <x:c r="J91" s="17" t="str">
        <x:v>冷藏区</x:v>
      </x:c>
      <x:c r="K91" s="17" t="str">
        <x:v>商超配送</x:v>
      </x:c>
      <x:c r="L91" s="19" t="n">
        <x:f>D91+E91-F91-G91-H91</x:f>
        <x:v>4.547473508864641e-13</x:v>
      </x:c>
      <x:c r="M91" s="17" t="str">
        <x:f>IF(ABS(L91)&lt;=0.01,"通过","复核")</x:f>
        <x:v>通过</x:v>
      </x:c>
    </x:row>
    <x:row r="92">
      <x:c r="A92" s="20" t="n">
        <x:v>46080</x:v>
      </x:c>
      <x:c r="B92" s="17" t="str">
        <x:v>GD-CM-2602-006</x:v>
      </x:c>
      <x:c r="C92" s="17" t="str">
        <x:v>南宁农产品交易中心冷库</x:v>
      </x:c>
      <x:c r="D92" s="22" t="n">
        <x:v>2304.7</x:v>
      </x:c>
      <x:c r="E92" s="22" t="n">
        <x:v>0</x:v>
      </x:c>
      <x:c r="F92" s="22" t="n">
        <x:v>211.1</x:v>
      </x:c>
      <x:c r="G92" s="22" t="n">
        <x:v>46</x:v>
      </x:c>
      <x:c r="H92" s="22" t="n">
        <x:v>2047.6</x:v>
      </x:c>
      <x:c r="I92" s="17" t="n">
        <x:v>7</x:v>
      </x:c>
      <x:c r="J92" s="17" t="str">
        <x:v>冷藏区</x:v>
      </x:c>
      <x:c r="K92" s="17" t="str">
        <x:v>供港发车</x:v>
      </x:c>
      <x:c r="L92" s="19" t="n">
        <x:f>D92+E92-F92-G92-H92</x:f>
        <x:v>0</x:v>
      </x:c>
      <x:c r="M92" s="17" t="str">
        <x:f>IF(ABS(L92)&lt;=0.01,"通过","复核")</x:f>
        <x:v>通过</x:v>
      </x:c>
    </x:row>
    <x:row r="93">
      <x:c r="A93" s="20" t="n">
        <x:v>46081</x:v>
      </x:c>
      <x:c r="B93" s="17" t="str">
        <x:v>GD-CM-2602-006</x:v>
      </x:c>
      <x:c r="C93" s="17" t="str">
        <x:v>南宁农产品交易中心冷库</x:v>
      </x:c>
      <x:c r="D93" s="22" t="n">
        <x:v>2047.6</x:v>
      </x:c>
      <x:c r="E93" s="22" t="n">
        <x:v>0</x:v>
      </x:c>
      <x:c r="F93" s="22" t="n">
        <x:v>250.6</x:v>
      </x:c>
      <x:c r="G93" s="22" t="n">
        <x:v>37.7</x:v>
      </x:c>
      <x:c r="H93" s="22" t="n">
        <x:v>1759.3</x:v>
      </x:c>
      <x:c r="I93" s="17" t="n">
        <x:v>8</x:v>
      </x:c>
      <x:c r="J93" s="17" t="str">
        <x:v>冷藏区</x:v>
      </x:c>
      <x:c r="K93" s="17" t="str">
        <x:v>商超配送</x:v>
      </x:c>
      <x:c r="L93" s="19" t="n">
        <x:f>D93+E93-F93-G93-H93</x:f>
        <x:v>0</x:v>
      </x:c>
      <x:c r="M93" s="17" t="str">
        <x:f>IF(ABS(L93)&lt;=0.01,"通过","复核")</x:f>
        <x:v>通过</x:v>
      </x:c>
    </x:row>
    <x:row r="94">
      <x:c r="A94" s="20" t="n">
        <x:v>46082</x:v>
      </x:c>
      <x:c r="B94" s="17" t="str">
        <x:v>GD-CM-2602-006</x:v>
      </x:c>
      <x:c r="C94" s="17" t="str">
        <x:v>南宁农产品交易中心冷库</x:v>
      </x:c>
      <x:c r="D94" s="22" t="n">
        <x:v>1759.3</x:v>
      </x:c>
      <x:c r="E94" s="22" t="n">
        <x:v>0</x:v>
      </x:c>
      <x:c r="F94" s="22" t="n">
        <x:v>238.3</x:v>
      </x:c>
      <x:c r="G94" s="22" t="n">
        <x:v>42.6</x:v>
      </x:c>
      <x:c r="H94" s="22" t="n">
        <x:v>1478.4</x:v>
      </x:c>
      <x:c r="I94" s="17" t="n">
        <x:v>9</x:v>
      </x:c>
      <x:c r="J94" s="17" t="str">
        <x:v>冷藏区</x:v>
      </x:c>
      <x:c r="K94" s="17" t="str">
        <x:v>供港发车</x:v>
      </x:c>
      <x:c r="L94" s="19" t="n">
        <x:f>D94+E94-F94-G94-H94</x:f>
        <x:v>0</x:v>
      </x:c>
      <x:c r="M94" s="17" t="str">
        <x:f>IF(ABS(L94)&lt;=0.01,"通过","复核")</x:f>
        <x:v>通过</x:v>
      </x:c>
    </x:row>
    <x:row r="95">
      <x:c r="A95" s="20" t="n">
        <x:v>46083</x:v>
      </x:c>
      <x:c r="B95" s="17" t="str">
        <x:v>GD-CM-2602-006</x:v>
      </x:c>
      <x:c r="C95" s="17" t="str">
        <x:v>南宁农产品交易中心冷库</x:v>
      </x:c>
      <x:c r="D95" s="22" t="n">
        <x:v>1478.4</x:v>
      </x:c>
      <x:c r="E95" s="22" t="n">
        <x:v>0</x:v>
      </x:c>
      <x:c r="F95" s="22" t="n">
        <x:v>278</x:v>
      </x:c>
      <x:c r="G95" s="22" t="n">
        <x:v>29.7</x:v>
      </x:c>
      <x:c r="H95" s="22" t="n">
        <x:v>1170.7</x:v>
      </x:c>
      <x:c r="I95" s="17" t="n">
        <x:v>10</x:v>
      </x:c>
      <x:c r="J95" s="17" t="str">
        <x:v>冷藏区</x:v>
      </x:c>
      <x:c r="K95" s="17" t="str">
        <x:v>餐饮直配</x:v>
      </x:c>
      <x:c r="L95" s="19" t="n">
        <x:f>D95+E95-F95-G95-H95</x:f>
        <x:v>0</x:v>
      </x:c>
      <x:c r="M95" s="17" t="str">
        <x:f>IF(ABS(L95)&lt;=0.01,"通过","复核")</x:f>
        <x:v>通过</x:v>
      </x:c>
    </x:row>
    <x:row r="96">
      <x:c r="A96" s="20" t="n">
        <x:v>46084</x:v>
      </x:c>
      <x:c r="B96" s="17" t="str">
        <x:v>GD-CM-2602-006</x:v>
      </x:c>
      <x:c r="C96" s="17" t="str">
        <x:v>南宁农产品交易中心冷库</x:v>
      </x:c>
      <x:c r="D96" s="22" t="n">
        <x:v>1170.7</x:v>
      </x:c>
      <x:c r="E96" s="22" t="n">
        <x:v>0</x:v>
      </x:c>
      <x:c r="F96" s="22" t="n">
        <x:v>254.1</x:v>
      </x:c>
      <x:c r="G96" s="22" t="n">
        <x:v>41.8</x:v>
      </x:c>
      <x:c r="H96" s="22" t="n">
        <x:v>874.8</x:v>
      </x:c>
      <x:c r="I96" s="17" t="n">
        <x:v>11</x:v>
      </x:c>
      <x:c r="J96" s="17" t="str">
        <x:v>冷藏区</x:v>
      </x:c>
      <x:c r="K96" s="17" t="str">
        <x:v>电商发货</x:v>
      </x:c>
      <x:c r="L96" s="19" t="n">
        <x:f>D96+E96-F96-G96-H96</x:f>
        <x:v>1.1368683772161603e-13</x:v>
      </x:c>
      <x:c r="M96" s="17" t="str">
        <x:f>IF(ABS(L96)&lt;=0.01,"通过","复核")</x:f>
        <x:v>通过</x:v>
      </x:c>
    </x:row>
    <x:row r="97">
      <x:c r="A97" s="20" t="n">
        <x:v>46085</x:v>
      </x:c>
      <x:c r="B97" s="17" t="str">
        <x:v>GD-CM-2602-006</x:v>
      </x:c>
      <x:c r="C97" s="17" t="str">
        <x:v>南宁农产品交易中心冷库</x:v>
      </x:c>
      <x:c r="D97" s="22" t="n">
        <x:v>874.8</x:v>
      </x:c>
      <x:c r="E97" s="22" t="n">
        <x:v>0</x:v>
      </x:c>
      <x:c r="F97" s="22" t="n">
        <x:v>276.3</x:v>
      </x:c>
      <x:c r="G97" s="22" t="n">
        <x:v>34.6</x:v>
      </x:c>
      <x:c r="H97" s="22" t="n">
        <x:v>563.9</x:v>
      </x:c>
      <x:c r="I97" s="17" t="n">
        <x:v>12</x:v>
      </x:c>
      <x:c r="J97" s="17" t="str">
        <x:v>冷藏区</x:v>
      </x:c>
      <x:c r="K97" s="17" t="str">
        <x:v>商超配送</x:v>
      </x:c>
      <x:c r="L97" s="19" t="n">
        <x:f>D97+E97-F97-G97-H97</x:f>
        <x:v>0</x:v>
      </x:c>
      <x:c r="M97" s="17" t="str">
        <x:f>IF(ABS(L97)&lt;=0.01,"通过","复核")</x:f>
        <x:v>通过</x:v>
      </x:c>
    </x:row>
    <x:row r="98">
      <x:c r="A98" s="20" t="n">
        <x:v>46086</x:v>
      </x:c>
      <x:c r="B98" s="17" t="str">
        <x:v>GD-CM-2602-006</x:v>
      </x:c>
      <x:c r="C98" s="17" t="str">
        <x:v>南宁农产品交易中心冷库</x:v>
      </x:c>
      <x:c r="D98" s="22" t="n">
        <x:v>563.9</x:v>
      </x:c>
      <x:c r="E98" s="22" t="n">
        <x:v>0</x:v>
      </x:c>
      <x:c r="F98" s="22" t="n">
        <x:v>245.2</x:v>
      </x:c>
      <x:c r="G98" s="22" t="n">
        <x:v>35.2</x:v>
      </x:c>
      <x:c r="H98" s="22" t="n">
        <x:v>283.5</x:v>
      </x:c>
      <x:c r="I98" s="17" t="n">
        <x:v>13</x:v>
      </x:c>
      <x:c r="J98" s="17" t="str">
        <x:v>冷藏区</x:v>
      </x:c>
      <x:c r="K98" s="17" t="str">
        <x:v>电商发货</x:v>
      </x:c>
      <x:c r="L98" s="19" t="n">
        <x:f>D98+E98-F98-G98-H98</x:f>
        <x:v>0</x:v>
      </x:c>
      <x:c r="M98" s="17" t="str">
        <x:f>IF(ABS(L98)&lt;=0.01,"通过","复核")</x:f>
        <x:v>通过</x:v>
      </x:c>
    </x:row>
    <x:row r="99">
      <x:c r="A99" s="20" t="n">
        <x:v>46087</x:v>
      </x:c>
      <x:c r="B99" s="17" t="str">
        <x:v>GD-CM-2602-006</x:v>
      </x:c>
      <x:c r="C99" s="17" t="str">
        <x:v>南宁农产品交易中心冷库</x:v>
      </x:c>
      <x:c r="D99" s="22" t="n">
        <x:v>283.5</x:v>
      </x:c>
      <x:c r="E99" s="22" t="n">
        <x:v>0</x:v>
      </x:c>
      <x:c r="F99" s="22" t="n">
        <x:v>241.9</x:v>
      </x:c>
      <x:c r="G99" s="22" t="n">
        <x:v>30.9</x:v>
      </x:c>
      <x:c r="H99" s="22" t="n">
        <x:v>10.7</x:v>
      </x:c>
      <x:c r="I99" s="17" t="n">
        <x:v>14</x:v>
      </x:c>
      <x:c r="J99" s="17" t="str">
        <x:v>冷藏区</x:v>
      </x:c>
      <x:c r="K99" s="17" t="str">
        <x:v>商超配送</x:v>
      </x:c>
      <x:c r="L99" s="19" t="n">
        <x:f>D99+E99-F99-G99-H99</x:f>
        <x:v>-3.552713678800501e-15</x:v>
      </x:c>
      <x:c r="M99" s="17" t="str">
        <x:f>IF(ABS(L99)&lt;=0.01,"通过","复核")</x:f>
        <x:v>通过</x:v>
      </x:c>
    </x:row>
    <x:row r="100">
      <x:c r="A100" s="20" t="n">
        <x:v>46088</x:v>
      </x:c>
      <x:c r="B100" s="17" t="str">
        <x:v>GD-CM-2602-006</x:v>
      </x:c>
      <x:c r="C100" s="17" t="str">
        <x:v>南宁农产品交易中心冷库</x:v>
      </x:c>
      <x:c r="D100" s="22" t="n">
        <x:v>10.7</x:v>
      </x:c>
      <x:c r="E100" s="22" t="n">
        <x:v>0</x:v>
      </x:c>
      <x:c r="F100" s="22" t="n">
        <x:v>0</x:v>
      </x:c>
      <x:c r="G100" s="22" t="n">
        <x:v>10.7</x:v>
      </x:c>
      <x:c r="H100" s="22" t="n">
        <x:v>0</x:v>
      </x:c>
      <x:c r="I100" s="17" t="n">
        <x:v>15</x:v>
      </x:c>
      <x:c r="J100" s="17" t="str">
        <x:v>冷藏区</x:v>
      </x:c>
      <x:c r="K100" s="17" t="str">
        <x:v>供港发车</x:v>
      </x:c>
      <x:c r="L100" s="19" t="n">
        <x:f>D100+E100-F100-G100-H100</x:f>
        <x:v>0</x:v>
      </x:c>
      <x:c r="M100" s="17" t="str">
        <x:f>IF(ABS(L100)&lt;=0.01,"通过","复核")</x:f>
        <x:v>通过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6" hidden="0" customWidth="1"/>
    <x:col min="5" max="5" width="12" hidden="0" customWidth="1"/>
    <x:col min="6" max="6" width="14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24" hidden="0" customWidth="1"/>
    <x:col min="12" max="12" width="16" hidden="0" customWidth="1"/>
    <x:col min="13" max="13" width="20" hidden="0" customWidth="1"/>
  </x:cols>
  <x:sheetData>
    <x:row r="1" ht="30" customHeight="1">
      <x:c r="A1" s="3" t="str">
        <x:v>销售流水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销售数量、售价、收入和退货调整按原始业务符号登记。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13" t="str">
        <x:v>销售单号</x:v>
      </x:c>
      <x:c r="B4" s="13" t="str">
        <x:v>销售日期</x:v>
      </x:c>
      <x:c r="C4" s="13" t="str">
        <x:v>批次号</x:v>
      </x:c>
      <x:c r="D4" s="13" t="str">
        <x:v>渠道</x:v>
      </x:c>
      <x:c r="E4" s="13" t="str">
        <x:v>城市</x:v>
      </x:c>
      <x:c r="F4" s="13" t="str">
        <x:v>销售kg</x:v>
      </x:c>
      <x:c r="G4" s="13" t="str">
        <x:v>平均售价元/kg</x:v>
      </x:c>
      <x:c r="H4" s="13" t="str">
        <x:v>销售收入元</x:v>
      </x:c>
      <x:c r="I4" s="13" t="str">
        <x:v>退货kg</x:v>
      </x:c>
      <x:c r="J4" s="13" t="str">
        <x:v>客诉件数</x:v>
      </x:c>
      <x:c r="K4" s="13" t="str">
        <x:v>记录类型</x:v>
      </x:c>
      <x:c r="L4" s="13" t="str">
        <x:v>收入复算差元</x:v>
      </x:c>
      <x:c r="M4" s="13" t="str">
        <x:v>质量标记</x:v>
      </x:c>
    </x:row>
    <x:row r="5">
      <x:c r="A5" s="17" t="str">
        <x:v>XS-01-00001</x:v>
      </x:c>
      <x:c r="B5" s="20" t="n">
        <x:v>46032</x:v>
      </x:c>
      <x:c r="C5" s="17" t="str">
        <x:v>GD-CM-2601-001</x:v>
      </x:c>
      <x:c r="D5" s="17" t="str">
        <x:v>批发客户</x:v>
      </x:c>
      <x:c r="E5" s="17" t="str">
        <x:v>广州</x:v>
      </x:c>
      <x:c r="F5" s="21" t="n">
        <x:v>1604.9</x:v>
      </x:c>
      <x:c r="G5" s="21" t="n">
        <x:v>26.68</x:v>
      </x:c>
      <x:c r="H5" s="21" t="n">
        <x:v>42818.73</x:v>
      </x:c>
      <x:c r="I5" s="21" t="n">
        <x:v>4.5</x:v>
      </x:c>
      <x:c r="J5" s="17" t="n">
        <x:v>0</x:v>
      </x:c>
      <x:c r="K5" s="17" t="str">
        <x:v>正向销售</x:v>
      </x:c>
      <x:c r="L5" s="23" t="n">
        <x:f>F5*G5-H5</x:f>
        <x:v>0.0020000000004074536</x:v>
      </x:c>
      <x:c r="M5" s="17" t="str">
        <x:f>IF(OR(F5&lt;0,H5&lt;0,I5&lt;0),"需确认负向记录",IF(ABS(L5)&lt;=0.01,"通过","复核"))</x:f>
        <x:v>通过</x:v>
      </x:c>
    </x:row>
    <x:row r="6">
      <x:c r="A6" s="17" t="str">
        <x:v>XS-01-00002</x:v>
      </x:c>
      <x:c r="B6" s="20" t="n">
        <x:v>46032</x:v>
      </x:c>
      <x:c r="C6" s="17" t="str">
        <x:v>GD-CM-2601-001</x:v>
      </x:c>
      <x:c r="D6" s="17" t="str">
        <x:v>连锁商超</x:v>
      </x:c>
      <x:c r="E6" s="17" t="str">
        <x:v>柳州</x:v>
      </x:c>
      <x:c r="F6" s="21" t="n">
        <x:v>1754.2</x:v>
      </x:c>
      <x:c r="G6" s="21" t="n">
        <x:v>27.83</x:v>
      </x:c>
      <x:c r="H6" s="21" t="n">
        <x:v>48819.39</x:v>
      </x:c>
      <x:c r="I6" s="21" t="n">
        <x:v>7.6</x:v>
      </x:c>
      <x:c r="J6" s="17" t="n">
        <x:v>0</x:v>
      </x:c>
      <x:c r="K6" s="17" t="str">
        <x:v>正向销售</x:v>
      </x:c>
      <x:c r="L6" s="23" t="n">
        <x:f>F6*G6-H6</x:f>
        <x:v>-0.004000000000814907</x:v>
      </x:c>
      <x:c r="M6" s="17" t="str">
        <x:f>IF(OR(F6&lt;0,H6&lt;0,I6&lt;0),"需确认负向记录",IF(ABS(L6)&lt;=0.01,"通过","复核"))</x:f>
        <x:v>通过</x:v>
      </x:c>
    </x:row>
    <x:row r="7">
      <x:c r="A7" s="17" t="str">
        <x:v>XS-01-00003</x:v>
      </x:c>
      <x:c r="B7" s="20" t="n">
        <x:v>46037</x:v>
      </x:c>
      <x:c r="C7" s="17" t="str">
        <x:v>GD-CM-2601-001</x:v>
      </x:c>
      <x:c r="D7" s="17" t="str">
        <x:v>连锁商超</x:v>
      </x:c>
      <x:c r="E7" s="17" t="str">
        <x:v>深圳</x:v>
      </x:c>
      <x:c r="F7" s="21" t="n">
        <x:v>1032.5</x:v>
      </x:c>
      <x:c r="G7" s="21" t="n">
        <x:v>25.89</x:v>
      </x:c>
      <x:c r="H7" s="21" t="n">
        <x:v>26731.42</x:v>
      </x:c>
      <x:c r="I7" s="21" t="n">
        <x:v>3.8</x:v>
      </x:c>
      <x:c r="J7" s="17" t="n">
        <x:v>0</x:v>
      </x:c>
      <x:c r="K7" s="17" t="str">
        <x:v>正向销售</x:v>
      </x:c>
      <x:c r="L7" s="23" t="n">
        <x:f>F7*G7-H7</x:f>
        <x:v>0.005000000001018634</x:v>
      </x:c>
      <x:c r="M7" s="17" t="str">
        <x:f>IF(OR(F7&lt;0,H7&lt;0,I7&lt;0),"需确认负向记录",IF(ABS(L7)&lt;=0.01,"通过","复核"))</x:f>
        <x:v>通过</x:v>
      </x:c>
    </x:row>
    <x:row r="8">
      <x:c r="A8" s="17" t="str">
        <x:v>XS-01-00004</x:v>
      </x:c>
      <x:c r="B8" s="20" t="n">
        <x:v>46039</x:v>
      </x:c>
      <x:c r="C8" s="17" t="str">
        <x:v>GD-CM-2601-001</x:v>
      </x:c>
      <x:c r="D8" s="17" t="str">
        <x:v>餐饮配送</x:v>
      </x:c>
      <x:c r="E8" s="17" t="str">
        <x:v>湛江</x:v>
      </x:c>
      <x:c r="F8" s="21" t="n">
        <x:v>-316.3</x:v>
      </x:c>
      <x:c r="G8" s="21" t="n">
        <x:v>24</x:v>
      </x:c>
      <x:c r="H8" s="21" t="n">
        <x:v>-7591.2</x:v>
      </x:c>
      <x:c r="I8" s="21" t="n">
        <x:v>-1.6</x:v>
      </x:c>
      <x:c r="J8" s="17" t="n">
        <x:v>1</x:v>
      </x:c>
      <x:c r="K8" s="17" t="str">
        <x:v>负向调整（用途待确认）</x:v>
      </x:c>
      <x:c r="L8" s="23" t="n">
        <x:f>F8*G8-H8</x:f>
        <x:v>-9.094947017729282e-13</x:v>
      </x:c>
      <x:c r="M8" s="17" t="str">
        <x:f>IF(OR(F8&lt;0,H8&lt;0,I8&lt;0),"需确认负向记录",IF(ABS(L8)&lt;=0.01,"通过","复核"))</x:f>
        <x:v>需确认负向记录</x:v>
      </x:c>
    </x:row>
    <x:row r="9">
      <x:c r="A9" s="17" t="str">
        <x:v>XS-01-00005</x:v>
      </x:c>
      <x:c r="B9" s="20" t="n">
        <x:v>46040</x:v>
      </x:c>
      <x:c r="C9" s="17" t="str">
        <x:v>GD-CM-2601-002</x:v>
      </x:c>
      <x:c r="D9" s="17" t="str">
        <x:v>企业团购</x:v>
      </x:c>
      <x:c r="E9" s="17" t="str">
        <x:v>柳州</x:v>
      </x:c>
      <x:c r="F9" s="21" t="n">
        <x:v>1254.1</x:v>
      </x:c>
      <x:c r="G9" s="21" t="n">
        <x:v>26.53</x:v>
      </x:c>
      <x:c r="H9" s="21" t="n">
        <x:v>33271.27</x:v>
      </x:c>
      <x:c r="I9" s="21" t="n">
        <x:v>7.2</x:v>
      </x:c>
      <x:c r="J9" s="17" t="n">
        <x:v>0</x:v>
      </x:c>
      <x:c r="K9" s="17" t="str">
        <x:v>正向销售</x:v>
      </x:c>
      <x:c r="L9" s="23" t="n">
        <x:f>F9*G9-H9</x:f>
        <x:v>0.0030000000042491592</x:v>
      </x:c>
      <x:c r="M9" s="17" t="str">
        <x:f>IF(OR(F9&lt;0,H9&lt;0,I9&lt;0),"需确认负向记录",IF(ABS(L9)&lt;=0.01,"通过","复核"))</x:f>
        <x:v>通过</x:v>
      </x:c>
    </x:row>
    <x:row r="10">
      <x:c r="A10" s="17" t="str">
        <x:v>XS-01-00006</x:v>
      </x:c>
      <x:c r="B10" s="20" t="n">
        <x:v>46043</x:v>
      </x:c>
      <x:c r="C10" s="17" t="str">
        <x:v>GD-CM-2601-002</x:v>
      </x:c>
      <x:c r="D10" s="17" t="str">
        <x:v>供港渠道</x:v>
      </x:c>
      <x:c r="E10" s="17" t="str">
        <x:v>桂林</x:v>
      </x:c>
      <x:c r="F10" s="21" t="n">
        <x:v>1584.6</x:v>
      </x:c>
      <x:c r="G10" s="21" t="n">
        <x:v>25.67</x:v>
      </x:c>
      <x:c r="H10" s="21" t="n">
        <x:v>40676.68</x:v>
      </x:c>
      <x:c r="I10" s="21" t="n">
        <x:v>6</x:v>
      </x:c>
      <x:c r="J10" s="17" t="n">
        <x:v>0</x:v>
      </x:c>
      <x:c r="K10" s="17" t="str">
        <x:v>正向销售</x:v>
      </x:c>
      <x:c r="L10" s="23" t="n">
        <x:f>F10*G10-H10</x:f>
        <x:v>0.0020000000004074536</x:v>
      </x:c>
      <x:c r="M10" s="17" t="str">
        <x:f>IF(OR(F10&lt;0,H10&lt;0,I10&lt;0),"需确认负向记录",IF(ABS(L10)&lt;=0.01,"通过","复核"))</x:f>
        <x:v>通过</x:v>
      </x:c>
    </x:row>
    <x:row r="11">
      <x:c r="A11" s="17" t="str">
        <x:v>XS-01-00007</x:v>
      </x:c>
      <x:c r="B11" s="20" t="n">
        <x:v>46040</x:v>
      </x:c>
      <x:c r="C11" s="17" t="str">
        <x:v>GD-CM-2601-002</x:v>
      </x:c>
      <x:c r="D11" s="17" t="str">
        <x:v>供港渠道</x:v>
      </x:c>
      <x:c r="E11" s="17" t="str">
        <x:v>桂林</x:v>
      </x:c>
      <x:c r="F11" s="21" t="n">
        <x:v>1171.5</x:v>
      </x:c>
      <x:c r="G11" s="21" t="n">
        <x:v>25.51</x:v>
      </x:c>
      <x:c r="H11" s="21" t="n">
        <x:v>29884.97</x:v>
      </x:c>
      <x:c r="I11" s="21" t="n">
        <x:v>5.1</x:v>
      </x:c>
      <x:c r="J11" s="17" t="n">
        <x:v>1</x:v>
      </x:c>
      <x:c r="K11" s="17" t="str">
        <x:v>正向销售</x:v>
      </x:c>
      <x:c r="L11" s="23" t="n">
        <x:f>F11*G11-H11</x:f>
        <x:v>-0.005000000001018634</x:v>
      </x:c>
      <x:c r="M11" s="17" t="str">
        <x:f>IF(OR(F11&lt;0,H11&lt;0,I11&lt;0),"需确认负向记录",IF(ABS(L11)&lt;=0.01,"通过","复核"))</x:f>
        <x:v>通过</x:v>
      </x:c>
    </x:row>
    <x:row r="12">
      <x:c r="A12" s="17" t="str">
        <x:v>XS-01-00008</x:v>
      </x:c>
      <x:c r="B12" s="20" t="n">
        <x:v>46050</x:v>
      </x:c>
      <x:c r="C12" s="17" t="str">
        <x:v>GD-CM-2601-003</x:v>
      </x:c>
      <x:c r="D12" s="17" t="str">
        <x:v>社区电商</x:v>
      </x:c>
      <x:c r="E12" s="17" t="str">
        <x:v>佛山</x:v>
      </x:c>
      <x:c r="F12" s="21" t="n">
        <x:v>1194.8</x:v>
      </x:c>
      <x:c r="G12" s="21" t="n">
        <x:v>26.21</x:v>
      </x:c>
      <x:c r="H12" s="21" t="n">
        <x:v>31315.71</x:v>
      </x:c>
      <x:c r="I12" s="21" t="n">
        <x:v>5.6</x:v>
      </x:c>
      <x:c r="J12" s="17" t="n">
        <x:v>0</x:v>
      </x:c>
      <x:c r="K12" s="17" t="str">
        <x:v>正向销售</x:v>
      </x:c>
      <x:c r="L12" s="23" t="n">
        <x:f>F12*G12-H12</x:f>
        <x:v>-0.0020000000004074536</x:v>
      </x:c>
      <x:c r="M12" s="17" t="str">
        <x:f>IF(OR(F12&lt;0,H12&lt;0,I12&lt;0),"需确认负向记录",IF(ABS(L12)&lt;=0.01,"通过","复核"))</x:f>
        <x:v>通过</x:v>
      </x:c>
    </x:row>
    <x:row r="13">
      <x:c r="A13" s="17" t="str">
        <x:v>XS-01-00009</x:v>
      </x:c>
      <x:c r="B13" s="20" t="n">
        <x:v>46049</x:v>
      </x:c>
      <x:c r="C13" s="17" t="str">
        <x:v>GD-CM-2601-003</x:v>
      </x:c>
      <x:c r="D13" s="17" t="str">
        <x:v>供港渠道</x:v>
      </x:c>
      <x:c r="E13" s="17" t="str">
        <x:v>东莞</x:v>
      </x:c>
      <x:c r="F13" s="21" t="n">
        <x:v>1563.8</x:v>
      </x:c>
      <x:c r="G13" s="21" t="n">
        <x:v>26.12</x:v>
      </x:c>
      <x:c r="H13" s="21" t="n">
        <x:v>40846.46</x:v>
      </x:c>
      <x:c r="I13" s="21" t="n">
        <x:v>0.1</x:v>
      </x:c>
      <x:c r="J13" s="17" t="n">
        <x:v>1</x:v>
      </x:c>
      <x:c r="K13" s="17" t="str">
        <x:v>正向销售</x:v>
      </x:c>
      <x:c r="L13" s="23" t="n">
        <x:f>F13*G13-H13</x:f>
        <x:v>-0.004000000000814907</x:v>
      </x:c>
      <x:c r="M13" s="17" t="str">
        <x:f>IF(OR(F13&lt;0,H13&lt;0,I13&lt;0),"需确认负向记录",IF(ABS(L13)&lt;=0.01,"通过","复核"))</x:f>
        <x:v>通过</x:v>
      </x:c>
    </x:row>
    <x:row r="14">
      <x:c r="A14" s="17" t="str">
        <x:v>XS-01-00010</x:v>
      </x:c>
      <x:c r="B14" s="20" t="n">
        <x:v>46047</x:v>
      </x:c>
      <x:c r="C14" s="17" t="str">
        <x:v>GD-CM-2601-003</x:v>
      </x:c>
      <x:c r="D14" s="17" t="str">
        <x:v>批发客户</x:v>
      </x:c>
      <x:c r="E14" s="17" t="str">
        <x:v>玉林</x:v>
      </x:c>
      <x:c r="F14" s="21" t="n">
        <x:v>1379.6</x:v>
      </x:c>
      <x:c r="G14" s="21" t="n">
        <x:v>27.85</x:v>
      </x:c>
      <x:c r="H14" s="21" t="n">
        <x:v>38421.86</x:v>
      </x:c>
      <x:c r="I14" s="21" t="n">
        <x:v>10</x:v>
      </x:c>
      <x:c r="J14" s="17" t="n">
        <x:v>0</x:v>
      </x:c>
      <x:c r="K14" s="17" t="str">
        <x:v>正向销售</x:v>
      </x:c>
      <x:c r="L14" s="23" t="n">
        <x:f>F14*G14-H14</x:f>
        <x:v>0</x:v>
      </x:c>
      <x:c r="M14" s="17" t="str">
        <x:f>IF(OR(F14&lt;0,H14&lt;0,I14&lt;0),"需确认负向记录",IF(ABS(L14)&lt;=0.01,"通过","复核"))</x:f>
        <x:v>通过</x:v>
      </x:c>
    </x:row>
    <x:row r="15">
      <x:c r="A15" s="17" t="str">
        <x:v>XS-01-00011</x:v>
      </x:c>
      <x:c r="B15" s="20" t="n">
        <x:v>46047</x:v>
      </x:c>
      <x:c r="C15" s="17" t="str">
        <x:v>GD-CM-2601-003</x:v>
      </x:c>
      <x:c r="D15" s="17" t="str">
        <x:v>批发客户</x:v>
      </x:c>
      <x:c r="E15" s="17" t="str">
        <x:v>东莞</x:v>
      </x:c>
      <x:c r="F15" s="21" t="n">
        <x:v>55.9</x:v>
      </x:c>
      <x:c r="G15" s="21" t="n">
        <x:v>24.22</x:v>
      </x:c>
      <x:c r="H15" s="21" t="n">
        <x:v>1353.9</x:v>
      </x:c>
      <x:c r="I15" s="21" t="n">
        <x:v>0.1</x:v>
      </x:c>
      <x:c r="J15" s="17" t="n">
        <x:v>0</x:v>
      </x:c>
      <x:c r="K15" s="17" t="str">
        <x:v>正向销售</x:v>
      </x:c>
      <x:c r="L15" s="23" t="n">
        <x:f>F15*G15-H15</x:f>
        <x:v>-0.00200000000018008</x:v>
      </x:c>
      <x:c r="M15" s="17" t="str">
        <x:f>IF(OR(F15&lt;0,H15&lt;0,I15&lt;0),"需确认负向记录",IF(ABS(L15)&lt;=0.01,"通过","复核"))</x:f>
        <x:v>通过</x:v>
      </x:c>
    </x:row>
    <x:row r="16">
      <x:c r="A16" s="17" t="str">
        <x:v>XS-01-00012</x:v>
      </x:c>
      <x:c r="B16" s="20" t="n">
        <x:v>46059</x:v>
      </x:c>
      <x:c r="C16" s="17" t="str">
        <x:v>GD-CM-2602-004</x:v>
      </x:c>
      <x:c r="D16" s="17" t="str">
        <x:v>连锁商超</x:v>
      </x:c>
      <x:c r="E16" s="17" t="str">
        <x:v>珠海</x:v>
      </x:c>
      <x:c r="F16" s="21" t="n">
        <x:v>1017.3</x:v>
      </x:c>
      <x:c r="G16" s="21" t="n">
        <x:v>27.29</x:v>
      </x:c>
      <x:c r="H16" s="21" t="n">
        <x:v>27762.12</x:v>
      </x:c>
      <x:c r="I16" s="21" t="n">
        <x:v>8</x:v>
      </x:c>
      <x:c r="J16" s="17" t="n">
        <x:v>0</x:v>
      </x:c>
      <x:c r="K16" s="17" t="str">
        <x:v>正向销售</x:v>
      </x:c>
      <x:c r="L16" s="23" t="n">
        <x:f>F16*G16-H16</x:f>
        <x:v>-0.0030000000006111804</x:v>
      </x:c>
      <x:c r="M16" s="17" t="str">
        <x:f>IF(OR(F16&lt;0,H16&lt;0,I16&lt;0),"需确认负向记录",IF(ABS(L16)&lt;=0.01,"通过","复核"))</x:f>
        <x:v>通过</x:v>
      </x:c>
    </x:row>
    <x:row r="17">
      <x:c r="A17" s="17" t="str">
        <x:v>XS-01-00013</x:v>
      </x:c>
      <x:c r="B17" s="20" t="n">
        <x:v>46055</x:v>
      </x:c>
      <x:c r="C17" s="17" t="str">
        <x:v>GD-CM-2602-004</x:v>
      </x:c>
      <x:c r="D17" s="17" t="str">
        <x:v>供港渠道</x:v>
      </x:c>
      <x:c r="E17" s="17" t="str">
        <x:v>东莞</x:v>
      </x:c>
      <x:c r="F17" s="21" t="n">
        <x:v>2623.3</x:v>
      </x:c>
      <x:c r="G17" s="21" t="n">
        <x:v>26.98</x:v>
      </x:c>
      <x:c r="H17" s="21" t="n">
        <x:v>70776.63</x:v>
      </x:c>
      <x:c r="I17" s="21" t="n">
        <x:v>10.5</x:v>
      </x:c>
      <x:c r="J17" s="17" t="n">
        <x:v>1</x:v>
      </x:c>
      <x:c r="K17" s="17" t="str">
        <x:v>正向销售</x:v>
      </x:c>
      <x:c r="L17" s="23" t="n">
        <x:f>F17*G17-H17</x:f>
        <x:v>0.004000000000814907</x:v>
      </x:c>
      <x:c r="M17" s="17" t="str">
        <x:f>IF(OR(F17&lt;0,H17&lt;0,I17&lt;0),"需确认负向记录",IF(ABS(L17)&lt;=0.01,"通过","复核"))</x:f>
        <x:v>通过</x:v>
      </x:c>
    </x:row>
    <x:row r="18">
      <x:c r="A18" s="17" t="str">
        <x:v>XS-01-00014</x:v>
      </x:c>
      <x:c r="B18" s="20" t="n">
        <x:v>46071</x:v>
      </x:c>
      <x:c r="C18" s="17" t="str">
        <x:v>GD-CM-2602-005</x:v>
      </x:c>
      <x:c r="D18" s="17" t="str">
        <x:v>企业团购</x:v>
      </x:c>
      <x:c r="E18" s="17" t="str">
        <x:v>湛江</x:v>
      </x:c>
      <x:c r="F18" s="21" t="n">
        <x:v>1636.8</x:v>
      </x:c>
      <x:c r="G18" s="21" t="n">
        <x:v>24.55</x:v>
      </x:c>
      <x:c r="H18" s="21" t="n">
        <x:v>40183.44</x:v>
      </x:c>
      <x:c r="I18" s="21" t="n">
        <x:v>6</x:v>
      </x:c>
      <x:c r="J18" s="17" t="n">
        <x:v>0</x:v>
      </x:c>
      <x:c r="K18" s="17" t="str">
        <x:v>正向销售</x:v>
      </x:c>
      <x:c r="L18" s="23" t="n">
        <x:f>F18*G18-H18</x:f>
        <x:v>0</x:v>
      </x:c>
      <x:c r="M18" s="17" t="str">
        <x:f>IF(OR(F18&lt;0,H18&lt;0,I18&lt;0),"需确认负向记录",IF(ABS(L18)&lt;=0.01,"通过","复核"))</x:f>
        <x:v>通过</x:v>
      </x:c>
    </x:row>
    <x:row r="19">
      <x:c r="A19" s="17" t="str">
        <x:v>XS-01-00015</x:v>
      </x:c>
      <x:c r="B19" s="20" t="n">
        <x:v>46067</x:v>
      </x:c>
      <x:c r="C19" s="17" t="str">
        <x:v>GD-CM-2602-005</x:v>
      </x:c>
      <x:c r="D19" s="17" t="str">
        <x:v>批发客户</x:v>
      </x:c>
      <x:c r="E19" s="17" t="str">
        <x:v>柳州</x:v>
      </x:c>
      <x:c r="F19" s="21" t="n">
        <x:v>1346.2</x:v>
      </x:c>
      <x:c r="G19" s="21" t="n">
        <x:v>24.41</x:v>
      </x:c>
      <x:c r="H19" s="21" t="n">
        <x:v>32860.74</x:v>
      </x:c>
      <x:c r="I19" s="21" t="n">
        <x:v>2.9</x:v>
      </x:c>
      <x:c r="J19" s="17" t="n">
        <x:v>0</x:v>
      </x:c>
      <x:c r="K19" s="17" t="str">
        <x:v>正向销售</x:v>
      </x:c>
      <x:c r="L19" s="23" t="n">
        <x:f>F19*G19-H19</x:f>
        <x:v>0.0020000000004074536</x:v>
      </x:c>
      <x:c r="M19" s="17" t="str">
        <x:f>IF(OR(F19&lt;0,H19&lt;0,I19&lt;0),"需确认负向记录",IF(ABS(L19)&lt;=0.01,"通过","复核"))</x:f>
        <x:v>通过</x:v>
      </x:c>
    </x:row>
    <x:row r="20">
      <x:c r="A20" s="17" t="str">
        <x:v>XS-01-00016</x:v>
      </x:c>
      <x:c r="B20" s="20" t="n">
        <x:v>46066</x:v>
      </x:c>
      <x:c r="C20" s="17" t="str">
        <x:v>GD-CM-2602-005</x:v>
      </x:c>
      <x:c r="D20" s="17" t="str">
        <x:v>批发客户</x:v>
      </x:c>
      <x:c r="E20" s="17" t="str">
        <x:v>佛山</x:v>
      </x:c>
      <x:c r="F20" s="21" t="n">
        <x:v>909.6</x:v>
      </x:c>
      <x:c r="G20" s="21" t="n">
        <x:v>27.35</x:v>
      </x:c>
      <x:c r="H20" s="21" t="n">
        <x:v>24877.56</x:v>
      </x:c>
      <x:c r="I20" s="21" t="n">
        <x:v>6</x:v>
      </x:c>
      <x:c r="J20" s="17" t="n">
        <x:v>1</x:v>
      </x:c>
      <x:c r="K20" s="17" t="str">
        <x:v>正向销售</x:v>
      </x:c>
      <x:c r="L20" s="23" t="n">
        <x:f>F20*G20-H20</x:f>
        <x:v>0</x:v>
      </x:c>
      <x:c r="M20" s="17" t="str">
        <x:f>IF(OR(F20&lt;0,H20&lt;0,I20&lt;0),"需确认负向记录",IF(ABS(L20)&lt;=0.01,"通过","复核"))</x:f>
        <x:v>通过</x:v>
      </x:c>
    </x:row>
    <x:row r="21">
      <x:c r="A21" s="17" t="str">
        <x:v>XS-01-00017</x:v>
      </x:c>
      <x:c r="B21" s="20" t="n">
        <x:v>46065</x:v>
      </x:c>
      <x:c r="C21" s="17" t="str">
        <x:v>GD-CM-2602-005</x:v>
      </x:c>
      <x:c r="D21" s="17" t="str">
        <x:v>连锁商超</x:v>
      </x:c>
      <x:c r="E21" s="17" t="str">
        <x:v>桂林</x:v>
      </x:c>
      <x:c r="F21" s="21" t="n">
        <x:v>163.3</x:v>
      </x:c>
      <x:c r="G21" s="21" t="n">
        <x:v>26.19</x:v>
      </x:c>
      <x:c r="H21" s="21" t="n">
        <x:v>4276.83</x:v>
      </x:c>
      <x:c r="I21" s="21" t="n">
        <x:v>1</x:v>
      </x:c>
      <x:c r="J21" s="17" t="n">
        <x:v>0</x:v>
      </x:c>
      <x:c r="K21" s="17" t="str">
        <x:v>正向销售</x:v>
      </x:c>
      <x:c r="L21" s="23" t="n">
        <x:f>F21*G21-H21</x:f>
        <x:v>-0.0029999999997016857</x:v>
      </x:c>
      <x:c r="M21" s="17" t="str">
        <x:f>IF(OR(F21&lt;0,H21&lt;0,I21&lt;0),"需确认负向记录",IF(ABS(L21)&lt;=0.01,"通过","复核"))</x:f>
        <x:v>通过</x:v>
      </x:c>
    </x:row>
    <x:row r="22">
      <x:c r="A22" s="17" t="str">
        <x:v>XS-01-00018</x:v>
      </x:c>
      <x:c r="B22" s="20" t="n">
        <x:v>46079</x:v>
      </x:c>
      <x:c r="C22" s="17" t="str">
        <x:v>GD-CM-2602-006</x:v>
      </x:c>
      <x:c r="D22" s="17" t="str">
        <x:v>连锁商超</x:v>
      </x:c>
      <x:c r="E22" s="17" t="str">
        <x:v>湛江</x:v>
      </x:c>
      <x:c r="F22" s="21" t="n">
        <x:v>893.5</x:v>
      </x:c>
      <x:c r="G22" s="21" t="n">
        <x:v>26.82</x:v>
      </x:c>
      <x:c r="H22" s="21" t="n">
        <x:v>23963.67</x:v>
      </x:c>
      <x:c r="I22" s="21" t="n">
        <x:v>4.8</x:v>
      </x:c>
      <x:c r="J22" s="17" t="n">
        <x:v>1</x:v>
      </x:c>
      <x:c r="K22" s="17" t="str">
        <x:v>正向销售</x:v>
      </x:c>
      <x:c r="L22" s="23" t="n">
        <x:f>F22*G22-H22</x:f>
        <x:v>3.637978807091713e-12</x:v>
      </x:c>
      <x:c r="M22" s="17" t="str">
        <x:f>IF(OR(F22&lt;0,H22&lt;0,I22&lt;0),"需确认负向记录",IF(ABS(L22)&lt;=0.01,"通过","复核"))</x:f>
        <x:v>通过</x:v>
      </x:c>
    </x:row>
    <x:row r="23">
      <x:c r="A23" s="17" t="str">
        <x:v>XS-01-00019</x:v>
      </x:c>
      <x:c r="B23" s="20" t="n">
        <x:v>46075</x:v>
      </x:c>
      <x:c r="C23" s="17" t="str">
        <x:v>GD-CM-2602-006</x:v>
      </x:c>
      <x:c r="D23" s="17" t="str">
        <x:v>社区电商</x:v>
      </x:c>
      <x:c r="E23" s="17" t="str">
        <x:v>桂林</x:v>
      </x:c>
      <x:c r="F23" s="21" t="n">
        <x:v>1657.1</x:v>
      </x:c>
      <x:c r="G23" s="21" t="n">
        <x:v>27.4</x:v>
      </x:c>
      <x:c r="H23" s="21" t="n">
        <x:v>45404.54</x:v>
      </x:c>
      <x:c r="I23" s="21" t="n">
        <x:v>0.2</x:v>
      </x:c>
      <x:c r="J23" s="17" t="n">
        <x:v>1</x:v>
      </x:c>
      <x:c r="K23" s="17" t="str">
        <x:v>正向销售</x:v>
      </x:c>
      <x:c r="L23" s="23" t="n">
        <x:f>F23*G23-H23</x:f>
        <x:v>-7.275957614183426e-12</x:v>
      </x:c>
      <x:c r="M23" s="17" t="str">
        <x:f>IF(OR(F23&lt;0,H23&lt;0,I23&lt;0),"需确认负向记录",IF(ABS(L23)&lt;=0.01,"通过","复核"))</x:f>
        <x:v>通过</x:v>
      </x:c>
    </x:row>
    <x:row r="24">
      <x:c r="A24" s="17" t="str">
        <x:v>XS-01-00020</x:v>
      </x:c>
      <x:c r="B24" s="20" t="n">
        <x:v>46081</x:v>
      </x:c>
      <x:c r="C24" s="17" t="str">
        <x:v>GD-CM-2602-006</x:v>
      </x:c>
      <x:c r="D24" s="17" t="str">
        <x:v>企业团购</x:v>
      </x:c>
      <x:c r="E24" s="17" t="str">
        <x:v>深圳</x:v>
      </x:c>
      <x:c r="F24" s="21" t="n">
        <x:v>1423.7</x:v>
      </x:c>
      <x:c r="G24" s="21" t="n">
        <x:v>25.49</x:v>
      </x:c>
      <x:c r="H24" s="21" t="n">
        <x:v>36290.11</x:v>
      </x:c>
      <x:c r="I24" s="21" t="n">
        <x:v>9.5</x:v>
      </x:c>
      <x:c r="J24" s="17" t="n">
        <x:v>0</x:v>
      </x:c>
      <x:c r="K24" s="17" t="str">
        <x:v>正向销售</x:v>
      </x:c>
      <x:c r="L24" s="23" t="n">
        <x:f>F24*G24-H24</x:f>
        <x:v>0.0029999999969732016</x:v>
      </x:c>
      <x:c r="M24" s="17" t="str">
        <x:f>IF(OR(F24&lt;0,H24&lt;0,I24&lt;0),"需确认负向记录",IF(ABS(L24)&lt;=0.01,"通过","复核"))</x:f>
        <x:v>通过</x:v>
      </x:c>
    </x:row>
    <x:row r="25">
      <x:c r="A25" s="17" t="str">
        <x:v>XS-01-00021</x:v>
      </x:c>
      <x:c r="B25" s="20" t="n">
        <x:v>46085</x:v>
      </x:c>
      <x:c r="C25" s="17" t="str">
        <x:v>GD-CM-2602-006</x:v>
      </x:c>
      <x:c r="D25" s="17" t="str">
        <x:v>连锁商超</x:v>
      </x:c>
      <x:c r="E25" s="17" t="str">
        <x:v>深圳</x:v>
      </x:c>
      <x:c r="F25" s="21" t="n">
        <x:v>-33.7</x:v>
      </x:c>
      <x:c r="G25" s="21" t="n">
        <x:v>24.62</x:v>
      </x:c>
      <x:c r="H25" s="21" t="n">
        <x:v>-829.69</x:v>
      </x:c>
      <x:c r="I25" s="21" t="n">
        <x:v>-0.1</x:v>
      </x:c>
      <x:c r="J25" s="17" t="n">
        <x:v>0</x:v>
      </x:c>
      <x:c r="K25" s="17" t="str">
        <x:v>负向调整（用途待确认）</x:v>
      </x:c>
      <x:c r="L25" s="23" t="n">
        <x:f>F25*G25-H25</x:f>
        <x:v>-0.004000000000019099</x:v>
      </x:c>
      <x:c r="M25" s="17" t="str">
        <x:f>IF(OR(F25&lt;0,H25&lt;0,I25&lt;0),"需确认负向记录",IF(ABS(L25)&lt;=0.01,"通过","复核"))</x:f>
        <x:v>需确认负向记录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0" hidden="0" customWidth="1"/>
    <x:col min="4" max="4" width="38" hidden="0" customWidth="1"/>
    <x:col min="5" max="5" width="34" hidden="0" customWidth="1"/>
    <x:col min="6" max="6" width="38" hidden="0" customWidth="1"/>
    <x:col min="7" max="7" width="10" hidden="0" customWidth="1"/>
  </x:cols>
  <x:sheetData>
    <x:row r="1" ht="30" customHeight="1">
      <x:c r="A1" s="3" t="str">
        <x:v>口径冲突与处理规则</x:v>
      </x:c>
      <x:c r="B1" s="3"/>
      <x:c r="C1" s="3"/>
      <x:c r="D1" s="3"/>
      <x:c r="E1" s="3"/>
      <x:c r="F1" s="3"/>
      <x:c r="G1" s="3"/>
    </x:row>
    <x:row r="2" ht="34" customHeight="1">
      <x:c r="A2" s="7" t="str">
        <x:v>同一概念存在不同公式、来源或用途时，先记录冲突，再决定允许用途。</x:v>
      </x:c>
      <x:c r="B2" s="7"/>
      <x:c r="C2" s="7"/>
      <x:c r="D2" s="7"/>
      <x:c r="E2" s="7"/>
      <x:c r="F2" s="7"/>
      <x:c r="G2" s="7"/>
    </x:row>
    <x:row r="4" ht="30" customHeight="1">
      <x:c r="A4" s="13" t="str">
        <x:v>冲突ID</x:v>
      </x:c>
      <x:c r="B4" s="13" t="str">
        <x:v>主题</x:v>
      </x:c>
      <x:c r="C4" s="13" t="str">
        <x:v>现有口径</x:v>
      </x:c>
      <x:c r="D4" s="13" t="str">
        <x:v>复核口径</x:v>
      </x:c>
      <x:c r="E4" s="13" t="str">
        <x:v>冲突原因</x:v>
      </x:c>
      <x:c r="F4" s="13" t="str">
        <x:v>处理规则</x:v>
      </x:c>
      <x:c r="G4" s="13" t="str">
        <x:v>等级</x:v>
      </x:c>
    </x:row>
    <x:row r="5">
      <x:c r="A5" s="17" t="str">
        <x:v>C01</x:v>
      </x:c>
      <x:c r="B5" s="17" t="str">
        <x:v>硬度损失降低</x:v>
      </x:c>
      <x:c r="C5" s="17" t="str">
        <x:v>既有报告写55.76%</x:v>
      </x:c>
      <x:c r="D5" s="17" t="str">
        <x:v>按组均值计算硬度下降幅度减缓16.34%；15 d端点MF比CR高441.11%</x:v>
      </x:c>
      <x:c r="E5" s="17" t="str">
        <x:v>公式分母不同且原表述未给公式</x:v>
      </x:c>
      <x:c r="F5" s="17" t="str">
        <x:v>报告同时呈现端点差和下降幅度减缓，并给公式</x:v>
      </x:c>
      <x:c r="G5" s="17" t="str">
        <x:v>高</x:v>
      </x:c>
    </x:row>
    <x:row r="6">
      <x:c r="A6" s="17" t="str">
        <x:v>C02</x:v>
      </x:c>
      <x:c r="B6" s="17" t="str">
        <x:v>失重率降低</x:v>
      </x:c>
      <x:c r="C6" s="17" t="str">
        <x:v>既有报告57.14%</x:v>
      </x:c>
      <x:c r="D6" s="17" t="str">
        <x:v>按三重复均值计算57.40%</x:v>
      </x:c>
      <x:c r="E6" s="17" t="str">
        <x:v>使用单个四舍五入值与使用组均值不同</x:v>
      </x:c>
      <x:c r="F6" s="17" t="str">
        <x:v>统一使用组均值，保留两位小数</x:v>
      </x:c>
      <x:c r="G6" s="17" t="str">
        <x:v>中</x:v>
      </x:c>
    </x:row>
    <x:row r="7">
      <x:c r="A7" s="17" t="str">
        <x:v>C03</x:v>
      </x:c>
      <x:c r="B7" s="17" t="str">
        <x:v>ΔE降低</x:v>
      </x:c>
      <x:c r="C7" s="17" t="str">
        <x:v>既有报告41.12%</x:v>
      </x:c>
      <x:c r="D7" s="17" t="str">
        <x:v>按三重复均值计算41.25%</x:v>
      </x:c>
      <x:c r="E7" s="17" t="str">
        <x:v>舍入口径不明</x:v>
      </x:c>
      <x:c r="F7" s="17" t="str">
        <x:v>统一使用组均值</x:v>
      </x:c>
      <x:c r="G7" s="17" t="str">
        <x:v>中</x:v>
      </x:c>
    </x:row>
    <x:row r="8">
      <x:c r="A8" s="17" t="str">
        <x:v>C04</x:v>
      </x:c>
      <x:c r="B8" s="17" t="str">
        <x:v>PG降低</x:v>
      </x:c>
      <x:c r="C8" s="17" t="str">
        <x:v>既有报告“降低1.55倍”</x:v>
      </x:c>
      <x:c r="D8" s="17" t="str">
        <x:v>15 d CR/MF=1.55；MF相对CR低35.38%</x:v>
      </x:c>
      <x:c r="E8" s="17" t="str">
        <x:v>倍数降低表述歧义</x:v>
      </x:c>
      <x:c r="F8" s="17" t="str">
        <x:v>改写为比值与相对差</x:v>
      </x:c>
      <x:c r="G8" s="17" t="str">
        <x:v>高</x:v>
      </x:c>
    </x:row>
    <x:row r="9">
      <x:c r="A9" s="17" t="str">
        <x:v>C05</x:v>
      </x:c>
      <x:c r="B9" s="17" t="str">
        <x:v>扩展机制指标</x:v>
      </x:c>
      <x:c r="C9" s="17" t="str">
        <x:v>既有报告含PME、PL、EG、自由水、TEM</x:v>
      </x:c>
      <x:c r="D9" s="17" t="str">
        <x:v>小试源表仅含PG和WSP</x:v>
      </x:c>
      <x:c r="E9" s="17" t="str">
        <x:v>小试数据范围不同</x:v>
      </x:c>
      <x:c r="F9" s="17" t="str">
        <x:v>确证阶段按预注册方法新增PME、PL和水分状态检测</x:v>
      </x:c>
      <x:c r="G9" s="17" t="str">
        <x:v>高</x:v>
      </x:c>
    </x:row>
    <x:row r="10">
      <x:c r="A10" s="17" t="str">
        <x:v>C06</x:v>
      </x:c>
      <x:c r="B10" s="17" t="str">
        <x:v>技术后损耗率</x:v>
      </x:c>
      <x:c r="C10" s="17" t="str">
        <x:v>既有报告称12%来自实验推算</x:v>
      </x:c>
      <x:c r="D10" s="17" t="str">
        <x:v>经营台账汇总为11.94%；实验15 d失重率为7.77%</x:v>
      </x:c>
      <x:c r="E10" s="17" t="str">
        <x:v>报损率与失重率概念不同</x:v>
      </x:c>
      <x:c r="F10" s="17" t="str">
        <x:v>分别按库存和理化口径核算</x:v>
      </x:c>
      <x:c r="G10" s="17" t="str">
        <x:v>高</x:v>
      </x:c>
    </x:row>
    <x:row r="11">
      <x:c r="A11" s="17" t="str">
        <x:v>C07</x:v>
      </x:c>
      <x:c r="B11" s="17" t="str">
        <x:v>基准模式损耗率</x:v>
      </x:c>
      <x:c r="C11" s="17" t="str">
        <x:v>25%</x:v>
      </x:c>
      <x:c r="D11" s="17" t="str">
        <x:v>立项预算参数</x:v>
      </x:c>
      <x:c r="E11" s="17" t="str">
        <x:v>G5需同口径确认</x:v>
      </x:c>
      <x:c r="F11" s="17" t="str">
        <x:v>纳入18%-32%敏感性矩阵</x:v>
      </x:c>
      <x:c r="G11" s="17" t="str">
        <x:v>高</x:v>
      </x:c>
    </x:row>
    <x:row r="12">
      <x:c r="A12" s="17" t="str">
        <x:v>C08</x:v>
      </x:c>
      <x:c r="B12" s="17" t="str">
        <x:v>销售负向记录</x:v>
      </x:c>
      <x:c r="C12" s="17" t="str">
        <x:v>2条记录数量/收入为负</x:v>
      </x:c>
      <x:c r="D12" s="17" t="str">
        <x:v>用途未说明</x:v>
      </x:c>
      <x:c r="E12" s="17" t="str">
        <x:v>可能是冲销、退货或数据问题</x:v>
      </x:c>
      <x:c r="F12" s="17" t="str">
        <x:v>保留并进入风险台账，试点前核实</x:v>
      </x:c>
      <x:c r="G12" s="17" t="str">
        <x:v>高</x:v>
      </x:c>
    </x:row>
    <x:row r="13">
      <x:c r="A13" s="17" t="str">
        <x:v>C09</x:v>
      </x:c>
      <x:c r="B13" s="17" t="str">
        <x:v>库存出库与销售净量</x:v>
      </x:c>
      <x:c r="C13" s="17" t="str">
        <x:v>23931.9 kg vs 23916.7 kg</x:v>
      </x:c>
      <x:c r="D13" s="17" t="str">
        <x:v>差额15.2 kg</x:v>
      </x:c>
      <x:c r="E13" s="17" t="str">
        <x:v>可能为样品、在途、漏单或舍入</x:v>
      </x:c>
      <x:c r="F13" s="17" t="str">
        <x:v>不强行对平；列为G0待确认</x:v>
      </x:c>
      <x:c r="G13" s="17" t="str">
        <x:v>高</x:v>
      </x:c>
    </x:row>
    <x:row r="14">
      <x:c r="A14" s="17" t="str">
        <x:v>C10</x:v>
      </x:c>
      <x:c r="B14" s="17" t="str">
        <x:v>ΔE复算</x:v>
      </x:c>
      <x:c r="C14" s="17" t="str">
        <x:v>仅有L*、a*和已提供ΔE</x:v>
      </x:c>
      <x:c r="D14" s="17" t="str">
        <x:v>缺b*及基准色坐标</x:v>
      </x:c>
      <x:c r="E14" s="17" t="str">
        <x:v>无法按综合色差公式独立复算</x:v>
      </x:c>
      <x:c r="F14" s="17" t="str">
        <x:v>把ΔE作为直接输入指标</x:v>
      </x:c>
      <x:c r="G14" s="17" t="str">
        <x:v>中</x:v>
      </x:c>
    </x:row>
    <x:row r="15">
      <x:c r="A15" s="17" t="str">
        <x:v>C11</x:v>
      </x:c>
      <x:c r="B15" s="17" t="str">
        <x:v>重复独立性</x:v>
      </x:c>
      <x:c r="C15" s="17" t="str">
        <x:v>列名Rep1-Rep3跨时点复用</x:v>
      </x:c>
      <x:c r="D15" s="17" t="str">
        <x:v>未说明同果重复或独立破坏性取样</x:v>
      </x:c>
      <x:c r="E15" s="17" t="str">
        <x:v>统计模型选择受影响</x:v>
      </x:c>
      <x:c r="F15" s="17" t="str">
        <x:v>推断统计仅探索；独立复现补样本ID</x:v>
      </x:c>
      <x:c r="G15" s="17" t="str">
        <x:v>高</x:v>
      </x:c>
    </x:row>
    <x:row r="16">
      <x:c r="A16" s="17" t="str">
        <x:v>C12</x:v>
      </x:c>
      <x:c r="B16" s="17" t="str">
        <x:v>表型图样本数</x:v>
      </x:c>
      <x:c r="C16" s="17" t="str">
        <x:v>每格可见6枚果实</x:v>
      </x:c>
      <x:c r="D16" s="17" t="str">
        <x:v>指标表每组每时点3个数值</x:v>
      </x:c>
      <x:c r="E16" s="17" t="str">
        <x:v>图像用途与统计样本可能不同</x:v>
      </x:c>
      <x:c r="F16" s="17" t="str">
        <x:v>表型仅作代表性证据</x:v>
      </x:c>
      <x:c r="G16" s="17" t="str">
        <x:v>中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48" hidden="0" customWidth="1"/>
    <x:col min="4" max="4" width="28" hidden="0" customWidth="1"/>
    <x:col min="5" max="5" width="32" hidden="0" customWidth="1"/>
    <x:col min="6" max="6" width="28" hidden="0" customWidth="1"/>
  </x:cols>
  <x:sheetData>
    <x:row r="1" ht="30" customHeight="1">
      <x:c r="A1" s="3" t="str">
        <x:v>公式规范</x:v>
      </x:c>
      <x:c r="B1" s="3"/>
      <x:c r="C1" s="3"/>
      <x:c r="D1" s="3"/>
      <x:c r="E1" s="3"/>
      <x:c r="F1" s="3"/>
    </x:row>
    <x:row r="2" ht="34" customHeight="1">
      <x:c r="A2" s="7" t="str">
        <x:v>所有派生指标均给出公式、边界和证据来源，避免在报告中直接写死。</x:v>
      </x:c>
      <x:c r="B2" s="7"/>
      <x:c r="C2" s="7"/>
      <x:c r="D2" s="7"/>
      <x:c r="E2" s="7"/>
      <x:c r="F2" s="7"/>
    </x:row>
    <x:row r="4" ht="30" customHeight="1">
      <x:c r="A4" s="13" t="str">
        <x:v>公式ID</x:v>
      </x:c>
      <x:c r="B4" s="13" t="str">
        <x:v>名称</x:v>
      </x:c>
      <x:c r="C4" s="13" t="str">
        <x:v>公式</x:v>
      </x:c>
      <x:c r="D4" s="13" t="str">
        <x:v>口径</x:v>
      </x:c>
      <x:c r="E4" s="13" t="str">
        <x:v>边界处理</x:v>
      </x:c>
      <x:c r="F4" s="13" t="str">
        <x:v>输入来源</x:v>
      </x:c>
    </x:row>
    <x:row r="5">
      <x:c r="A5" s="17" t="str">
        <x:v>F01</x:v>
      </x:c>
      <x:c r="B5" s="17" t="str">
        <x:v>组均值</x:v>
      </x:c>
      <x:c r="C5" s="17" t="str">
        <x:v>AVERAGE(同指标、同时间、同处理的重复值)</x:v>
      </x:c>
      <x:c r="D5" s="17" t="str">
        <x:v>输出到描述统计</x:v>
      </x:c>
      <x:c r="E5" s="17" t="str">
        <x:v>缺失值不得按0补齐</x:v>
      </x:c>
      <x:c r="F5" s="17" t="str">
        <x:v>原始测量</x:v>
      </x:c>
    </x:row>
    <x:row r="6">
      <x:c r="A6" s="17" t="str">
        <x:v>F02</x:v>
      </x:c>
      <x:c r="B6" s="17" t="str">
        <x:v>样本标准差</x:v>
      </x:c>
      <x:c r="C6" s="17" t="str">
        <x:v>STDEV.S(同组重复值)</x:v>
      </x:c>
      <x:c r="D6" s="17" t="str">
        <x:v>输出到描述统计</x:v>
      </x:c>
      <x:c r="E6" s="17" t="str">
        <x:v>n&lt;2时不计算</x:v>
      </x:c>
      <x:c r="F6" s="17" t="str">
        <x:v>原始测量</x:v>
      </x:c>
    </x:row>
    <x:row r="7">
      <x:c r="A7" s="17" t="str">
        <x:v>F03</x:v>
      </x:c>
      <x:c r="B7" s="17" t="str">
        <x:v>端点相对差</x:v>
      </x:c>
      <x:c r="C7" s="17" t="str">
        <x:v>(MF15-CR15)/CR15</x:v>
      </x:c>
      <x:c r="D7" s="17" t="str">
        <x:v>保留正负方向</x:v>
      </x:c>
      <x:c r="E7" s="17" t="str">
        <x:v>CR15=0时留空</x:v>
      </x:c>
      <x:c r="F7" s="17" t="str">
        <x:v>描述统计</x:v>
      </x:c>
    </x:row>
    <x:row r="8">
      <x:c r="A8" s="17" t="str">
        <x:v>F04</x:v>
      </x:c>
      <x:c r="B8" s="17" t="str">
        <x:v>硬度下降幅度减缓</x:v>
      </x:c>
      <x:c r="C8" s="17" t="str">
        <x:v>[(CR0-CR15)-(MF0-MF15)]/(CR0-CR15)</x:v>
      </x:c>
      <x:c r="D8" s="17" t="str">
        <x:v>仅用于硬度</x:v>
      </x:c>
      <x:c r="E8" s="17" t="str">
        <x:v>CR下降幅度=0时留空</x:v>
      </x:c>
      <x:c r="F8" s="17" t="str">
        <x:v>描述统计</x:v>
      </x:c>
    </x:row>
    <x:row r="9">
      <x:c r="A9" s="17" t="str">
        <x:v>F05</x:v>
      </x:c>
      <x:c r="B9" s="17" t="str">
        <x:v>库存平衡</x:v>
      </x:c>
      <x:c r="C9" s="17" t="str">
        <x:v>期初+入库-出库-报损-期末</x:v>
      </x:c>
      <x:c r="D9" s="17" t="str">
        <x:v>允许绝对差≤0.01 kg</x:v>
      </x:c>
      <x:c r="E9" s="17" t="str">
        <x:v>超限进入风险台账</x:v>
      </x:c>
      <x:c r="F9" s="17" t="str">
        <x:v>库存流水</x:v>
      </x:c>
    </x:row>
    <x:row r="10">
      <x:c r="A10" s="17" t="str">
        <x:v>F06</x:v>
      </x:c>
      <x:c r="B10" s="17" t="str">
        <x:v>库存报损率</x:v>
      </x:c>
      <x:c r="C10" s="17" t="str">
        <x:v>库存报损kg合计/到货kg合计</x:v>
      </x:c>
      <x:c r="D10" s="17" t="str">
        <x:v>经营核算口径</x:v>
      </x:c>
      <x:c r="E10" s="17" t="str">
        <x:v>与实验失重率分别核算</x:v>
      </x:c>
      <x:c r="F10" s="17" t="str">
        <x:v>处理批次+库存流水</x:v>
      </x:c>
    </x:row>
    <x:row r="11">
      <x:c r="A11" s="17" t="str">
        <x:v>F07</x:v>
      </x:c>
      <x:c r="B11" s="17" t="str">
        <x:v>销售收入复核</x:v>
      </x:c>
      <x:c r="C11" s="17" t="str">
        <x:v>销售kg×平均售价-销售收入</x:v>
      </x:c>
      <x:c r="D11" s="17" t="str">
        <x:v>允许绝对差≤0.01元</x:v>
      </x:c>
      <x:c r="E11" s="17" t="str">
        <x:v>负向记录仍按原符号复核</x:v>
      </x:c>
      <x:c r="F11" s="17" t="str">
        <x:v>销售流水</x:v>
      </x:c>
    </x:row>
    <x:row r="12">
      <x:c r="A12" s="17" t="str">
        <x:v>F08</x:v>
      </x:c>
      <x:c r="B12" s="17" t="str">
        <x:v>加权平均售价</x:v>
      </x:c>
      <x:c r="C12" s="17" t="str">
        <x:v>销售收入净额/销售kg净额</x:v>
      </x:c>
      <x:c r="D12" s="17" t="str">
        <x:v>经营核算口径</x:v>
      </x:c>
      <x:c r="E12" s="17" t="str">
        <x:v>销售kg=0时留空</x:v>
      </x:c>
      <x:c r="F12" s="17" t="str">
        <x:v>销售流水</x:v>
      </x:c>
    </x:row>
    <x:row r="13">
      <x:c r="A13" s="17" t="str">
        <x:v>F09</x:v>
      </x:c>
      <x:c r="B13" s="17" t="str">
        <x:v>预计减损量</x:v>
      </x:c>
      <x:c r="C13" s="17" t="str">
        <x:v>处理量×(基准损耗率-技术后损耗率)</x:v>
      </x:c>
      <x:c r="D13" s="17" t="str">
        <x:v>立项预算口径</x:v>
      </x:c>
      <x:c r="E13" s="17" t="str">
        <x:v>负值表示无减损</x:v>
      </x:c>
      <x:c r="F13" s="17" t="str">
        <x:v>经营预算</x:v>
      </x:c>
    </x:row>
    <x:row r="14">
      <x:c r="A14" s="17" t="str">
        <x:v>F10</x:v>
      </x:c>
      <x:c r="B14" s="17" t="str">
        <x:v>净收益</x:v>
      </x:c>
      <x:c r="C14" s="17" t="str">
        <x:v>减损量×加权售价-处理量×单位技术成本</x:v>
      </x:c>
      <x:c r="D14" s="17" t="str">
        <x:v>不计品质溢价</x:v>
      </x:c>
      <x:c r="E14" s="17" t="str">
        <x:v>投资审批采用最新报价和试运行记录</x:v>
      </x:c>
      <x:c r="F14" s="17" t="str">
        <x:v>经营预算</x:v>
      </x:c>
    </x:row>
    <x:row r="15">
      <x:c r="A15" s="17" t="str">
        <x:v>F11</x:v>
      </x:c>
      <x:c r="B15" s="17" t="str">
        <x:v>收益成本比</x:v>
      </x:c>
      <x:c r="C15" s="17" t="str">
        <x:v>减损挽回收益/技术应用成本</x:v>
      </x:c>
      <x:c r="D15" s="17" t="str">
        <x:v>分母为增量技术成本</x:v>
      </x:c>
      <x:c r="E15" s="17" t="str">
        <x:v>成本=0时留空</x:v>
      </x:c>
      <x:c r="F15" s="17" t="str">
        <x:v>经营预算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6" hidden="0" customWidth="1"/>
    <x:col min="4" max="4" width="14" hidden="0" customWidth="1"/>
    <x:col min="5" max="5" width="40" hidden="0" customWidth="1"/>
    <x:col min="6" max="6" width="18" hidden="0" customWidth="1"/>
    <x:col min="7" max="7" width="28" hidden="0" customWidth="1"/>
  </x:cols>
  <x:sheetData>
    <x:row r="1" ht="30" customHeight="1">
      <x:c r="A1" s="3" t="str">
        <x:v>经营基线与预算参数</x:v>
      </x:c>
      <x:c r="B1" s="3"/>
      <x:c r="C1" s="3"/>
      <x:c r="D1" s="3"/>
      <x:c r="E1" s="3"/>
      <x:c r="F1" s="3"/>
      <x:c r="G1" s="3"/>
    </x:row>
    <x:row r="2" ht="34" customHeight="1">
      <x:c r="A2" s="7" t="str">
        <x:v>业务台账、预算参数和投资门槛按来源分别登记。</x:v>
      </x:c>
      <x:c r="B2" s="7"/>
      <x:c r="C2" s="7"/>
      <x:c r="D2" s="7"/>
      <x:c r="E2" s="7"/>
      <x:c r="F2" s="7"/>
      <x:c r="G2" s="7"/>
    </x:row>
    <x:row r="4" ht="30" customHeight="1">
      <x:c r="A4" s="13" t="str">
        <x:v>假设ID</x:v>
      </x:c>
      <x:c r="B4" s="13" t="str">
        <x:v>参数</x:v>
      </x:c>
      <x:c r="C4" s="13" t="str">
        <x:v>数值</x:v>
      </x:c>
      <x:c r="D4" s="13" t="str">
        <x:v>单位</x:v>
      </x:c>
      <x:c r="E4" s="13" t="str">
        <x:v>来源/计算</x:v>
      </x:c>
      <x:c r="F4" s="13" t="str">
        <x:v>状态</x:v>
      </x:c>
      <x:c r="G4" s="13" t="str">
        <x:v>允许用途</x:v>
      </x:c>
    </x:row>
    <x:row r="5">
      <x:c r="A5" s="17" t="str">
        <x:v>A01</x:v>
      </x:c>
      <x:c r="B5" s="17" t="str">
        <x:v>评估期处理量</x:v>
      </x:c>
      <x:c r="C5" s="24" t="n">
        <x:v>27178</x:v>
      </x:c>
      <x:c r="D5" s="17" t="str">
        <x:v>kg</x:v>
      </x:c>
      <x:c r="E5" s="17" t="str">
        <x:v>处理批次到货量合计</x:v>
      </x:c>
      <x:c r="F5" s="17" t="str">
        <x:v>已核对</x:v>
      </x:c>
      <x:c r="G5" s="17" t="str">
        <x:v>经营基线</x:v>
      </x:c>
    </x:row>
    <x:row r="6">
      <x:c r="A6" s="17" t="str">
        <x:v>A02</x:v>
      </x:c>
      <x:c r="B6" s="17" t="str">
        <x:v>技术后库存报损率</x:v>
      </x:c>
      <x:c r="C6" s="24" t="n">
        <x:v>0.11943851644712634</x:v>
      </x:c>
      <x:c r="D6" s="17" t="str">
        <x:v>%</x:v>
      </x:c>
      <x:c r="E6" s="17" t="str">
        <x:v>库存报损kg/到货kg</x:v>
      </x:c>
      <x:c r="F6" s="17" t="str">
        <x:v>已核对</x:v>
      </x:c>
      <x:c r="G6" s="17" t="str">
        <x:v>经营基线</x:v>
      </x:c>
    </x:row>
    <x:row r="7">
      <x:c r="A7" s="17" t="str">
        <x:v>A03</x:v>
      </x:c>
      <x:c r="B7" s="17" t="str">
        <x:v>基准模式损耗率</x:v>
      </x:c>
      <x:c r="C7" s="24" t="n">
        <x:v>0.25</x:v>
      </x:c>
      <x:c r="D7" s="17" t="str">
        <x:v>%</x:v>
      </x:c>
      <x:c r="E7" s="17" t="str">
        <x:v>立项预算参数</x:v>
      </x:c>
      <x:c r="F7" s="17" t="str">
        <x:v>待G5确认</x:v>
      </x:c>
      <x:c r="G7" s="17" t="str">
        <x:v>敏感性分析</x:v>
      </x:c>
    </x:row>
    <x:row r="8">
      <x:c r="A8" s="17" t="str">
        <x:v>A04</x:v>
      </x:c>
      <x:c r="B8" s="17" t="str">
        <x:v>单位技术成本</x:v>
      </x:c>
      <x:c r="C8" s="24" t="n">
        <x:v>0.35</x:v>
      </x:c>
      <x:c r="D8" s="17" t="str">
        <x:v>元/kg</x:v>
      </x:c>
      <x:c r="E8" s="17" t="str">
        <x:v>处理批次成本口径</x:v>
      </x:c>
      <x:c r="F8" s="17" t="str">
        <x:v>待供应商报价</x:v>
      </x:c>
      <x:c r="G8" s="17" t="str">
        <x:v>敏感性分析</x:v>
      </x:c>
    </x:row>
    <x:row r="9">
      <x:c r="A9" s="17" t="str">
        <x:v>A05</x:v>
      </x:c>
      <x:c r="B9" s="17" t="str">
        <x:v>投资决策门槛</x:v>
      </x:c>
      <x:c r="C9" s="24" t="n">
        <x:v>1.5</x:v>
      </x:c>
      <x:c r="D9" s="17" t="str">
        <x:v>收益成本比</x:v>
      </x:c>
      <x:c r="E9" s="17" t="str">
        <x:v>项目投资门槛</x:v>
      </x:c>
      <x:c r="F9" s="17" t="str">
        <x:v>待立项会确认</x:v>
      </x:c>
      <x:c r="G9" s="17" t="str">
        <x:v>阶段门</x:v>
      </x:c>
    </x:row>
    <x:row r="10">
      <x:c r="A10" s="17" t="str">
        <x:v>A06</x:v>
      </x:c>
      <x:c r="B10" s="17" t="str">
        <x:v>库存出库-销售净量差</x:v>
      </x:c>
      <x:c r="C10" s="24" t="n">
        <x:v>15.200000000000728</x:v>
      </x:c>
      <x:c r="D10" s="17" t="str">
        <x:v>kg</x:v>
      </x:c>
      <x:c r="E10" s="17" t="str">
        <x:v>库存出库合计-销售净量合计</x:v>
      </x:c>
      <x:c r="F10" s="17" t="str">
        <x:v>待查明</x:v>
      </x:c>
      <x:c r="G10" s="17" t="str">
        <x:v>不得隐藏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40" hidden="0" customWidth="1"/>
    <x:col min="4" max="4" width="28" hidden="0" customWidth="1"/>
    <x:col min="5" max="5" width="32" hidden="0" customWidth="1"/>
    <x:col min="6" max="6" width="12" hidden="0" customWidth="1"/>
    <x:col min="7" max="7" width="12" hidden="0" customWidth="1"/>
    <x:col min="8" max="8" width="18" hidden="0" customWidth="1"/>
    <x:col min="9" max="9" width="46" hidden="0" customWidth="1"/>
    <x:col min="10" max="10" width="14" hidden="0" customWidth="1"/>
    <x:col min="11" max="11" width="12" hidden="0" customWidth="1"/>
  </x:cols>
  <x:sheetData>
    <x:row r="1" ht="30" customHeight="1">
      <x:c r="A1" s="3" t="str">
        <x:v>风险台账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风险与证据、责任接口、缓解动作和触发门槛逐项对应。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3" t="str">
        <x:v>风险ID</x:v>
      </x:c>
      <x:c r="B4" s="13" t="str">
        <x:v>类别</x:v>
      </x:c>
      <x:c r="C4" s="13" t="str">
        <x:v>风险</x:v>
      </x:c>
      <x:c r="D4" s="13" t="str">
        <x:v>证据位置</x:v>
      </x:c>
      <x:c r="E4" s="13" t="str">
        <x:v>影响</x:v>
      </x:c>
      <x:c r="F4" s="13" t="str">
        <x:v>影响度</x:v>
      </x:c>
      <x:c r="G4" s="13" t="str">
        <x:v>可能性</x:v>
      </x:c>
      <x:c r="H4" s="13" t="str">
        <x:v>责任接口</x:v>
      </x:c>
      <x:c r="I4" s="13" t="str">
        <x:v>缓解措施</x:v>
      </x:c>
      <x:c r="J4" s="13" t="str">
        <x:v>触发时点</x:v>
      </x:c>
      <x:c r="K4" s="13" t="str">
        <x:v>状态</x:v>
      </x:c>
    </x:row>
    <x:row r="5">
      <x:c r="A5" s="17" t="str">
        <x:v>R01</x:v>
      </x:c>
      <x:c r="B5" s="17" t="str">
        <x:v>设计</x:v>
      </x:c>
      <x:c r="C5" s="17" t="str">
        <x:v>小试未形成批次级随机化和盲法记录</x:v>
      </x:c>
      <x:c r="D5" s="17" t="str">
        <x:v>项目与设计D05-D07</x:v>
      </x:c>
      <x:c r="E5" s="17" t="str">
        <x:v>小试效应需独立确证</x:v>
      </x:c>
      <x:c r="F5" s="17" t="str">
        <x:v>高</x:v>
      </x:c>
      <x:c r="G5" s="17" t="str">
        <x:v>高</x:v>
      </x:c>
      <x:c r="H5" s="17" t="str">
        <x:v>研发/统计</x:v>
      </x:c>
      <x:c r="I5" s="17" t="str">
        <x:v>确证阶段执行分层区组随机、三级盲码和唯一样本ID</x:v>
      </x:c>
      <x:c r="J5" s="17" t="str">
        <x:v>G1前</x:v>
      </x:c>
      <x:c r="K5" s="17" t="str">
        <x:v>计划中</x:v>
      </x:c>
    </x:row>
    <x:row r="6">
      <x:c r="A6" s="17" t="str">
        <x:v>R02</x:v>
      </x:c>
      <x:c r="B6" s="17" t="str">
        <x:v>测量</x:v>
      </x:c>
      <x:c r="C6" s="17" t="str">
        <x:v>小试缺少温度与磁场均匀性日志</x:v>
      </x:c>
      <x:c r="D6" s="17" t="str">
        <x:v>项目与设计D02-D03</x:v>
      </x:c>
      <x:c r="E6" s="17" t="str">
        <x:v>环境偏差无法量化</x:v>
      </x:c>
      <x:c r="F6" s="17" t="str">
        <x:v>高</x:v>
      </x:c>
      <x:c r="G6" s="17" t="str">
        <x:v>中</x:v>
      </x:c>
      <x:c r="H6" s="17" t="str">
        <x:v>研发/设备</x:v>
      </x:c>
      <x:c r="I6" s="17" t="str">
        <x:v>完成108点测场并连续记录温湿度、开关机和故障</x:v>
      </x:c>
      <x:c r="J6" s="17" t="str">
        <x:v>G2前</x:v>
      </x:c>
      <x:c r="K6" s="17" t="str">
        <x:v>计划中</x:v>
      </x:c>
    </x:row>
    <x:row r="7">
      <x:c r="A7" s="17" t="str">
        <x:v>R03</x:v>
      </x:c>
      <x:c r="B7" s="17" t="str">
        <x:v>颜色</x:v>
      </x:c>
      <x:c r="C7" s="17" t="str">
        <x:v>小试缺b*与参考色坐标</x:v>
      </x:c>
      <x:c r="D7" s="17" t="str">
        <x:v>口径冲突C10</x:v>
      </x:c>
      <x:c r="E7" s="17" t="str">
        <x:v>ΔE无法按完整色坐标复核</x:v>
      </x:c>
      <x:c r="F7" s="17" t="str">
        <x:v>中</x:v>
      </x:c>
      <x:c r="G7" s="17" t="str">
        <x:v>高</x:v>
      </x:c>
      <x:c r="H7" s="17" t="str">
        <x:v>质量/统计</x:v>
      </x:c>
      <x:c r="I7" s="17" t="str">
        <x:v>确证阶段保存原始L*a*b*和基准色</x:v>
      </x:c>
      <x:c r="J7" s="17" t="str">
        <x:v>G2前</x:v>
      </x:c>
      <x:c r="K7" s="17" t="str">
        <x:v>计划中</x:v>
      </x:c>
    </x:row>
    <x:row r="8">
      <x:c r="A8" s="17" t="str">
        <x:v>R04</x:v>
      </x:c>
      <x:c r="B8" s="17" t="str">
        <x:v>机制</x:v>
      </x:c>
      <x:c r="C8" s="17" t="str">
        <x:v>确证阶段新增机制端点尚待方法确认</x:v>
      </x:c>
      <x:c r="D8" s="17" t="str">
        <x:v>端点与时点EP07-EP10</x:v>
      </x:c>
      <x:c r="E8" s="17" t="str">
        <x:v>方法差异可能增加异质性</x:v>
      </x:c>
      <x:c r="F8" s="17" t="str">
        <x:v>中</x:v>
      </x:c>
      <x:c r="G8" s="17" t="str">
        <x:v>中</x:v>
      </x:c>
      <x:c r="H8" s="17" t="str">
        <x:v>研发</x:v>
      </x:c>
      <x:c r="I8" s="17" t="str">
        <x:v>统一试剂批次、方法版本和跨实验室质控</x:v>
      </x:c>
      <x:c r="J8" s="17" t="str">
        <x:v>G2前</x:v>
      </x:c>
      <x:c r="K8" s="17" t="str">
        <x:v>计划中</x:v>
      </x:c>
    </x:row>
    <x:row r="9">
      <x:c r="A9" s="17" t="str">
        <x:v>R05</x:v>
      </x:c>
      <x:c r="B9" s="17" t="str">
        <x:v>经营</x:v>
      </x:c>
      <x:c r="C9" s="17" t="str">
        <x:v>基准模式损耗率待同口径确认</x:v>
      </x:c>
      <x:c r="D9" s="17" t="str">
        <x:v>经营预算A03</x:v>
      </x:c>
      <x:c r="E9" s="17" t="str">
        <x:v>收益测算对基线敏感</x:v>
      </x:c>
      <x:c r="F9" s="17" t="str">
        <x:v>高</x:v>
      </x:c>
      <x:c r="G9" s="17" t="str">
        <x:v>高</x:v>
      </x:c>
      <x:c r="H9" s="17" t="str">
        <x:v>财务/运营</x:v>
      </x:c>
      <x:c r="I9" s="17" t="str">
        <x:v>用同批次对照或历史台账建立基线</x:v>
      </x:c>
      <x:c r="J9" s="17" t="str">
        <x:v>G5前</x:v>
      </x:c>
      <x:c r="K9" s="17" t="str">
        <x:v>计划中</x:v>
      </x:c>
    </x:row>
    <x:row r="10">
      <x:c r="A10" s="17" t="str">
        <x:v>R06</x:v>
      </x:c>
      <x:c r="B10" s="17" t="str">
        <x:v>经营</x:v>
      </x:c>
      <x:c r="C10" s="17" t="str">
        <x:v>2条销售负向记录用途待核</x:v>
      </x:c>
      <x:c r="D10" s="17" t="str">
        <x:v>销售流水质量标记</x:v>
      </x:c>
      <x:c r="E10" s="17" t="str">
        <x:v>收入与销量口径可能偏差</x:v>
      </x:c>
      <x:c r="F10" s="17" t="str">
        <x:v>中</x:v>
      </x:c>
      <x:c r="G10" s="17" t="str">
        <x:v>高</x:v>
      </x:c>
      <x:c r="H10" s="17" t="str">
        <x:v>财务</x:v>
      </x:c>
      <x:c r="I10" s="17" t="str">
        <x:v>补充单据类型与原始凭证编号</x:v>
      </x:c>
      <x:c r="J10" s="17" t="str">
        <x:v>G0前</x:v>
      </x:c>
      <x:c r="K10" s="17" t="str">
        <x:v>开放</x:v>
      </x:c>
    </x:row>
    <x:row r="11">
      <x:c r="A11" s="17" t="str">
        <x:v>R07</x:v>
      </x:c>
      <x:c r="B11" s="17" t="str">
        <x:v>对账</x:v>
      </x:c>
      <x:c r="C11" s="17" t="str">
        <x:v>库存出库与销售净量相差15.2 kg</x:v>
      </x:c>
      <x:c r="D11" s="17" t="str">
        <x:v>经营预算A06</x:v>
      </x:c>
      <x:c r="E11" s="17" t="str">
        <x:v>经营闭环不完整</x:v>
      </x:c>
      <x:c r="F11" s="17" t="str">
        <x:v>中</x:v>
      </x:c>
      <x:c r="G11" s="17" t="str">
        <x:v>高</x:v>
      </x:c>
      <x:c r="H11" s="17" t="str">
        <x:v>仓储/财务</x:v>
      </x:c>
      <x:c r="I11" s="17" t="str">
        <x:v>查明样品、在途、漏单或舍入来源</x:v>
      </x:c>
      <x:c r="J11" s="17" t="str">
        <x:v>G0前</x:v>
      </x:c>
      <x:c r="K11" s="17" t="str">
        <x:v>开放</x:v>
      </x:c>
    </x:row>
    <x:row r="12">
      <x:c r="A12" s="17" t="str">
        <x:v>R08</x:v>
      </x:c>
      <x:c r="B12" s="17" t="str">
        <x:v>外推</x:v>
      </x:c>
      <x:c r="C12" s="17" t="str">
        <x:v>小试来自单一品种和单一冷藏条件</x:v>
      </x:c>
      <x:c r="D12" s="17" t="str">
        <x:v>小试基线</x:v>
      </x:c>
      <x:c r="E12" s="17" t="str">
        <x:v>跨基地效应可能衰减</x:v>
      </x:c>
      <x:c r="F12" s="17" t="str">
        <x:v>高</x:v>
      </x:c>
      <x:c r="G12" s="17" t="str">
        <x:v>高</x:v>
      </x:c>
      <x:c r="H12" s="17" t="str">
        <x:v>研发/运营</x:v>
      </x:c>
      <x:c r="I12" s="17" t="str">
        <x:v>执行4基地×2品种×2产季×2批次确证</x:v>
      </x:c>
      <x:c r="J12" s="17" t="str">
        <x:v>G3前</x:v>
      </x:c>
      <x:c r="K12" s="17" t="str">
        <x:v>计划中</x:v>
      </x:c>
    </x:row>
    <x:row r="13">
      <x:c r="A13" s="17" t="str">
        <x:v>R09</x:v>
      </x:c>
      <x:c r="B13" s="17" t="str">
        <x:v>设备</x:v>
      </x:c>
      <x:c r="C13" s="17" t="str">
        <x:v>四基地设备需完成同版锁定和合规确认</x:v>
      </x:c>
      <x:c r="D13" s="17" t="str">
        <x:v>设备主数据</x:v>
      </x:c>
      <x:c r="E13" s="17" t="str">
        <x:v>运行差异可能影响效应</x:v>
      </x:c>
      <x:c r="F13" s="17" t="str">
        <x:v>高</x:v>
      </x:c>
      <x:c r="G13" s="17" t="str">
        <x:v>中</x:v>
      </x:c>
      <x:c r="H13" s="17" t="str">
        <x:v>质量/设备</x:v>
      </x:c>
      <x:c r="I13" s="17" t="str">
        <x:v>完成测场、温升、EMC、能耗和校准放行</x:v>
      </x:c>
      <x:c r="J13" s="17" t="str">
        <x:v>G2前</x:v>
      </x:c>
      <x:c r="K13" s="17" t="str">
        <x:v>计划中</x:v>
      </x:c>
    </x:row>
    <x:row r="14">
      <x:c r="A14" s="17" t="str">
        <x:v>R10</x:v>
      </x:c>
      <x:c r="B14" s="17" t="str">
        <x:v>运输</x:v>
      </x:c>
      <x:c r="C14" s="17" t="str">
        <x:v>不同路线振动和温度负荷差异</x:v>
      </x:c>
      <x:c r="D14" s="17" t="str">
        <x:v>环境采集规范ENV03-ENV07</x:v>
      </x:c>
      <x:c r="E14" s="17" t="str">
        <x:v>运输压力可能改变腐烂和硬度</x:v>
      </x:c>
      <x:c r="F14" s="17" t="str">
        <x:v>高</x:v>
      </x:c>
      <x:c r="G14" s="17" t="str">
        <x:v>中</x:v>
      </x:c>
      <x:c r="H14" s="17" t="str">
        <x:v>运营/物流</x:v>
      </x:c>
      <x:c r="I14" s="17" t="str">
        <x:v>连续记录温度与振动并纳入协变量和压力分析</x:v>
      </x:c>
      <x:c r="J14" s="17" t="str">
        <x:v>G3前</x:v>
      </x:c>
      <x:c r="K14" s="17" t="str">
        <x:v>计划中</x:v>
      </x:c>
    </x:row>
    <x:row r="15">
      <x:c r="A15" s="17" t="str">
        <x:v>R11</x:v>
      </x:c>
      <x:c r="B15" s="17" t="str">
        <x:v>样本</x:v>
      </x:c>
      <x:c r="C15" s="17" t="str">
        <x:v>批次损耗或主要终点有效率不足</x:v>
      </x:c>
      <x:c r="D15" s="17" t="str">
        <x:v>样本量规划SS08；PR05</x:v>
      </x:c>
      <x:c r="E15" s="17" t="str">
        <x:v>检验效能下降</x:v>
      </x:c>
      <x:c r="F15" s="17" t="str">
        <x:v>高</x:v>
      </x:c>
      <x:c r="G15" s="17" t="str">
        <x:v>中</x:v>
      </x:c>
      <x:c r="H15" s="17" t="str">
        <x:v>质量/统计</x:v>
      </x:c>
      <x:c r="I15" s="17" t="str">
        <x:v>预留15%批次损耗和每单元2枚样品，低于85%触发RCA</x:v>
      </x:c>
      <x:c r="J15" s="17" t="str">
        <x:v>执行期</x:v>
      </x:c>
      <x:c r="K15" s="17" t="str">
        <x:v>计划中</x:v>
      </x:c>
    </x:row>
    <x:row r="16">
      <x:c r="A16" s="17" t="str">
        <x:v>R12</x:v>
      </x:c>
      <x:c r="B16" s="17" t="str">
        <x:v>统计</x:v>
      </x:c>
      <x:c r="C16" s="17" t="str">
        <x:v>多终点、多时点增加假阳性风险</x:v>
      </x:c>
      <x:c r="D16" s="17" t="str">
        <x:v>统计分析计划</x:v>
      </x:c>
      <x:c r="E16" s="17" t="str">
        <x:v>支持性结论偏高</x:v>
      </x:c>
      <x:c r="F16" s="17" t="str">
        <x:v>中</x:v>
      </x:c>
      <x:c r="G16" s="17" t="str">
        <x:v>高</x:v>
      </x:c>
      <x:c r="H16" s="17" t="str">
        <x:v>统计</x:v>
      </x:c>
      <x:c r="I16" s="17" t="str">
        <x:v>主要终点优先，次要终点采用Holm校正并报告95%CI</x:v>
      </x:c>
      <x:c r="J16" s="17" t="str">
        <x:v>G3前</x:v>
      </x:c>
      <x:c r="K16" s="17" t="str">
        <x:v>计划中</x:v>
      </x:c>
    </x:row>
    <x:row r="17">
      <x:c r="A17" s="17" t="str">
        <x:v>R13</x:v>
      </x:c>
      <x:c r="B17" s="17" t="str">
        <x:v>第三方</x:v>
      </x:c>
      <x:c r="C17" s="17" t="str">
        <x:v>独立复核方法与项目实验室可能不一致</x:v>
      </x:c>
      <x:c r="D17" s="17" t="str">
        <x:v>阶段评审R19</x:v>
      </x:c>
      <x:c r="E17" s="17" t="str">
        <x:v>复核结果可比性下降</x:v>
      </x:c>
      <x:c r="F17" s="17" t="str">
        <x:v>中</x:v>
      </x:c>
      <x:c r="G17" s="17" t="str">
        <x:v>中</x:v>
      </x:c>
      <x:c r="H17" s="17" t="str">
        <x:v>质量</x:v>
      </x:c>
      <x:c r="I17" s="17" t="str">
        <x:v>首批前完成方法比对和样品分装规则</x:v>
      </x:c>
      <x:c r="J17" s="17" t="str">
        <x:v>G2前</x:v>
      </x:c>
      <x:c r="K17" s="17" t="str">
        <x:v>计划中</x:v>
      </x:c>
    </x:row>
    <x:row r="18">
      <x:c r="A18" s="17" t="str">
        <x:v>R14</x:v>
      </x:c>
      <x:c r="B18" s="17" t="str">
        <x:v>经营</x:v>
      </x:c>
      <x:c r="C18" s="17" t="str">
        <x:v>能耗、维修和折旧对BCR影响较大</x:v>
      </x:c>
      <x:c r="D18" s="17" t="str">
        <x:v>经营门槛BM05-BM09</x:v>
      </x:c>
      <x:c r="E18" s="17" t="str">
        <x:v>投资回收期波动</x:v>
      </x:c>
      <x:c r="F18" s="17" t="str">
        <x:v>高</x:v>
      </x:c>
      <x:c r="G18" s="17" t="str">
        <x:v>中</x:v>
      </x:c>
      <x:c r="H18" s="17" t="str">
        <x:v>财务/设备</x:v>
      </x:c>
      <x:c r="I18" s="17" t="str">
        <x:v>按批记录能耗并用报价、维修工时和折旧政策复核</x:v>
      </x:c>
      <x:c r="J18" s="17" t="str">
        <x:v>G5前</x:v>
      </x:c>
      <x:c r="K18" s="17" t="str">
        <x:v>计划中</x:v>
      </x:c>
    </x:row>
    <x:row r="19">
      <x:c r="A19" s="17" t="str">
        <x:v>R15</x:v>
      </x:c>
      <x:c r="B19" s="17" t="str">
        <x:v>治理</x:v>
      </x:c>
      <x:c r="C19" s="17" t="str">
        <x:v>关键批次失败未及时闭环</x:v>
      </x:c>
      <x:c r="D19" s="17" t="str">
        <x:v>RCA台账</x:v>
      </x:c>
      <x:c r="E19" s="17" t="str">
        <x:v>问题在后续批次重复</x:v>
      </x:c>
      <x:c r="F19" s="17" t="str">
        <x:v>高</x:v>
      </x:c>
      <x:c r="G19" s="17" t="str">
        <x:v>中</x:v>
      </x:c>
      <x:c r="H19" s="17" t="str">
        <x:v>项目办公室</x:v>
      </x:c>
      <x:c r="I19" s="17" t="str">
        <x:v>按时限调查，关闭证据通过后恢复</x:v>
      </x:c>
      <x:c r="J19" s="17" t="str">
        <x:v>执行期</x:v>
      </x:c>
      <x:c r="K19" s="17" t="str">
        <x:v>计划中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46" hidden="0" customWidth="1"/>
    <x:col min="4" max="4" width="40" hidden="0" customWidth="1"/>
    <x:col min="5" max="5" width="40" hidden="0" customWidth="1"/>
    <x:col min="6" max="6" width="24" hidden="0" customWidth="1"/>
    <x:col min="7" max="7" width="18" hidden="0" customWidth="1"/>
  </x:cols>
  <x:sheetData>
    <x:row r="1" ht="30" customHeight="1">
      <x:c r="A1" s="3" t="str">
        <x:v>分阶段验证门槛</x:v>
      </x:c>
      <x:c r="B1" s="3"/>
      <x:c r="C1" s="3"/>
      <x:c r="D1" s="3"/>
      <x:c r="E1" s="3"/>
      <x:c r="F1" s="3"/>
      <x:c r="G1" s="3"/>
    </x:row>
    <x:row r="2" ht="34" customHeight="1">
      <x:c r="A2" s="7" t="str">
        <x:v>每一阶段明确必要证据、继续条件、停止条件和未达标动作。</x:v>
      </x:c>
      <x:c r="B2" s="7"/>
      <x:c r="C2" s="7"/>
      <x:c r="D2" s="7"/>
      <x:c r="E2" s="7"/>
      <x:c r="F2" s="7"/>
      <x:c r="G2" s="7"/>
    </x:row>
    <x:row r="4" ht="30" customHeight="1">
      <x:c r="A4" s="13" t="str">
        <x:v>阶段门</x:v>
      </x:c>
      <x:c r="B4" s="13" t="str">
        <x:v>目标</x:v>
      </x:c>
      <x:c r="C4" s="13" t="str">
        <x:v>必要证据</x:v>
      </x:c>
      <x:c r="D4" s="13" t="str">
        <x:v>继续条件</x:v>
      </x:c>
      <x:c r="E4" s="13" t="str">
        <x:v>停止条件</x:v>
      </x:c>
      <x:c r="F4" s="13" t="str">
        <x:v>未达标动作</x:v>
      </x:c>
      <x:c r="G4" s="13" t="str">
        <x:v>责任接口</x:v>
      </x:c>
    </x:row>
    <x:row r="5">
      <x:c r="A5" s="17" t="str">
        <x:v>G0</x:v>
      </x:c>
      <x:c r="B5" s="17" t="str">
        <x:v>立项与数据核对</x:v>
      </x:c>
      <x:c r="C5" s="17" t="str">
        <x:v>项目章程、组织职责、小试证据、经营台账和口径清单</x:v>
      </x:c>
      <x:c r="D5" s="17" t="str">
        <x:v>责任签署；核心数据可定位；差额事项有责任人与时限</x:v>
      </x:c>
      <x:c r="E5" s="17" t="str">
        <x:v>核心证据缺失或经营对账无法关闭</x:v>
      </x:c>
      <x:c r="F5" s="17" t="str">
        <x:v>退回立项准备</x:v>
      </x:c>
      <x:c r="G5" s="17" t="str">
        <x:v>项目办公室/财务</x:v>
      </x:c>
    </x:row>
    <x:row r="6">
      <x:c r="A6" s="17" t="str">
        <x:v>G1</x:v>
      </x:c>
      <x:c r="B6" s="17" t="str">
        <x:v>设计冻结</x:v>
      </x:c>
      <x:c r="C6" s="17" t="str">
        <x:v>预注册、样本量、基地覆盖、随机化盲法、端点与SAP</x:v>
      </x:c>
      <x:c r="D6" s="17" t="str">
        <x:v>32批次覆盖完整；主要终点和排除规则冻结</x:v>
      </x:c>
      <x:c r="E6" s="17" t="str">
        <x:v>主要终点、批次独立性或随机化不可执行</x:v>
      </x:c>
      <x:c r="F6" s="17" t="str">
        <x:v>修订设计后复审</x:v>
      </x:c>
      <x:c r="G6" s="17" t="str">
        <x:v>研发/统计/质量</x:v>
      </x:c>
    </x:row>
    <x:row r="7">
      <x:c r="A7" s="17" t="str">
        <x:v>G2</x:v>
      </x:c>
      <x:c r="B7" s="17" t="str">
        <x:v>设备与方法放行</x:v>
      </x:c>
      <x:c r="C7" s="17" t="str">
        <x:v>设备版本、108点测场、温升、EMC、环境采集、检测QC</x:v>
      </x:c>
      <x:c r="D7" s="17" t="str">
        <x:v>四基地设备与方法全部放行；人员培训完成</x:v>
      </x:c>
      <x:c r="E7" s="17" t="str">
        <x:v>任一关键设备或方法未放行</x:v>
      </x:c>
      <x:c r="F7" s="17" t="str">
        <x:v>延期首批执行</x:v>
      </x:c>
      <x:c r="G7" s="17" t="str">
        <x:v>设备/研发/质量</x:v>
      </x:c>
    </x:row>
    <x:row r="8">
      <x:c r="A8" s="17" t="str">
        <x:v>G3</x:v>
      </x:c>
      <x:c r="B8" s="17" t="str">
        <x:v>确证与独立复核</x:v>
      </x:c>
      <x:c r="C8" s="17" t="str">
        <x:v>跨基地、品种、产季批次结果；混合模型；第三方复核；RCA</x:v>
      </x:c>
      <x:c r="D8" s="17" t="str">
        <x:v>主要终点达到预设门槛，异质性可解释，第三方结果一致</x:v>
      </x:c>
      <x:c r="E8" s="17" t="str">
        <x:v>主要终点反转、关键批次连续失败或异质性不可解释</x:v>
      </x:c>
      <x:c r="F8" s="17" t="str">
        <x:v>补批、限定范围或停止</x:v>
      </x:c>
      <x:c r="G8" s="17" t="str">
        <x:v>统计/质量/第三方</x:v>
      </x:c>
    </x:row>
    <x:row r="9">
      <x:c r="A9" s="17" t="str">
        <x:v>G4</x:v>
      </x:c>
      <x:c r="B9" s="17" t="str">
        <x:v>商业冷库转化</x:v>
      </x:c>
      <x:c r="C9" s="17" t="str">
        <x:v>处理均匀性、环境控制、运输压力、放行合格率和部署SOP</x:v>
      </x:c>
      <x:c r="D9" s="17" t="str">
        <x:v>货架期延长≥2 d；放行合格率≥90%；关键运行参数受控</x:v>
      </x:c>
      <x:c r="E9" s="17" t="str">
        <x:v>运输或冷库条件下效应明显衰减</x:v>
      </x:c>
      <x:c r="F9" s="17" t="str">
        <x:v>优化工艺或限定场景</x:v>
      </x:c>
      <x:c r="G9" s="17" t="str">
        <x:v>运营/质量</x:v>
      </x:c>
    </x:row>
    <x:row r="10">
      <x:c r="A10" s="17" t="str">
        <x:v>G5</x:v>
      </x:c>
      <x:c r="B10" s="17" t="str">
        <x:v>经营与投资决策</x:v>
      </x:c>
      <x:c r="C10" s="17" t="str">
        <x:v>同口径报损、售价、能耗、维修、折旧和客诉</x:v>
      </x:c>
      <x:c r="D10" s="17" t="str">
        <x:v>报损改善≥5个百分点；BCR≥1.50；回收期≤24月</x:v>
      </x:c>
      <x:c r="E10" s="17" t="str">
        <x:v>完整成本口径持续未达门槛</x:v>
      </x:c>
      <x:c r="F10" s="17" t="str">
        <x:v>限定部署范围或停止投资</x:v>
      </x:c>
      <x:c r="G10" s="17" t="str">
        <x:v>经营/财务/委员会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42" hidden="0" customWidth="1"/>
    <x:col min="5" max="5" width="20" hidden="0" customWidth="1"/>
    <x:col min="6" max="6" width="12" hidden="0" customWidth="1"/>
    <x:col min="7" max="7" width="32" hidden="0" customWidth="1"/>
    <x:col min="8" max="8" width="34" hidden="0" customWidth="1"/>
  </x:cols>
  <x:sheetData>
    <x:row r="1" ht="30" customHeight="1">
      <x:c r="A1" s="3" t="str">
        <x:v>证据索引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每项可报告事实绑定到最小充分证据位置。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3" t="str">
        <x:v>证据ID</x:v>
      </x:c>
      <x:c r="B4" s="13" t="str">
        <x:v>主题</x:v>
      </x:c>
      <x:c r="C4" s="13" t="str">
        <x:v>源文件</x:v>
      </x:c>
      <x:c r="D4" s="13" t="str">
        <x:v>最小位置</x:v>
      </x:c>
      <x:c r="E4" s="13" t="str">
        <x:v>类型</x:v>
      </x:c>
      <x:c r="F4" s="13" t="str">
        <x:v>可靠度</x:v>
      </x:c>
      <x:c r="G4" s="13" t="str">
        <x:v>允许用途</x:v>
      </x:c>
      <x:c r="H4" s="13" t="str">
        <x:v>限制</x:v>
      </x:c>
    </x:row>
    <x:row r="5">
      <x:c r="A5" s="17" t="str">
        <x:v>E01</x:v>
      </x:c>
      <x:c r="B5" s="17" t="str">
        <x:v>硬度原始值</x:v>
      </x:c>
      <x:c r="C5" s="17" t="str">
        <x:v>硬度 (Hardness, N).xlsx</x:v>
      </x:c>
      <x:c r="D5" s="17" t="str">
        <x:v>硬度 (Hardness, N)!A1:G8</x:v>
      </x:c>
      <x:c r="E5" s="17" t="str">
        <x:v>原始测量</x:v>
      </x:c>
      <x:c r="F5" s="17" t="str">
        <x:v>高</x:v>
      </x:c>
      <x:c r="G5" s="17" t="str">
        <x:v>组均值、SD、端点差</x:v>
      </x:c>
      <x:c r="H5" s="17" t="str">
        <x:v>样本独立性待确认</x:v>
      </x:c>
    </x:row>
    <x:row r="6">
      <x:c r="A6" s="17" t="str">
        <x:v>E02</x:v>
      </x:c>
      <x:c r="B6" s="17" t="str">
        <x:v>失重率原始值</x:v>
      </x:c>
      <x:c r="C6" s="17" t="str">
        <x:v>失重率 (Weight loss, %).xlsx</x:v>
      </x:c>
      <x:c r="D6" s="17" t="str">
        <x:v>失重率 (Weight loss, %)!A1:G8</x:v>
      </x:c>
      <x:c r="E6" s="17" t="str">
        <x:v>原始测量</x:v>
      </x:c>
      <x:c r="F6" s="17" t="str">
        <x:v>高</x:v>
      </x:c>
      <x:c r="G6" s="17" t="str">
        <x:v>组均值、SD、端点差</x:v>
      </x:c>
      <x:c r="H6" s="17" t="str">
        <x:v>不等同库存报损率</x:v>
      </x:c>
    </x:row>
    <x:row r="7">
      <x:c r="A7" s="17" t="str">
        <x:v>E03</x:v>
      </x:c>
      <x:c r="B7" s="17" t="str">
        <x:v>WSP原始值</x:v>
      </x:c>
      <x:c r="C7" s="17" t="str">
        <x:v>水溶性果胶 (WSP, mg-g).xlsx</x:v>
      </x:c>
      <x:c r="D7" s="17" t="str">
        <x:v>水溶性果胶 (WSP, mg-g)!A1:G8</x:v>
      </x:c>
      <x:c r="E7" s="17" t="str">
        <x:v>原始测量</x:v>
      </x:c>
      <x:c r="F7" s="17" t="str">
        <x:v>高</x:v>
      </x:c>
      <x:c r="G7" s="17" t="str">
        <x:v>组均值、SD、端点差</x:v>
      </x:c>
      <x:c r="H7" s="17" t="str">
        <x:v>机制仅支持性</x:v>
      </x:c>
    </x:row>
    <x:row r="8">
      <x:c r="A8" s="17" t="str">
        <x:v>E04</x:v>
      </x:c>
      <x:c r="B8" s="17" t="str">
        <x:v>PG原始值</x:v>
      </x:c>
      <x:c r="C8" s="17" t="str">
        <x:v>多聚半乳糖醛酸酶活性 (PG activity, U-kg).xlsx</x:v>
      </x:c>
      <x:c r="D8" s="17" t="str">
        <x:v>多聚半乳糖醛酸酶活性 (PG activity, U-kg)!A1:G8</x:v>
      </x:c>
      <x:c r="E8" s="17" t="str">
        <x:v>原始测量</x:v>
      </x:c>
      <x:c r="F8" s="17" t="str">
        <x:v>高</x:v>
      </x:c>
      <x:c r="G8" s="17" t="str">
        <x:v>组均值、SD、端点差</x:v>
      </x:c>
      <x:c r="H8" s="17" t="str">
        <x:v>不外推其他酶</x:v>
      </x:c>
    </x:row>
    <x:row r="9">
      <x:c r="A9" s="17" t="str">
        <x:v>E05</x:v>
      </x:c>
      <x:c r="B9" s="17" t="str">
        <x:v>颜色L*</x:v>
      </x:c>
      <x:c r="C9" s="17" t="str">
        <x:v>颜色 L★ (亮度).xlsx</x:v>
      </x:c>
      <x:c r="D9" s="17" t="str">
        <x:v>颜色 L★ (亮度)!A1:G8</x:v>
      </x:c>
      <x:c r="E9" s="17" t="str">
        <x:v>原始测量</x:v>
      </x:c>
      <x:c r="F9" s="17" t="str">
        <x:v>高</x:v>
      </x:c>
      <x:c r="G9" s="17" t="str">
        <x:v>组均值、SD、端点差</x:v>
      </x:c>
      <x:c r="H9" s="17" t="str">
        <x:v>-</x:v>
      </x:c>
    </x:row>
    <x:row r="10">
      <x:c r="A10" s="17" t="str">
        <x:v>E06</x:v>
      </x:c>
      <x:c r="B10" s="17" t="str">
        <x:v>颜色a*</x:v>
      </x:c>
      <x:c r="C10" s="17" t="str">
        <x:v>颜色 a★ (红绿度).xlsx</x:v>
      </x:c>
      <x:c r="D10" s="17" t="str">
        <x:v>颜色 a★ (红绿度)!A1:G8</x:v>
      </x:c>
      <x:c r="E10" s="17" t="str">
        <x:v>原始测量</x:v>
      </x:c>
      <x:c r="F10" s="17" t="str">
        <x:v>高</x:v>
      </x:c>
      <x:c r="G10" s="17" t="str">
        <x:v>组均值、SD、端点差</x:v>
      </x:c>
      <x:c r="H10" s="17" t="str">
        <x:v>结合成熟变化</x:v>
      </x:c>
    </x:row>
    <x:row r="11">
      <x:c r="A11" s="17" t="str">
        <x:v>E07</x:v>
      </x:c>
      <x:c r="B11" s="17" t="str">
        <x:v>ΔE</x:v>
      </x:c>
      <x:c r="C11" s="17" t="str">
        <x:v>总色差 ΔE.xlsx</x:v>
      </x:c>
      <x:c r="D11" s="17" t="str">
        <x:v>总色差 ΔE!A1:G8</x:v>
      </x:c>
      <x:c r="E11" s="17" t="str">
        <x:v>派生值的直接输入</x:v>
      </x:c>
      <x:c r="F11" s="17" t="str">
        <x:v>中</x:v>
      </x:c>
      <x:c r="G11" s="17" t="str">
        <x:v>组均值、SD、端点差</x:v>
      </x:c>
      <x:c r="H11" s="17" t="str">
        <x:v>缺b*不可独立复算</x:v>
      </x:c>
    </x:row>
    <x:row r="12">
      <x:c r="A12" s="17" t="str">
        <x:v>E08</x:v>
      </x:c>
      <x:c r="B12" s="17" t="str">
        <x:v>外观表型</x:v>
      </x:c>
      <x:c r="C12" s="17" t="str">
        <x:v>文献一表型图.png</x:v>
      </x:c>
      <x:c r="D12" s="17" t="str">
        <x:v>图A：CR/MF×0-15 d</x:v>
      </x:c>
      <x:c r="E12" s="17" t="str">
        <x:v>代表性图像</x:v>
      </x:c>
      <x:c r="F12" s="17" t="str">
        <x:v>中</x:v>
      </x:c>
      <x:c r="G12" s="17" t="str">
        <x:v>定性一致性</x:v>
      </x:c>
      <x:c r="H12" s="17" t="str">
        <x:v>不作为统计样本数</x:v>
      </x:c>
    </x:row>
    <x:row r="13">
      <x:c r="A13" s="17" t="str">
        <x:v>E09</x:v>
      </x:c>
      <x:c r="B13" s="17" t="str">
        <x:v>经营批次</x:v>
      </x:c>
      <x:c r="C13" s="17" t="str">
        <x:v>草莓静磁场多基地验证项目输入.xlsx</x:v>
      </x:c>
      <x:c r="D13" s="17" t="str">
        <x:v>处理批次!A4:N10</x:v>
      </x:c>
      <x:c r="E13" s="17" t="str">
        <x:v>业务台账</x:v>
      </x:c>
      <x:c r="F13" s="17" t="str">
        <x:v>中</x:v>
      </x:c>
      <x:c r="G13" s="17" t="str">
        <x:v>数量、单价、处理成本</x:v>
      </x:c>
      <x:c r="H13" s="17" t="str">
        <x:v>G0核对</x:v>
      </x:c>
    </x:row>
    <x:row r="14">
      <x:c r="A14" s="17" t="str">
        <x:v>E10</x:v>
      </x:c>
      <x:c r="B14" s="17" t="str">
        <x:v>库存流水</x:v>
      </x:c>
      <x:c r="C14" s="17" t="str">
        <x:v>草莓静磁场多基地验证项目输入.xlsx</x:v>
      </x:c>
      <x:c r="D14" s="17" t="str">
        <x:v>库存流水!A4:M100</x:v>
      </x:c>
      <x:c r="E14" s="17" t="str">
        <x:v>业务台账</x:v>
      </x:c>
      <x:c r="F14" s="17" t="str">
        <x:v>中</x:v>
      </x:c>
      <x:c r="G14" s="17" t="str">
        <x:v>报损率与平衡复核</x:v>
      </x:c>
      <x:c r="H14" s="17" t="str">
        <x:v>G0核对</x:v>
      </x:c>
    </x:row>
    <x:row r="15">
      <x:c r="A15" s="17" t="str">
        <x:v>E11</x:v>
      </x:c>
      <x:c r="B15" s="17" t="str">
        <x:v>销售流水</x:v>
      </x:c>
      <x:c r="C15" s="17" t="str">
        <x:v>草莓静磁场多基地验证项目输入.xlsx</x:v>
      </x:c>
      <x:c r="D15" s="17" t="str">
        <x:v>销售流水!A4:M25</x:v>
      </x:c>
      <x:c r="E15" s="17" t="str">
        <x:v>业务台账</x:v>
      </x:c>
      <x:c r="F15" s="17" t="str">
        <x:v>中</x:v>
      </x:c>
      <x:c r="G15" s="17" t="str">
        <x:v>净销量、净收入、加权售价</x:v>
      </x:c>
      <x:c r="H15" s="17" t="str">
        <x:v>负向记录凭证待核</x:v>
      </x:c>
    </x:row>
    <x:row r="16">
      <x:c r="A16" s="17" t="str">
        <x:v>E12</x:v>
      </x:c>
      <x:c r="B16" s="17" t="str">
        <x:v>多基地覆盖</x:v>
      </x:c>
      <x:c r="C16" s="17" t="str">
        <x:v>草莓静磁场多基地验证项目输入.xlsx</x:v>
      </x:c>
      <x:c r="D16" s="17" t="str">
        <x:v>基地品种产季!A4:N36</x:v>
      </x:c>
      <x:c r="E16" s="17" t="str">
        <x:v>项目主数据</x:v>
      </x:c>
      <x:c r="F16" s="17" t="str">
        <x:v>高</x:v>
      </x:c>
      <x:c r="G16" s="17" t="str">
        <x:v>基地、品种、产季和批次覆盖</x:v>
      </x:c>
      <x:c r="H16" s="17" t="str">
        <x:v>G1冻结</x:v>
      </x:c>
    </x:row>
    <x:row r="17">
      <x:c r="A17" s="17" t="str">
        <x:v>E13</x:v>
      </x:c>
      <x:c r="B17" s="17" t="str">
        <x:v>样本量</x:v>
      </x:c>
      <x:c r="C17" s="17" t="str">
        <x:v>草莓静磁场多基地验证项目输入.xlsx</x:v>
      </x:c>
      <x:c r="D17" s="17" t="str">
        <x:v>样本量规划!A4:G18</x:v>
      </x:c>
      <x:c r="E17" s="17" t="str">
        <x:v>设计参数</x:v>
      </x:c>
      <x:c r="F17" s="17" t="str">
        <x:v>高</x:v>
      </x:c>
      <x:c r="G17" s="17" t="str">
        <x:v>最低批次和样品配置</x:v>
      </x:c>
      <x:c r="H17" s="17" t="str">
        <x:v>G1冻结</x:v>
      </x:c>
    </x:row>
    <x:row r="18">
      <x:c r="A18" s="17" t="str">
        <x:v>E14</x:v>
      </x:c>
      <x:c r="B18" s="17" t="str">
        <x:v>确证采样</x:v>
      </x:c>
      <x:c r="C18" s="17" t="str">
        <x:v>草莓静磁场多基地验证项目输入.xlsx</x:v>
      </x:c>
      <x:c r="D18" s="17" t="str">
        <x:v>确证批次计划!A4:N388</x:v>
      </x:c>
      <x:c r="E18" s="17" t="str">
        <x:v>执行计划</x:v>
      </x:c>
      <x:c r="F18" s="17" t="str">
        <x:v>高</x:v>
      </x:c>
      <x:c r="G18" s="17" t="str">
        <x:v>批次×处理×时间点采样</x:v>
      </x:c>
      <x:c r="H18" s="17" t="str">
        <x:v>G1冻结</x:v>
      </x:c>
    </x:row>
    <x:row r="19">
      <x:c r="A19" s="17" t="str">
        <x:v>E15</x:v>
      </x:c>
      <x:c r="B19" s="17" t="str">
        <x:v>设备确认</x:v>
      </x:c>
      <x:c r="C19" s="17" t="str">
        <x:v>草莓静磁场多基地验证项目输入.xlsx</x:v>
      </x:c>
      <x:c r="D19" s="17" t="str">
        <x:v>设备主数据、三维测场计划</x:v>
      </x:c>
      <x:c r="E19" s="17" t="str">
        <x:v>设备计划</x:v>
      </x:c>
      <x:c r="F19" s="17" t="str">
        <x:v>高</x:v>
      </x:c>
      <x:c r="G19" s="17" t="str">
        <x:v>版本、均匀性、温升、EMC和校准</x:v>
      </x:c>
      <x:c r="H19" s="17" t="str">
        <x:v>G2放行</x:v>
      </x:c>
    </x:row>
    <x:row r="20">
      <x:c r="A20" s="17" t="str">
        <x:v>E16</x:v>
      </x:c>
      <x:c r="B20" s="17" t="str">
        <x:v>环境协变量</x:v>
      </x:c>
      <x:c r="C20" s="17" t="str">
        <x:v>草莓静磁场多基地验证项目输入.xlsx</x:v>
      </x:c>
      <x:c r="D20" s="17" t="str">
        <x:v>环境采集规范!A4:J14</x:v>
      </x:c>
      <x:c r="E20" s="17" t="str">
        <x:v>采集规范</x:v>
      </x:c>
      <x:c r="F20" s="17" t="str">
        <x:v>高</x:v>
      </x:c>
      <x:c r="G20" s="17" t="str">
        <x:v>温湿度、门开启、装载、振动和故障</x:v>
      </x:c>
      <x:c r="H20" s="17" t="str">
        <x:v>G2放行</x:v>
      </x:c>
    </x:row>
    <x:row r="21">
      <x:c r="A21" s="17" t="str">
        <x:v>E17</x:v>
      </x:c>
      <x:c r="B21" s="17" t="str">
        <x:v>统计模型</x:v>
      </x:c>
      <x:c r="C21" s="17" t="str">
        <x:v>草莓静磁场多基地验证项目输入.xlsx</x:v>
      </x:c>
      <x:c r="D21" s="17" t="str">
        <x:v>统计分析计划!A4:K11</x:v>
      </x:c>
      <x:c r="E21" s="17" t="str">
        <x:v>分析计划</x:v>
      </x:c>
      <x:c r="F21" s="17" t="str">
        <x:v>高</x:v>
      </x:c>
      <x:c r="G21" s="17" t="str">
        <x:v>混合模型、生存、多重性和敏感性</x:v>
      </x:c>
      <x:c r="H21" s="17" t="str">
        <x:v>G1冻结</x:v>
      </x:c>
    </x:row>
    <x:row r="22">
      <x:c r="A22" s="17" t="str">
        <x:v>E18</x:v>
      </x:c>
      <x:c r="B22" s="17" t="str">
        <x:v>阶段评审</x:v>
      </x:c>
      <x:c r="C22" s="17" t="str">
        <x:v>草莓静磁场多基地验证项目输入.xlsx</x:v>
      </x:c>
      <x:c r="D22" s="17" t="str">
        <x:v>阶段评审!A4:H28</x:v>
      </x:c>
      <x:c r="E22" s="17" t="str">
        <x:v>治理计划</x:v>
      </x:c>
      <x:c r="F22" s="17" t="str">
        <x:v>高</x:v>
      </x:c>
      <x:c r="G22" s="17" t="str">
        <x:v>24轮评审和决策</x:v>
      </x:c>
      <x:c r="H22" s="17" t="str">
        <x:v>全周期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2" hidden="0" customWidth="1"/>
    <x:col min="4" max="4" width="44" hidden="0" customWidth="1"/>
    <x:col min="5" max="5" width="30" hidden="0" customWidth="1"/>
  </x:cols>
  <x:sheetData>
    <x:row r="1" ht="30" customHeight="1">
      <x:c r="A1" s="3" t="str">
        <x:v>知识图谱节点</x:v>
      </x:c>
      <x:c r="B1" s="3"/>
      <x:c r="C1" s="3"/>
      <x:c r="D1" s="3"/>
      <x:c r="E1" s="3"/>
    </x:row>
    <x:row r="2" ht="34" customHeight="1">
      <x:c r="A2" s="7" t="str">
        <x:v>节点定义研究对象、处理、指标、证据和决策实体。</x:v>
      </x:c>
      <x:c r="B2" s="7"/>
      <x:c r="C2" s="7"/>
      <x:c r="D2" s="7"/>
      <x:c r="E2" s="7"/>
    </x:row>
    <x:row r="4" ht="30" customHeight="1">
      <x:c r="A4" s="13" t="str">
        <x:v>节点ID</x:v>
      </x:c>
      <x:c r="B4" s="13" t="str">
        <x:v>类型</x:v>
      </x:c>
      <x:c r="C4" s="13" t="str">
        <x:v>名称</x:v>
      </x:c>
      <x:c r="D4" s="13" t="str">
        <x:v>定义</x:v>
      </x:c>
      <x:c r="E4" s="13" t="str">
        <x:v>来源</x:v>
      </x:c>
    </x:row>
    <x:row r="5">
      <x:c r="A5" s="17" t="str">
        <x:v>N01</x:v>
      </x:c>
      <x:c r="B5" s="17" t="str">
        <x:v>处理</x:v>
      </x:c>
      <x:c r="C5" s="17" t="str">
        <x:v>CR</x:v>
      </x:c>
      <x:c r="D5" s="17" t="str">
        <x:v>0 mT对照</x:v>
      </x:c>
      <x:c r="E5" s="17" t="str">
        <x:v>项目与设计D02</x:v>
      </x:c>
    </x:row>
    <x:row r="6">
      <x:c r="A6" s="17" t="str">
        <x:v>N02</x:v>
      </x:c>
      <x:c r="B6" s="17" t="str">
        <x:v>处理</x:v>
      </x:c>
      <x:c r="C6" s="17" t="str">
        <x:v>MF</x:v>
      </x:c>
      <x:c r="D6" s="17" t="str">
        <x:v>5 mT静磁场</x:v>
      </x:c>
      <x:c r="E6" s="17" t="str">
        <x:v>项目与设计D02</x:v>
      </x:c>
    </x:row>
    <x:row r="7">
      <x:c r="A7" s="17" t="str">
        <x:v>N03</x:v>
      </x:c>
      <x:c r="B7" s="17" t="str">
        <x:v>环境</x:v>
      </x:c>
      <x:c r="C7" s="17" t="str">
        <x:v>冷藏</x:v>
      </x:c>
      <x:c r="D7" s="17" t="str">
        <x:v>4±0.5℃、0-15 d（温度日志待补）</x:v>
      </x:c>
      <x:c r="E7" s="17" t="str">
        <x:v>项目与设计D03-D04</x:v>
      </x:c>
    </x:row>
    <x:row r="8">
      <x:c r="A8" s="17" t="str">
        <x:v>N04</x:v>
      </x:c>
      <x:c r="B8" s="17" t="str">
        <x:v>性状</x:v>
      </x:c>
      <x:c r="C8" s="17" t="str">
        <x:v>硬度</x:v>
      </x:c>
      <x:c r="D8" s="17" t="str">
        <x:v>软化的直接物性终点</x:v>
      </x:c>
      <x:c r="E8" s="17" t="str">
        <x:v>指标字典M01</x:v>
      </x:c>
    </x:row>
    <x:row r="9">
      <x:c r="A9" s="17" t="str">
        <x:v>N05</x:v>
      </x:c>
      <x:c r="B9" s="17" t="str">
        <x:v>水分</x:v>
      </x:c>
      <x:c r="C9" s="17" t="str">
        <x:v>失重率</x:v>
      </x:c>
      <x:c r="D9" s="17" t="str">
        <x:v>冷藏期间质量损失指标</x:v>
      </x:c>
      <x:c r="E9" s="17" t="str">
        <x:v>指标字典M02</x:v>
      </x:c>
    </x:row>
    <x:row r="10">
      <x:c r="A10" s="17" t="str">
        <x:v>N06</x:v>
      </x:c>
      <x:c r="B10" s="17" t="str">
        <x:v>细胞壁</x:v>
      </x:c>
      <x:c r="C10" s="17" t="str">
        <x:v>WSP</x:v>
      </x:c>
      <x:c r="D10" s="17" t="str">
        <x:v>果胶溶解的支持性指标</x:v>
      </x:c>
      <x:c r="E10" s="17" t="str">
        <x:v>指标字典M03</x:v>
      </x:c>
    </x:row>
    <x:row r="11">
      <x:c r="A11" s="17" t="str">
        <x:v>N07</x:v>
      </x:c>
      <x:c r="B11" s="17" t="str">
        <x:v>酶</x:v>
      </x:c>
      <x:c r="C11" s="17" t="str">
        <x:v>PG</x:v>
      </x:c>
      <x:c r="D11" s="17" t="str">
        <x:v>果胶降解活性的支持性指标</x:v>
      </x:c>
      <x:c r="E11" s="17" t="str">
        <x:v>指标字典M04</x:v>
      </x:c>
    </x:row>
    <x:row r="12">
      <x:c r="A12" s="17" t="str">
        <x:v>N08</x:v>
      </x:c>
      <x:c r="B12" s="17" t="str">
        <x:v>外观</x:v>
      </x:c>
      <x:c r="C12" s="17" t="str">
        <x:v>L*</x:v>
      </x:c>
      <x:c r="D12" s="17" t="str">
        <x:v>亮度</x:v>
      </x:c>
      <x:c r="E12" s="17" t="str">
        <x:v>指标字典M05</x:v>
      </x:c>
    </x:row>
    <x:row r="13">
      <x:c r="A13" s="17" t="str">
        <x:v>N09</x:v>
      </x:c>
      <x:c r="B13" s="17" t="str">
        <x:v>外观</x:v>
      </x:c>
      <x:c r="C13" s="17" t="str">
        <x:v>a*</x:v>
      </x:c>
      <x:c r="D13" s="17" t="str">
        <x:v>红绿分量</x:v>
      </x:c>
      <x:c r="E13" s="17" t="str">
        <x:v>指标字典M06</x:v>
      </x:c>
    </x:row>
    <x:row r="14">
      <x:c r="A14" s="17" t="str">
        <x:v>N10</x:v>
      </x:c>
      <x:c r="B14" s="17" t="str">
        <x:v>外观</x:v>
      </x:c>
      <x:c r="C14" s="17" t="str">
        <x:v>ΔE</x:v>
      </x:c>
      <x:c r="D14" s="17" t="str">
        <x:v>综合色差直接输入</x:v>
      </x:c>
      <x:c r="E14" s="17" t="str">
        <x:v>指标字典M07</x:v>
      </x:c>
    </x:row>
    <x:row r="15">
      <x:c r="A15" s="17" t="str">
        <x:v>N11</x:v>
      </x:c>
      <x:c r="B15" s="17" t="str">
        <x:v>证据</x:v>
      </x:c>
      <x:c r="C15" s="17" t="str">
        <x:v>表型图</x:v>
      </x:c>
      <x:c r="D15" s="17" t="str">
        <x:v>代表性外观变化</x:v>
      </x:c>
      <x:c r="E15" s="17" t="str">
        <x:v>表型索引</x:v>
      </x:c>
    </x:row>
    <x:row r="16">
      <x:c r="A16" s="17" t="str">
        <x:v>N12</x:v>
      </x:c>
      <x:c r="B16" s="17" t="str">
        <x:v>经营</x:v>
      </x:c>
      <x:c r="C16" s="17" t="str">
        <x:v>库存报损率</x:v>
      </x:c>
      <x:c r="D16" s="17" t="str">
        <x:v>经营核算口径</x:v>
      </x:c>
      <x:c r="E16" s="17" t="str">
        <x:v>指标字典B01</x:v>
      </x:c>
    </x:row>
    <x:row r="17">
      <x:c r="A17" s="17" t="str">
        <x:v>N13</x:v>
      </x:c>
      <x:c r="B17" s="17" t="str">
        <x:v>决策</x:v>
      </x:c>
      <x:c r="C17" s="17" t="str">
        <x:v>阶段门</x:v>
      </x:c>
      <x:c r="D17" s="17" t="str">
        <x:v>从数据可解释到经济验证</x:v>
      </x:c>
      <x:c r="E17" s="17" t="str">
        <x:v>阶段门</x:v>
      </x:c>
    </x:row>
    <x:row r="18">
      <x:c r="A18" s="17" t="str">
        <x:v>N14</x:v>
      </x:c>
      <x:c r="B18" s="17" t="str">
        <x:v>基地</x:v>
      </x:c>
      <x:c r="C18" s="17" t="str">
        <x:v>B01-B04</x:v>
      </x:c>
      <x:c r="D18" s="17" t="str">
        <x:v>四个商业验证基地</x:v>
      </x:c>
      <x:c r="E18" s="17" t="str">
        <x:v>基地品种产季</x:v>
      </x:c>
    </x:row>
    <x:row r="19">
      <x:c r="A19" s="17" t="str">
        <x:v>N15</x:v>
      </x:c>
      <x:c r="B19" s="17" t="str">
        <x:v>品种</x:v>
      </x:c>
      <x:c r="C19" s="17" t="str">
        <x:v>红颜</x:v>
      </x:c>
      <x:c r="D19" s="17" t="str">
        <x:v>确证品种一</x:v>
      </x:c>
      <x:c r="E19" s="17" t="str">
        <x:v>基地品种产季</x:v>
      </x:c>
    </x:row>
    <x:row r="20">
      <x:c r="A20" s="17" t="str">
        <x:v>N16</x:v>
      </x:c>
      <x:c r="B20" s="17" t="str">
        <x:v>品种</x:v>
      </x:c>
      <x:c r="C20" s="17" t="str">
        <x:v>章姬</x:v>
      </x:c>
      <x:c r="D20" s="17" t="str">
        <x:v>确证品种二</x:v>
      </x:c>
      <x:c r="E20" s="17" t="str">
        <x:v>基地品种产季</x:v>
      </x:c>
    </x:row>
    <x:row r="21">
      <x:c r="A21" s="17" t="str">
        <x:v>N17</x:v>
      </x:c>
      <x:c r="B21" s="17" t="str">
        <x:v>产季</x:v>
      </x:c>
      <x:c r="C21" s="17" t="str">
        <x:v>冬春季</x:v>
      </x:c>
      <x:c r="D21" s="17" t="str">
        <x:v>第一产季</x:v>
      </x:c>
      <x:c r="E21" s="17" t="str">
        <x:v>基地品种产季</x:v>
      </x:c>
    </x:row>
    <x:row r="22">
      <x:c r="A22" s="17" t="str">
        <x:v>N18</x:v>
      </x:c>
      <x:c r="B22" s="17" t="str">
        <x:v>产季</x:v>
      </x:c>
      <x:c r="C22" s="17" t="str">
        <x:v>春夏季</x:v>
      </x:c>
      <x:c r="D22" s="17" t="str">
        <x:v>第二产季</x:v>
      </x:c>
      <x:c r="E22" s="17" t="str">
        <x:v>基地品种产季</x:v>
      </x:c>
    </x:row>
    <x:row r="23">
      <x:c r="A23" s="17" t="str">
        <x:v>N19</x:v>
      </x:c>
      <x:c r="B23" s="17" t="str">
        <x:v>设备</x:v>
      </x:c>
      <x:c r="C23" s="17" t="str">
        <x:v>MFG-5C/V1.0</x:v>
      </x:c>
      <x:c r="D23" s="17" t="str">
        <x:v>5 mT静磁场发生器锁定版本</x:v>
      </x:c>
      <x:c r="E23" s="17" t="str">
        <x:v>设备主数据</x:v>
      </x:c>
    </x:row>
    <x:row r="24">
      <x:c r="A24" s="17" t="str">
        <x:v>N20</x:v>
      </x:c>
      <x:c r="B24" s="17" t="str">
        <x:v>环境</x:v>
      </x:c>
      <x:c r="C24" s="17" t="str">
        <x:v>温湿度</x:v>
      </x:c>
      <x:c r="D24" s="17" t="str">
        <x:v>冷库与运输连续记录</x:v>
      </x:c>
      <x:c r="E24" s="17" t="str">
        <x:v>环境采集规范</x:v>
      </x:c>
    </x:row>
    <x:row r="25">
      <x:c r="A25" s="17" t="str">
        <x:v>N21</x:v>
      </x:c>
      <x:c r="B25" s="17" t="str">
        <x:v>环境</x:v>
      </x:c>
      <x:c r="C25" s="17" t="str">
        <x:v>门开启</x:v>
      </x:c>
      <x:c r="D25" s="17" t="str">
        <x:v>冷库扰动协变量</x:v>
      </x:c>
      <x:c r="E25" s="17" t="str">
        <x:v>环境采集规范</x:v>
      </x:c>
    </x:row>
    <x:row r="26">
      <x:c r="A26" s="17" t="str">
        <x:v>N22</x:v>
      </x:c>
      <x:c r="B26" s="17" t="str">
        <x:v>环境</x:v>
      </x:c>
      <x:c r="C26" s="17" t="str">
        <x:v>运输振动</x:v>
      </x:c>
      <x:c r="D26" s="17" t="str">
        <x:v>运输压力协变量</x:v>
      </x:c>
      <x:c r="E26" s="17" t="str">
        <x:v>环境采集规范</x:v>
      </x:c>
    </x:row>
    <x:row r="27">
      <x:c r="A27" s="17" t="str">
        <x:v>N23</x:v>
      </x:c>
      <x:c r="B27" s="17" t="str">
        <x:v>终点</x:v>
      </x:c>
      <x:c r="C27" s="17" t="str">
        <x:v>腐烂率</x:v>
      </x:c>
      <x:c r="D27" s="17" t="str">
        <x:v>15 d主要终点</x:v>
      </x:c>
      <x:c r="E27" s="17" t="str">
        <x:v>端点与时点</x:v>
      </x:c>
    </x:row>
    <x:row r="28">
      <x:c r="A28" s="17" t="str">
        <x:v>N24</x:v>
      </x:c>
      <x:c r="B28" s="17" t="str">
        <x:v>终点</x:v>
      </x:c>
      <x:c r="C28" s="17" t="str">
        <x:v>微生物</x:v>
      </x:c>
      <x:c r="D28" s="17" t="str">
        <x:v>菌落总数与霉菌酵母</x:v>
      </x:c>
      <x:c r="E28" s="17" t="str">
        <x:v>端点与时点</x:v>
      </x:c>
    </x:row>
    <x:row r="29">
      <x:c r="A29" s="17" t="str">
        <x:v>N25</x:v>
      </x:c>
      <x:c r="B29" s="17" t="str">
        <x:v>终点</x:v>
      </x:c>
      <x:c r="C29" s="17" t="str">
        <x:v>感官</x:v>
      </x:c>
      <x:c r="D29" s="17" t="str">
        <x:v>盲评综合色泽气味质构</x:v>
      </x:c>
      <x:c r="E29" s="17" t="str">
        <x:v>端点与时点</x:v>
      </x:c>
    </x:row>
    <x:row r="30">
      <x:c r="A30" s="17" t="str">
        <x:v>N26</x:v>
      </x:c>
      <x:c r="B30" s="17" t="str">
        <x:v>终点</x:v>
      </x:c>
      <x:c r="C30" s="17" t="str">
        <x:v>水分状态</x:v>
      </x:c>
      <x:c r="D30" s="17" t="str">
        <x:v>可移动水比例</x:v>
      </x:c>
      <x:c r="E30" s="17" t="str">
        <x:v>端点与时点</x:v>
      </x:c>
    </x:row>
    <x:row r="31">
      <x:c r="A31" s="17" t="str">
        <x:v>N27</x:v>
      </x:c>
      <x:c r="B31" s="17" t="str">
        <x:v>统计</x:v>
      </x:c>
      <x:c r="C31" s="17" t="str">
        <x:v>混合效应模型</x:v>
      </x:c>
      <x:c r="D31" s="17" t="str">
        <x:v>连续终点主模型</x:v>
      </x:c>
      <x:c r="E31" s="17" t="str">
        <x:v>统计分析计划</x:v>
      </x:c>
    </x:row>
    <x:row r="32">
      <x:c r="A32" s="17" t="str">
        <x:v>N28</x:v>
      </x:c>
      <x:c r="B32" s="17" t="str">
        <x:v>统计</x:v>
      </x:c>
      <x:c r="C32" s="17" t="str">
        <x:v>生存分析</x:v>
      </x:c>
      <x:c r="D32" s="17" t="str">
        <x:v>货架期与首次腐烂时间</x:v>
      </x:c>
      <x:c r="E32" s="17" t="str">
        <x:v>统计分析计划</x:v>
      </x:c>
    </x:row>
    <x:row r="33">
      <x:c r="A33" s="17" t="str">
        <x:v>N29</x:v>
      </x:c>
      <x:c r="B33" s="17" t="str">
        <x:v>治理</x:v>
      </x:c>
      <x:c r="C33" s="17" t="str">
        <x:v>随机化盲法</x:v>
      </x:c>
      <x:c r="D33" s="17" t="str">
        <x:v>分层区组、三级编码和揭盲审批</x:v>
      </x:c>
      <x:c r="E33" s="17" t="str">
        <x:v>随机化与盲法</x:v>
      </x:c>
    </x:row>
    <x:row r="34">
      <x:c r="A34" s="17" t="str">
        <x:v>N30</x:v>
      </x:c>
      <x:c r="B34" s="17" t="str">
        <x:v>治理</x:v>
      </x:c>
      <x:c r="C34" s="17" t="str">
        <x:v>样本链路</x:v>
      </x:c>
      <x:c r="D34" s="17" t="str">
        <x:v>收样至数据锁库的责任交接</x:v>
      </x:c>
      <x:c r="E34" s="17" t="str">
        <x:v>样本链路规范</x:v>
      </x:c>
    </x:row>
    <x:row r="35">
      <x:c r="A35" s="17" t="str">
        <x:v>N31</x:v>
      </x:c>
      <x:c r="B35" s="17" t="str">
        <x:v>经营</x:v>
      </x:c>
      <x:c r="C35" s="17" t="str">
        <x:v>收益成本比</x:v>
      </x:c>
      <x:c r="D35" s="17" t="str">
        <x:v>增量收益与增量成本比</x:v>
      </x:c>
      <x:c r="E35" s="17" t="str">
        <x:v>经营门槛</x:v>
      </x:c>
    </x:row>
    <x:row r="36">
      <x:c r="A36" s="17" t="str">
        <x:v>N32</x:v>
      </x:c>
      <x:c r="B36" s="17" t="str">
        <x:v>治理</x:v>
      </x:c>
      <x:c r="C36" s="17" t="str">
        <x:v>RCA</x:v>
      </x:c>
      <x:c r="D36" s="17" t="str">
        <x:v>关键批次失败调查与修订</x:v>
      </x:c>
      <x:c r="E36" s="17" t="str">
        <x:v>RCA台账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2" hidden="0" customWidth="1"/>
    <x:col min="4" max="4" width="34" hidden="0" customWidth="1"/>
    <x:col min="5" max="5" width="24" hidden="0" customWidth="1"/>
    <x:col min="6" max="6" width="32" hidden="0" customWidth="1"/>
  </x:cols>
  <x:sheetData>
    <x:row r="1" ht="30" customHeight="1">
      <x:c r="A1" s="3" t="str">
        <x:v>知识图谱关系</x:v>
      </x:c>
      <x:c r="B1" s="3"/>
      <x:c r="C1" s="3"/>
      <x:c r="D1" s="3"/>
      <x:c r="E1" s="3"/>
      <x:c r="F1" s="3"/>
    </x:row>
    <x:row r="2" ht="34" customHeight="1">
      <x:c r="A2" s="7" t="str">
        <x:v>关系类型区分直接测量、口径隔离、跨证据一致性和机制假设。</x:v>
      </x:c>
      <x:c r="B2" s="7"/>
      <x:c r="C2" s="7"/>
      <x:c r="D2" s="7"/>
      <x:c r="E2" s="7"/>
      <x:c r="F2" s="7"/>
    </x:row>
    <x:row r="4" ht="30" customHeight="1">
      <x:c r="A4" s="13" t="str">
        <x:v>源节点</x:v>
      </x:c>
      <x:c r="B4" s="13" t="str">
        <x:v>关系</x:v>
      </x:c>
      <x:c r="C4" s="13" t="str">
        <x:v>目标节点</x:v>
      </x:c>
      <x:c r="D4" s="13" t="str">
        <x:v>证据</x:v>
      </x:c>
      <x:c r="E4" s="13" t="str">
        <x:v>关系类型</x:v>
      </x:c>
      <x:c r="F4" s="13" t="str">
        <x:v>状态/限制</x:v>
      </x:c>
    </x:row>
    <x:row r="5">
      <x:c r="A5" s="17" t="str">
        <x:v>N02</x:v>
      </x:c>
      <x:c r="B5" s="17" t="str">
        <x:v>compared_with</x:v>
      </x:c>
      <x:c r="C5" s="17" t="str">
        <x:v>N01</x:v>
      </x:c>
      <x:c r="D5" s="17" t="str">
        <x:v>7项指标全时点</x:v>
      </x:c>
      <x:c r="E5" s="17" t="str">
        <x:v>直接对照</x:v>
      </x:c>
      <x:c r="F5" s="17" t="str">
        <x:v>已测量</x:v>
      </x:c>
    </x:row>
    <x:row r="6">
      <x:c r="A6" s="17" t="str">
        <x:v>N01</x:v>
      </x:c>
      <x:c r="B6" s="17" t="str">
        <x:v>stored_under</x:v>
      </x:c>
      <x:c r="C6" s="17" t="str">
        <x:v>N03</x:v>
      </x:c>
      <x:c r="D6" s="17" t="str">
        <x:v>项目材料</x:v>
      </x:c>
      <x:c r="E6" s="17" t="str">
        <x:v>条件</x:v>
      </x:c>
      <x:c r="F6" s="17" t="str">
        <x:v>温度日志待补</x:v>
      </x:c>
    </x:row>
    <x:row r="7">
      <x:c r="A7" s="17" t="str">
        <x:v>N02</x:v>
      </x:c>
      <x:c r="B7" s="17" t="str">
        <x:v>stored_under</x:v>
      </x:c>
      <x:c r="C7" s="17" t="str">
        <x:v>N03</x:v>
      </x:c>
      <x:c r="D7" s="17" t="str">
        <x:v>项目材料</x:v>
      </x:c>
      <x:c r="E7" s="17" t="str">
        <x:v>条件</x:v>
      </x:c>
      <x:c r="F7" s="17" t="str">
        <x:v>温度日志待补</x:v>
      </x:c>
    </x:row>
    <x:row r="8">
      <x:c r="A8" s="17" t="str">
        <x:v>N07</x:v>
      </x:c>
      <x:c r="B8" s="17" t="str">
        <x:v>hypothesized_to_influence</x:v>
      </x:c>
      <x:c r="C8" s="17" t="str">
        <x:v>N06</x:v>
      </x:c>
      <x:c r="D8" s="17" t="str">
        <x:v>PG与WSP趋势</x:v>
      </x:c>
      <x:c r="E8" s="17" t="str">
        <x:v>研究假设</x:v>
      </x:c>
      <x:c r="F8" s="17" t="str">
        <x:v>列入确证模型</x:v>
      </x:c>
    </x:row>
    <x:row r="9">
      <x:c r="A9" s="17" t="str">
        <x:v>N06</x:v>
      </x:c>
      <x:c r="B9" s="17" t="str">
        <x:v>hypothesized_to_influence</x:v>
      </x:c>
      <x:c r="C9" s="17" t="str">
        <x:v>N04</x:v>
      </x:c>
      <x:c r="D9" s="17" t="str">
        <x:v>WSP与硬度趋势</x:v>
      </x:c>
      <x:c r="E9" s="17" t="str">
        <x:v>研究假设</x:v>
      </x:c>
      <x:c r="F9" s="17" t="str">
        <x:v>列入确证模型</x:v>
      </x:c>
    </x:row>
    <x:row r="10">
      <x:c r="A10" s="17" t="str">
        <x:v>N05</x:v>
      </x:c>
      <x:c r="B10" s="17" t="str">
        <x:v>associated_with</x:v>
      </x:c>
      <x:c r="C10" s="17" t="str">
        <x:v>N11</x:v>
      </x:c>
      <x:c r="D10" s="17" t="str">
        <x:v>失重率与图像趋势</x:v>
      </x:c>
      <x:c r="E10" s="17" t="str">
        <x:v>跨证据一致性</x:v>
      </x:c>
      <x:c r="F10" s="17" t="str">
        <x:v>定性</x:v>
      </x:c>
    </x:row>
    <x:row r="11">
      <x:c r="A11" s="17" t="str">
        <x:v>N08</x:v>
      </x:c>
      <x:c r="B11" s="17" t="str">
        <x:v>associated_with</x:v>
      </x:c>
      <x:c r="C11" s="17" t="str">
        <x:v>N11</x:v>
      </x:c>
      <x:c r="D11" s="17" t="str">
        <x:v>L*与图像趋势</x:v>
      </x:c>
      <x:c r="E11" s="17" t="str">
        <x:v>跨证据一致性</x:v>
      </x:c>
      <x:c r="F11" s="17" t="str">
        <x:v>定性</x:v>
      </x:c>
    </x:row>
    <x:row r="12">
      <x:c r="A12" s="17" t="str">
        <x:v>N09</x:v>
      </x:c>
      <x:c r="B12" s="17" t="str">
        <x:v>associated_with</x:v>
      </x:c>
      <x:c r="C12" s="17" t="str">
        <x:v>N11</x:v>
      </x:c>
      <x:c r="D12" s="17" t="str">
        <x:v>a*与图像趋势</x:v>
      </x:c>
      <x:c r="E12" s="17" t="str">
        <x:v>跨证据一致性</x:v>
      </x:c>
      <x:c r="F12" s="17" t="str">
        <x:v>定性</x:v>
      </x:c>
    </x:row>
    <x:row r="13">
      <x:c r="A13" s="17" t="str">
        <x:v>N10</x:v>
      </x:c>
      <x:c r="B13" s="17" t="str">
        <x:v>associated_with</x:v>
      </x:c>
      <x:c r="C13" s="17" t="str">
        <x:v>N11</x:v>
      </x:c>
      <x:c r="D13" s="17" t="str">
        <x:v>ΔE与图像趋势</x:v>
      </x:c>
      <x:c r="E13" s="17" t="str">
        <x:v>跨证据一致性</x:v>
      </x:c>
      <x:c r="F13" s="17" t="str">
        <x:v>定性</x:v>
      </x:c>
    </x:row>
    <x:row r="14">
      <x:c r="A14" s="17" t="str">
        <x:v>N12</x:v>
      </x:c>
      <x:c r="B14" s="17" t="str">
        <x:v>not_equivalent_to</x:v>
      </x:c>
      <x:c r="C14" s="17" t="str">
        <x:v>N05</x:v>
      </x:c>
      <x:c r="D14" s="17" t="str">
        <x:v>口径冲突C06</x:v>
      </x:c>
      <x:c r="E14" s="17" t="str">
        <x:v>口径隔离</x:v>
      </x:c>
      <x:c r="F14" s="17" t="str">
        <x:v>强制</x:v>
      </x:c>
    </x:row>
    <x:row r="15">
      <x:c r="A15" s="17" t="str">
        <x:v>N13</x:v>
      </x:c>
      <x:c r="B15" s="17" t="str">
        <x:v>requires_evidence_from</x:v>
      </x:c>
      <x:c r="C15" s="17" t="str">
        <x:v>N04</x:v>
      </x:c>
      <x:c r="D15" s="17" t="str">
        <x:v>阶段门G1-G3</x:v>
      </x:c>
      <x:c r="E15" s="17" t="str">
        <x:v>验证依赖</x:v>
      </x:c>
      <x:c r="F15" s="17" t="str">
        <x:v>主要终点</x:v>
      </x:c>
    </x:row>
    <x:row r="16">
      <x:c r="A16" s="17" t="str">
        <x:v>N13</x:v>
      </x:c>
      <x:c r="B16" s="17" t="str">
        <x:v>requires_evidence_from</x:v>
      </x:c>
      <x:c r="C16" s="17" t="str">
        <x:v>N12</x:v>
      </x:c>
      <x:c r="D16" s="17" t="str">
        <x:v>阶段门G4-G5</x:v>
      </x:c>
      <x:c r="E16" s="17" t="str">
        <x:v>验证依赖</x:v>
      </x:c>
      <x:c r="F16" s="17" t="str">
        <x:v>经营试点</x:v>
      </x:c>
    </x:row>
    <x:row r="17">
      <x:c r="A17" s="17" t="str">
        <x:v>N14</x:v>
      </x:c>
      <x:c r="B17" s="17" t="str">
        <x:v>covers</x:v>
      </x:c>
      <x:c r="C17" s="17" t="str">
        <x:v>N15</x:v>
      </x:c>
      <x:c r="D17" s="17" t="str">
        <x:v>四基地×两品种</x:v>
      </x:c>
      <x:c r="E17" s="17" t="str">
        <x:v>设计覆盖</x:v>
      </x:c>
      <x:c r="F17" s="17" t="str">
        <x:v>确证</x:v>
      </x:c>
    </x:row>
    <x:row r="18">
      <x:c r="A18" s="17" t="str">
        <x:v>N14</x:v>
      </x:c>
      <x:c r="B18" s="17" t="str">
        <x:v>covers</x:v>
      </x:c>
      <x:c r="C18" s="17" t="str">
        <x:v>N16</x:v>
      </x:c>
      <x:c r="D18" s="17" t="str">
        <x:v>四基地×两品种</x:v>
      </x:c>
      <x:c r="E18" s="17" t="str">
        <x:v>设计覆盖</x:v>
      </x:c>
      <x:c r="F18" s="17" t="str">
        <x:v>确证</x:v>
      </x:c>
    </x:row>
    <x:row r="19">
      <x:c r="A19" s="17" t="str">
        <x:v>N14</x:v>
      </x:c>
      <x:c r="B19" s="17" t="str">
        <x:v>spans</x:v>
      </x:c>
      <x:c r="C19" s="17" t="str">
        <x:v>N17</x:v>
      </x:c>
      <x:c r="D19" s="17" t="str">
        <x:v>两产季</x:v>
      </x:c>
      <x:c r="E19" s="17" t="str">
        <x:v>设计覆盖</x:v>
      </x:c>
      <x:c r="F19" s="17" t="str">
        <x:v>确证</x:v>
      </x:c>
    </x:row>
    <x:row r="20">
      <x:c r="A20" s="17" t="str">
        <x:v>N14</x:v>
      </x:c>
      <x:c r="B20" s="17" t="str">
        <x:v>spans</x:v>
      </x:c>
      <x:c r="C20" s="17" t="str">
        <x:v>N18</x:v>
      </x:c>
      <x:c r="D20" s="17" t="str">
        <x:v>两产季</x:v>
      </x:c>
      <x:c r="E20" s="17" t="str">
        <x:v>设计覆盖</x:v>
      </x:c>
      <x:c r="F20" s="17" t="str">
        <x:v>确证</x:v>
      </x:c>
    </x:row>
    <x:row r="21">
      <x:c r="A21" s="17" t="str">
        <x:v>N19</x:v>
      </x:c>
      <x:c r="B21" s="17" t="str">
        <x:v>delivers</x:v>
      </x:c>
      <x:c r="C21" s="17" t="str">
        <x:v>N02</x:v>
      </x:c>
      <x:c r="D21" s="17" t="str">
        <x:v>5.00±0.25 mT</x:v>
      </x:c>
      <x:c r="E21" s="17" t="str">
        <x:v>设备控制</x:v>
      </x:c>
      <x:c r="F21" s="17" t="str">
        <x:v>IQ/OQ后启用</x:v>
      </x:c>
    </x:row>
    <x:row r="22">
      <x:c r="A22" s="17" t="str">
        <x:v>N20</x:v>
      </x:c>
      <x:c r="B22" s="17" t="str">
        <x:v>adjusts_model</x:v>
      </x:c>
      <x:c r="C22" s="17" t="str">
        <x:v>N27</x:v>
      </x:c>
      <x:c r="D22" s="17" t="str">
        <x:v>温湿度连续记录</x:v>
      </x:c>
      <x:c r="E22" s="17" t="str">
        <x:v>协变量</x:v>
      </x:c>
      <x:c r="F22" s="17" t="str">
        <x:v>确证</x:v>
      </x:c>
    </x:row>
    <x:row r="23">
      <x:c r="A23" s="17" t="str">
        <x:v>N21</x:v>
      </x:c>
      <x:c r="B23" s="17" t="str">
        <x:v>adjusts_model</x:v>
      </x:c>
      <x:c r="C23" s="17" t="str">
        <x:v>N27</x:v>
      </x:c>
      <x:c r="D23" s="17" t="str">
        <x:v>门开启次数与时长</x:v>
      </x:c>
      <x:c r="E23" s="17" t="str">
        <x:v>协变量</x:v>
      </x:c>
      <x:c r="F23" s="17" t="str">
        <x:v>确证</x:v>
      </x:c>
    </x:row>
    <x:row r="24">
      <x:c r="A24" s="17" t="str">
        <x:v>N22</x:v>
      </x:c>
      <x:c r="B24" s="17" t="str">
        <x:v>adjusts_model</x:v>
      </x:c>
      <x:c r="C24" s="17" t="str">
        <x:v>N27</x:v>
      </x:c>
      <x:c r="D24" s="17" t="str">
        <x:v>RMS与峰值加速度</x:v>
      </x:c>
      <x:c r="E24" s="17" t="str">
        <x:v>协变量</x:v>
      </x:c>
      <x:c r="F24" s="17" t="str">
        <x:v>运输压力</x:v>
      </x:c>
    </x:row>
    <x:row r="25">
      <x:c r="A25" s="17" t="str">
        <x:v>N29</x:v>
      </x:c>
      <x:c r="B25" s="17" t="str">
        <x:v>controls_bias_for</x:v>
      </x:c>
      <x:c r="C25" s="17" t="str">
        <x:v>N27</x:v>
      </x:c>
      <x:c r="D25" s="17" t="str">
        <x:v>分层区组与三级盲码</x:v>
      </x:c>
      <x:c r="E25" s="17" t="str">
        <x:v>偏差控制</x:v>
      </x:c>
      <x:c r="F25" s="17" t="str">
        <x:v>确证</x:v>
      </x:c>
    </x:row>
    <x:row r="26">
      <x:c r="A26" s="17" t="str">
        <x:v>N30</x:v>
      </x:c>
      <x:c r="B26" s="17" t="str">
        <x:v>traces</x:v>
      </x:c>
      <x:c r="C26" s="17" t="str">
        <x:v>N23</x:v>
      </x:c>
      <x:c r="D26" s="17" t="str">
        <x:v>样本码与原始记录</x:v>
      </x:c>
      <x:c r="E26" s="17" t="str">
        <x:v>证据链</x:v>
      </x:c>
      <x:c r="F26" s="17" t="str">
        <x:v>确证</x:v>
      </x:c>
    </x:row>
    <x:row r="27">
      <x:c r="A27" s="17" t="str">
        <x:v>N23</x:v>
      </x:c>
      <x:c r="B27" s="17" t="str">
        <x:v>analyzed_by</x:v>
      </x:c>
      <x:c r="C27" s="17" t="str">
        <x:v>N28</x:v>
      </x:c>
      <x:c r="D27" s="17" t="str">
        <x:v>首次腐烂时间</x:v>
      </x:c>
      <x:c r="E27" s="17" t="str">
        <x:v>统计方法</x:v>
      </x:c>
      <x:c r="F27" s="17" t="str">
        <x:v>货架期</x:v>
      </x:c>
    </x:row>
    <x:row r="28">
      <x:c r="A28" s="17" t="str">
        <x:v>N31</x:v>
      </x:c>
      <x:c r="B28" s="17" t="str">
        <x:v>required_by</x:v>
      </x:c>
      <x:c r="C28" s="17" t="str">
        <x:v>N13</x:v>
      </x:c>
      <x:c r="D28" s="17" t="str">
        <x:v>G5经营门槛</x:v>
      </x:c>
      <x:c r="E28" s="17" t="str">
        <x:v>决策依赖</x:v>
      </x:c>
      <x:c r="F28" s="17" t="str">
        <x:v>量产定型</x:v>
      </x:c>
    </x:row>
    <x:row r="29">
      <x:c r="A29" s="17" t="str">
        <x:v>N32</x:v>
      </x:c>
      <x:c r="B29" s="17" t="str">
        <x:v>feeds_back_to</x:v>
      </x:c>
      <x:c r="C29" s="17" t="str">
        <x:v>N13</x:v>
      </x:c>
      <x:c r="D29" s="17" t="str">
        <x:v>批次失败与纠正措施</x:v>
      </x:c>
      <x:c r="E29" s="17" t="str">
        <x:v>治理闭环</x:v>
      </x:c>
      <x:c r="F29" s="17" t="str">
        <x:v>继续/停止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30" hidden="0" customWidth="1"/>
    <x:col min="5" max="5" width="38" hidden="0" customWidth="1"/>
    <x:col min="6" max="6" width="36" hidden="0" customWidth="1"/>
  </x:cols>
  <x:sheetData>
    <x:row r="1" ht="30" customHeight="1">
      <x:c r="A1" s="3" t="str">
        <x:v>跨产物一致性映射</x:v>
      </x:c>
      <x:c r="B1" s="3"/>
      <x:c r="C1" s="3"/>
      <x:c r="D1" s="3"/>
      <x:c r="E1" s="3"/>
      <x:c r="F1" s="3"/>
    </x:row>
    <x:row r="2" ht="34" customHeight="1">
      <x:c r="A2" s="7" t="str">
        <x:v>报告、分析底稿和源数据使用同一指标ID、公式与证据位置。</x:v>
      </x:c>
      <x:c r="B2" s="7"/>
      <x:c r="C2" s="7"/>
      <x:c r="D2" s="7"/>
      <x:c r="E2" s="7"/>
      <x:c r="F2" s="7"/>
    </x:row>
    <x:row r="4" ht="30" customHeight="1">
      <x:c r="A4" s="13" t="str">
        <x:v>映射ID</x:v>
      </x:c>
      <x:c r="B4" s="13" t="str">
        <x:v>主题</x:v>
      </x:c>
      <x:c r="C4" s="13" t="str">
        <x:v>报告位置</x:v>
      </x:c>
      <x:c r="D4" s="13" t="str">
        <x:v>底稿位置</x:v>
      </x:c>
      <x:c r="E4" s="13" t="str">
        <x:v>输入证据</x:v>
      </x:c>
      <x:c r="F4" s="13" t="str">
        <x:v>一致性规则</x:v>
      </x:c>
    </x:row>
    <x:row r="5">
      <x:c r="A5" s="17" t="str">
        <x:v>X01</x:v>
      </x:c>
      <x:c r="B5" s="17" t="str">
        <x:v>日15硬度</x:v>
      </x:c>
      <x:c r="C5" s="17" t="str">
        <x:v>报告：技术效果</x:v>
      </x:c>
      <x:c r="D5" s="17" t="str">
        <x:v>分析底稿：时点对比</x:v>
      </x:c>
      <x:c r="E5" s="17" t="str">
        <x:v>硬度原始表E8:G8与B8:D8</x:v>
      </x:c>
      <x:c r="F5" s="17" t="str">
        <x:v>数值与口径一致</x:v>
      </x:c>
    </x:row>
    <x:row r="6">
      <x:c r="A6" s="17" t="str">
        <x:v>X02</x:v>
      </x:c>
      <x:c r="B6" s="17" t="str">
        <x:v>日15失重率</x:v>
      </x:c>
      <x:c r="C6" s="17" t="str">
        <x:v>报告：技术效果</x:v>
      </x:c>
      <x:c r="D6" s="17" t="str">
        <x:v>分析底稿：时点对比</x:v>
      </x:c>
      <x:c r="E6" s="17" t="str">
        <x:v>失重率原始表E8:G8与B8:D8</x:v>
      </x:c>
      <x:c r="F6" s="17" t="str">
        <x:v>不得写成库存报损率</x:v>
      </x:c>
    </x:row>
    <x:row r="7">
      <x:c r="A7" s="17" t="str">
        <x:v>X03</x:v>
      </x:c>
      <x:c r="B7" s="17" t="str">
        <x:v>日15ΔE</x:v>
      </x:c>
      <x:c r="C7" s="17" t="str">
        <x:v>报告：技术效果</x:v>
      </x:c>
      <x:c r="D7" s="17" t="str">
        <x:v>分析底稿：时点对比</x:v>
      </x:c>
      <x:c r="E7" s="17" t="str">
        <x:v>ΔE原始表E8:G8与B8:D8</x:v>
      </x:c>
      <x:c r="F7" s="17" t="str">
        <x:v>标注无法独立复算</x:v>
      </x:c>
    </x:row>
    <x:row r="8">
      <x:c r="A8" s="17" t="str">
        <x:v>X04</x:v>
      </x:c>
      <x:c r="B8" s="17" t="str">
        <x:v>WSP与PG</x:v>
      </x:c>
      <x:c r="C8" s="17" t="str">
        <x:v>报告：机制支持</x:v>
      </x:c>
      <x:c r="D8" s="17" t="str">
        <x:v>分析底稿：趋势与对比</x:v>
      </x:c>
      <x:c r="E8" s="17" t="str">
        <x:v>WSP、PG原始表</x:v>
      </x:c>
      <x:c r="F8" s="17" t="str">
        <x:v>使用支持性措辞</x:v>
      </x:c>
    </x:row>
    <x:row r="9">
      <x:c r="A9" s="17" t="str">
        <x:v>X05</x:v>
      </x:c>
      <x:c r="B9" s="17" t="str">
        <x:v>库存报损率</x:v>
      </x:c>
      <x:c r="C9" s="17" t="str">
        <x:v>报告：经营基线</x:v>
      </x:c>
      <x:c r="D9" s="17" t="str">
        <x:v>分析底稿：经营复核</x:v>
      </x:c>
      <x:c r="E9" s="17" t="str">
        <x:v>批次+库存流水</x:v>
      </x:c>
      <x:c r="F9" s="17" t="str">
        <x:v>与实验失重率分别核算</x:v>
      </x:c>
    </x:row>
    <x:row r="10">
      <x:c r="A10" s="17" t="str">
        <x:v>X06</x:v>
      </x:c>
      <x:c r="B10" s="17" t="str">
        <x:v>净收益/BCR</x:v>
      </x:c>
      <x:c r="C10" s="17" t="str">
        <x:v>报告：经营测算</x:v>
      </x:c>
      <x:c r="D10" s="17" t="str">
        <x:v>分析底稿：经营测算</x:v>
      </x:c>
      <x:c r="E10" s="17" t="str">
        <x:v>经营预算+经营复核</x:v>
      </x:c>
      <x:c r="F10" s="17" t="str">
        <x:v>采用同一预算参数</x:v>
      </x:c>
    </x:row>
    <x:row r="11">
      <x:c r="A11" s="17" t="str">
        <x:v>X07</x:v>
      </x:c>
      <x:c r="B11" s="17" t="str">
        <x:v>阶段门状态</x:v>
      </x:c>
      <x:c r="C11" s="17" t="str">
        <x:v>报告：决策建议</x:v>
      </x:c>
      <x:c r="D11" s="17" t="str">
        <x:v>分析底稿：阶段门</x:v>
      </x:c>
      <x:c r="E11" s="17" t="str">
        <x:v>项目与设计+风险台账</x:v>
      </x:c>
      <x:c r="F11" s="17" t="str">
        <x:v>按阶段门顺序审批</x:v>
      </x:c>
    </x:row>
    <x:row r="12">
      <x:c r="A12" s="17" t="str">
        <x:v>X08</x:v>
      </x:c>
      <x:c r="B12" s="17" t="str">
        <x:v>基地/品种/产季覆盖</x:v>
      </x:c>
      <x:c r="C12" s="17" t="str">
        <x:v>报告：验证设计</x:v>
      </x:c>
      <x:c r="D12" s="17" t="str">
        <x:v>分析底稿：设计矩阵</x:v>
      </x:c>
      <x:c r="E12" s="17" t="str">
        <x:v>基地品种产季</x:v>
      </x:c>
      <x:c r="F12" s="17" t="str">
        <x:v>4×2×2×2=32批</x:v>
      </x:c>
    </x:row>
    <x:row r="13">
      <x:c r="A13" s="17" t="str">
        <x:v>X09</x:v>
      </x:c>
      <x:c r="B13" s="17" t="str">
        <x:v>样本量</x:v>
      </x:c>
      <x:c r="C13" s="17" t="str">
        <x:v>报告：样本量</x:v>
      </x:c>
      <x:c r="D13" s="17" t="str">
        <x:v>分析底稿：样本量复核</x:v>
      </x:c>
      <x:c r="E13" s="17" t="str">
        <x:v>样本量规划</x:v>
      </x:c>
      <x:c r="F13" s="17" t="str">
        <x:v>最低22批；计划32批</x:v>
      </x:c>
    </x:row>
    <x:row r="14">
      <x:c r="A14" s="17" t="str">
        <x:v>X10</x:v>
      </x:c>
      <x:c r="B14" s="17" t="str">
        <x:v>设备与环境</x:v>
      </x:c>
      <x:c r="C14" s="17" t="str">
        <x:v>报告：运行控制</x:v>
      </x:c>
      <x:c r="D14" s="17" t="str">
        <x:v>分析底稿：设备与环境</x:v>
      </x:c>
      <x:c r="E14" s="17" t="str">
        <x:v>设备主数据+环境采集规范</x:v>
      </x:c>
      <x:c r="F14" s="17" t="str">
        <x:v>同一放行阈值</x:v>
      </x:c>
    </x:row>
    <x:row r="15">
      <x:c r="A15" s="17" t="str">
        <x:v>X11</x:v>
      </x:c>
      <x:c r="B15" s="17" t="str">
        <x:v>统计模型</x:v>
      </x:c>
      <x:c r="C15" s="17" t="str">
        <x:v>报告：统计计划</x:v>
      </x:c>
      <x:c r="D15" s="17" t="str">
        <x:v>分析底稿：统计模型</x:v>
      </x:c>
      <x:c r="E15" s="17" t="str">
        <x:v>统计分析计划</x:v>
      </x:c>
      <x:c r="F15" s="17" t="str">
        <x:v>效应量、CI和Holm一致</x:v>
      </x:c>
    </x:row>
    <x:row r="16">
      <x:c r="A16" s="17" t="str">
        <x:v>X12</x:v>
      </x:c>
      <x:c r="B16" s="17" t="str">
        <x:v>24轮评审</x:v>
      </x:c>
      <x:c r="C16" s="17" t="str">
        <x:v>报告：治理计划</x:v>
      </x:c>
      <x:c r="D16" s="17" t="str">
        <x:v>分析底稿：评审计划</x:v>
      </x:c>
      <x:c r="E16" s="17" t="str">
        <x:v>阶段评审</x:v>
      </x:c>
      <x:c r="F16" s="17" t="str">
        <x:v>轮次、门槛和决策一致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42" hidden="0" customWidth="1"/>
    <x:col min="5" max="5" width="38" hidden="0" customWidth="1"/>
    <x:col min="6" max="6" width="24" hidden="0" customWidth="1"/>
    <x:col min="7" max="7" width="20" hidden="0" customWidth="1"/>
    <x:col min="8" max="8" width="22" hidden="0" customWidth="1"/>
  </x:cols>
  <x:sheetData>
    <x:row r="1" ht="30" customHeight="1">
      <x:c r="A1" s="3" t="str">
        <x:v>项目组织与职责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统计、研发、质量和运营独立履责，关键文件分别签署。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3" t="str">
        <x:v>角色ID</x:v>
      </x:c>
      <x:c r="B4" s="13" t="str">
        <x:v>组织</x:v>
      </x:c>
      <x:c r="C4" s="13" t="str">
        <x:v>责任人角色</x:v>
      </x:c>
      <x:c r="D4" s="13" t="str">
        <x:v>核心职责</x:v>
      </x:c>
      <x:c r="E4" s="13" t="str">
        <x:v>签署文件</x:v>
      </x:c>
      <x:c r="F4" s="13" t="str">
        <x:v>独立性要求</x:v>
      </x:c>
      <x:c r="G4" s="13" t="str">
        <x:v>上报对象</x:v>
      </x:c>
      <x:c r="H4" s="13" t="str">
        <x:v>决策权限</x:v>
      </x:c>
    </x:row>
    <x:row r="5">
      <x:c r="A5" s="17" t="str">
        <x:v>ORG01</x:v>
      </x:c>
      <x:c r="B5" s="17" t="str">
        <x:v>项目负责人</x:v>
      </x:c>
      <x:c r="C5" s="17" t="str">
        <x:v>项目办公室</x:v>
      </x:c>
      <x:c r="D5" s="17" t="str">
        <x:v>统筹基地、资源和阶段决策</x:v>
      </x:c>
      <x:c r="E5" s="17" t="str">
        <x:v>项目章程、阶段评审纪要</x:v>
      </x:c>
      <x:c r="F5" s="17" t="str">
        <x:v>全周期</x:v>
      </x:c>
      <x:c r="G5" s="17" t="str">
        <x:v>项目委员会</x:v>
      </x:c>
      <x:c r="H5" s="17" t="str">
        <x:v>继续/暂停建议</x:v>
      </x:c>
    </x:row>
    <x:row r="6">
      <x:c r="A6" s="17" t="str">
        <x:v>ORG02</x:v>
      </x:c>
      <x:c r="B6" s="17" t="str">
        <x:v>统计组</x:v>
      </x:c>
      <x:c r="C6" s="17" t="str">
        <x:v>独立统计负责人</x:v>
      </x:c>
      <x:c r="D6" s="17" t="str">
        <x:v>冻结假设、终点、样本量和统计分析计划</x:v>
      </x:c>
      <x:c r="E6" s="17" t="str">
        <x:v>预注册摘要、SAP、统计报告</x:v>
      </x:c>
      <x:c r="F6" s="17" t="str">
        <x:v>揭盲前独立</x:v>
      </x:c>
      <x:c r="G6" s="17" t="str">
        <x:v>方法委员会</x:v>
      </x:c>
      <x:c r="H6" s="17" t="str">
        <x:v>统计签字</x:v>
      </x:c>
    </x:row>
    <x:row r="7">
      <x:c r="A7" s="17" t="str">
        <x:v>ORG03</x:v>
      </x:c>
      <x:c r="B7" s="17" t="str">
        <x:v>研发组</x:v>
      </x:c>
      <x:c r="C7" s="17" t="str">
        <x:v>采后技术负责人</x:v>
      </x:c>
      <x:c r="D7" s="17" t="str">
        <x:v>处理工艺、取样、检测方法和机制端点</x:v>
      </x:c>
      <x:c r="E7" s="17" t="str">
        <x:v>试验方案、方法确认记录</x:v>
      </x:c>
      <x:c r="F7" s="17" t="str">
        <x:v>执行期</x:v>
      </x:c>
      <x:c r="G7" s="17" t="str">
        <x:v>项目负责人</x:v>
      </x:c>
      <x:c r="H7" s="17" t="str">
        <x:v>技术签字</x:v>
      </x:c>
    </x:row>
    <x:row r="8">
      <x:c r="A8" s="17" t="str">
        <x:v>ORG04</x:v>
      </x:c>
      <x:c r="B8" s="17" t="str">
        <x:v>质量组</x:v>
      </x:c>
      <x:c r="C8" s="17" t="str">
        <x:v>质量负责人</x:v>
      </x:c>
      <x:c r="D8" s="17" t="str">
        <x:v>盲码、随机化保管、链路、偏差和数据锁库</x:v>
      </x:c>
      <x:c r="E8" s="17" t="str">
        <x:v>随机表、链路记录、偏差台账</x:v>
      </x:c>
      <x:c r="F8" s="17" t="str">
        <x:v>全周期</x:v>
      </x:c>
      <x:c r="G8" s="17" t="str">
        <x:v>质量委员会</x:v>
      </x:c>
      <x:c r="H8" s="17" t="str">
        <x:v>放行/拒收</x:v>
      </x:c>
    </x:row>
    <x:row r="9">
      <x:c r="A9" s="17" t="str">
        <x:v>ORG05</x:v>
      </x:c>
      <x:c r="B9" s="17" t="str">
        <x:v>运营组</x:v>
      </x:c>
      <x:c r="C9" s="17" t="str">
        <x:v>冷库与运输负责人</x:v>
      </x:c>
      <x:c r="D9" s="17" t="str">
        <x:v>冷库、装载、运输、能耗和故障记录</x:v>
      </x:c>
      <x:c r="E9" s="17" t="str">
        <x:v>环境日志、设备台账、成本台账</x:v>
      </x:c>
      <x:c r="F9" s="17" t="str">
        <x:v>执行期</x:v>
      </x:c>
      <x:c r="G9" s="17" t="str">
        <x:v>项目负责人</x:v>
      </x:c>
      <x:c r="H9" s="17" t="str">
        <x:v>运行签字</x:v>
      </x:c>
    </x:row>
    <x:row r="10">
      <x:c r="A10" s="17" t="str">
        <x:v>ORG06</x:v>
      </x:c>
      <x:c r="B10" s="17" t="str">
        <x:v>第三方复核</x:v>
      </x:c>
      <x:c r="C10" s="17" t="str">
        <x:v>外部实验室</x:v>
      </x:c>
      <x:c r="D10" s="17" t="str">
        <x:v>独立复测硬度、腐烂率和微生物</x:v>
      </x:c>
      <x:c r="E10" s="17" t="str">
        <x:v>复核报告、原始记录</x:v>
      </x:c>
      <x:c r="F10" s="17" t="str">
        <x:v>G3-G4</x:v>
      </x:c>
      <x:c r="G10" s="17" t="str">
        <x:v>项目委员会</x:v>
      </x:c>
      <x:c r="H10" s="17" t="str">
        <x:v>复核意见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4" hidden="0" customWidth="1"/>
    <x:col min="4" max="4" width="24" hidden="0" customWidth="1"/>
    <x:col min="5" max="5" width="42" hidden="0" customWidth="1"/>
    <x:col min="6" max="6" width="14" hidden="0" customWidth="1"/>
    <x:col min="7" max="7" width="10" hidden="0" customWidth="1"/>
    <x:col min="8" max="8" width="16" hidden="0" customWidth="1"/>
  </x:cols>
  <x:sheetData>
    <x:row r="1" ht="30" customHeight="1">
      <x:c r="A1" s="3" t="str">
        <x:v>预注册摘要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主要假设、主要终点、最小有意义差异、排除规则和揭盲条件在首批入库前冻结。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3" t="str">
        <x:v>条款ID</x:v>
      </x:c>
      <x:c r="B4" s="13" t="str">
        <x:v>类型</x:v>
      </x:c>
      <x:c r="C4" s="13" t="str">
        <x:v>预注册内容</x:v>
      </x:c>
      <x:c r="D4" s="13" t="str">
        <x:v>终点/对象</x:v>
      </x:c>
      <x:c r="E4" s="13" t="str">
        <x:v>判定标准</x:v>
      </x:c>
      <x:c r="F4" s="13" t="str">
        <x:v>属性</x:v>
      </x:c>
      <x:c r="G4" s="13" t="str">
        <x:v>阶段门</x:v>
      </x:c>
      <x:c r="H4" s="13" t="str">
        <x:v>责任组</x:v>
      </x:c>
    </x:row>
    <x:row r="5">
      <x:c r="A5" s="17" t="str">
        <x:v>PR01</x:v>
      </x:c>
      <x:c r="B5" s="17" t="str">
        <x:v>主要假设H1</x:v>
      </x:c>
      <x:c r="C5" s="17" t="str">
        <x:v>5 mT连续处理在15 d保持更高硬度</x:v>
      </x:c>
      <x:c r="D5" s="17" t="str">
        <x:v>15 d硬度</x:v>
      </x:c>
      <x:c r="E5" s="17" t="str">
        <x:v>组间差≥4 N且95%CI下限&gt;0</x:v>
      </x:c>
      <x:c r="F5" s="17" t="str">
        <x:v>确证</x:v>
      </x:c>
      <x:c r="G5" s="17" t="str">
        <x:v>G3</x:v>
      </x:c>
      <x:c r="H5" s="17" t="str">
        <x:v>统计组</x:v>
      </x:c>
    </x:row>
    <x:row r="6">
      <x:c r="A6" s="17" t="str">
        <x:v>PR02</x:v>
      </x:c>
      <x:c r="B6" s="17" t="str">
        <x:v>主要假设H2</x:v>
      </x:c>
      <x:c r="C6" s="17" t="str">
        <x:v>5 mT连续处理在15 d降低腐烂率</x:v>
      </x:c>
      <x:c r="D6" s="17" t="str">
        <x:v>15 d腐烂率</x:v>
      </x:c>
      <x:c r="E6" s="17" t="str">
        <x:v>绝对降低≥15个百分点且95%CI上限&lt;0</x:v>
      </x:c>
      <x:c r="F6" s="17" t="str">
        <x:v>确证</x:v>
      </x:c>
      <x:c r="G6" s="17" t="str">
        <x:v>G3</x:v>
      </x:c>
      <x:c r="H6" s="17" t="str">
        <x:v>统计组</x:v>
      </x:c>
    </x:row>
    <x:row r="7">
      <x:c r="A7" s="17" t="str">
        <x:v>PR03</x:v>
      </x:c>
      <x:c r="B7" s="17" t="str">
        <x:v>支持假设</x:v>
      </x:c>
      <x:c r="C7" s="17" t="str">
        <x:v>处理改善失重、颜色、果胶、微生物、感官和水分状态</x:v>
      </x:c>
      <x:c r="D7" s="17" t="str">
        <x:v>次要终点组</x:v>
      </x:c>
      <x:c r="E7" s="17" t="str">
        <x:v>方向一致并通过Holm校正</x:v>
      </x:c>
      <x:c r="F7" s="17" t="str">
        <x:v>支持</x:v>
      </x:c>
      <x:c r="G7" s="17" t="str">
        <x:v>G3</x:v>
      </x:c>
      <x:c r="H7" s="17" t="str">
        <x:v>统计组</x:v>
      </x:c>
    </x:row>
    <x:row r="8">
      <x:c r="A8" s="17" t="str">
        <x:v>PR04</x:v>
      </x:c>
      <x:c r="B8" s="17" t="str">
        <x:v>排除规则</x:v>
      </x:c>
      <x:c r="C8" s="17" t="str">
        <x:v>采前药害、机械伤、初始腐烂、标签断链、超出温度窗口</x:v>
      </x:c>
      <x:c r="D8" s="17" t="str">
        <x:v>样本排除</x:v>
      </x:c>
      <x:c r="E8" s="17" t="str">
        <x:v>盲态质量人员按规则判定</x:v>
      </x:c>
      <x:c r="F8" s="17" t="str">
        <x:v>质量</x:v>
      </x:c>
      <x:c r="G8" s="17" t="str">
        <x:v>G2</x:v>
      </x:c>
      <x:c r="H8" s="17" t="str">
        <x:v>质量组</x:v>
      </x:c>
    </x:row>
    <x:row r="9">
      <x:c r="A9" s="17" t="str">
        <x:v>PR05</x:v>
      </x:c>
      <x:c r="B9" s="17" t="str">
        <x:v>批次失败</x:v>
      </x:c>
      <x:c r="C9" s="17" t="str">
        <x:v>主要终点样本有效率&lt;85%或关键环境记录缺失&gt;5%</x:v>
      </x:c>
      <x:c r="D9" s="17" t="str">
        <x:v>批次有效性</x:v>
      </x:c>
      <x:c r="E9" s="17" t="str">
        <x:v>进入RCA，不直接合并入主分析</x:v>
      </x:c>
      <x:c r="F9" s="17" t="str">
        <x:v>质量</x:v>
      </x:c>
      <x:c r="G9" s="17" t="str">
        <x:v>G3</x:v>
      </x:c>
      <x:c r="H9" s="17" t="str">
        <x:v>质量组</x:v>
      </x:c>
    </x:row>
    <x:row r="10">
      <x:c r="A10" s="17" t="str">
        <x:v>PR06</x:v>
      </x:c>
      <x:c r="B10" s="17" t="str">
        <x:v>揭盲条件</x:v>
      </x:c>
      <x:c r="C10" s="17" t="str">
        <x:v>数据清理、查询关闭、排除清单和SAP版本锁定</x:v>
      </x:c>
      <x:c r="D10" s="17" t="str">
        <x:v>数据锁库</x:v>
      </x:c>
      <x:c r="E10" s="17" t="str">
        <x:v>统计、质量双签后揭盲</x:v>
      </x:c>
      <x:c r="F10" s="17" t="str">
        <x:v>治理</x:v>
      </x:c>
      <x:c r="G10" s="17" t="str">
        <x:v>G3</x:v>
      </x:c>
      <x:c r="H10" s="17" t="str">
        <x:v>质量组</x:v>
      </x:c>
    </x:row>
    <x:row r="11">
      <x:c r="A11" s="17" t="str">
        <x:v>PR07</x:v>
      </x:c>
      <x:c r="B11" s="17" t="str">
        <x:v>阶段继续</x:v>
      </x:c>
      <x:c r="C11" s="17" t="str">
        <x:v>两项主要终点中至少一项达到门槛且另一项方向不反转</x:v>
      </x:c>
      <x:c r="D11" s="17" t="str">
        <x:v>继续/停止</x:v>
      </x:c>
      <x:c r="E11" s="17" t="str">
        <x:v>跨基地异质性在预设范围内</x:v>
      </x:c>
      <x:c r="F11" s="17" t="str">
        <x:v>决策</x:v>
      </x:c>
      <x:c r="G11" s="17" t="str">
        <x:v>G3</x:v>
      </x:c>
      <x:c r="H11" s="17" t="str">
        <x:v>项目委员会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8" hidden="0" customWidth="1"/>
    <x:col min="4" max="4" width="18" hidden="0" customWidth="1"/>
    <x:col min="5" max="5" width="10" hidden="0" customWidth="1"/>
    <x:col min="6" max="6" width="14" hidden="0" customWidth="1"/>
    <x:col min="7" max="7" width="10" hidden="0" customWidth="1"/>
    <x:col min="8" max="8" width="14" hidden="0" customWidth="1"/>
    <x:col min="9" max="9" width="22" hidden="0" customWidth="1"/>
    <x:col min="10" max="10" width="12" hidden="0" customWidth="1"/>
    <x:col min="11" max="11" width="18" hidden="0" customWidth="1"/>
    <x:col min="12" max="12" width="16" hidden="0" customWidth="1"/>
    <x:col min="13" max="13" width="12" hidden="0" customWidth="1"/>
    <x:col min="14" max="14" width="20" hidden="0" customWidth="1"/>
  </x:cols>
  <x:sheetData>
    <x:row r="1" ht="30" customHeight="1">
      <x:c r="A1" s="3" t="str">
        <x:v>基地、品种与产季覆盖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四基地、两品种、两产季各设两个独立批次，共32个确证批次。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13" t="str">
        <x:v>批次ID</x:v>
      </x:c>
      <x:c r="B4" s="13" t="str">
        <x:v>基地ID</x:v>
      </x:c>
      <x:c r="C4" s="13" t="str">
        <x:v>基地</x:v>
      </x:c>
      <x:c r="D4" s="13" t="str">
        <x:v>气候区</x:v>
      </x:c>
      <x:c r="E4" s="13" t="str">
        <x:v>品种ID</x:v>
      </x:c>
      <x:c r="F4" s="13" t="str">
        <x:v>品种</x:v>
      </x:c>
      <x:c r="G4" s="13" t="str">
        <x:v>产季ID</x:v>
      </x:c>
      <x:c r="H4" s="13" t="str">
        <x:v>产季</x:v>
      </x:c>
      <x:c r="I4" s="13" t="str">
        <x:v>执行窗口</x:v>
      </x:c>
      <x:c r="J4" s="13" t="str">
        <x:v>独立批次</x:v>
      </x:c>
      <x:c r="K4" s="13" t="str">
        <x:v>冷库</x:v>
      </x:c>
      <x:c r="L4" s="13" t="str">
        <x:v>运输路线</x:v>
      </x:c>
      <x:c r="M4" s="13" t="str">
        <x:v>状态</x:v>
      </x:c>
      <x:c r="N4" s="13" t="str">
        <x:v>责任角色</x:v>
      </x:c>
    </x:row>
    <x:row r="5">
      <x:c r="A5" s="17" t="str">
        <x:v>B01-V01-S01-B1</x:v>
      </x:c>
      <x:c r="B5" s="17" t="str">
        <x:v>B01</x:v>
      </x:c>
      <x:c r="C5" s="17" t="str">
        <x:v>粤西基地</x:v>
      </x:c>
      <x:c r="D5" s="17" t="str">
        <x:v>沿海亚热带</x:v>
      </x:c>
      <x:c r="E5" s="17" t="str">
        <x:v>V01</x:v>
      </x:c>
      <x:c r="F5" s="17" t="str">
        <x:v>红颜</x:v>
      </x:c>
      <x:c r="G5" s="17" t="str">
        <x:v>S01</x:v>
      </x:c>
      <x:c r="H5" s="17" t="str">
        <x:v>冬春季</x:v>
      </x:c>
      <x:c r="I5" s="17" t="str">
        <x:v>2026-11至2027-03</x:v>
      </x:c>
      <x:c r="J5" s="17" t="n">
        <x:v>1</x:v>
      </x:c>
      <x:c r="K5" s="17" t="str">
        <x:v>商业冷库C01</x:v>
      </x:c>
      <x:c r="L5" s="17" t="str">
        <x:v>干线R01</x:v>
      </x:c>
      <x:c r="M5" s="17" t="str">
        <x:v>计划</x:v>
      </x:c>
      <x:c r="N5" s="17" t="str">
        <x:v>基地研发负责人</x:v>
      </x:c>
    </x:row>
    <x:row r="6">
      <x:c r="A6" s="17" t="str">
        <x:v>B01-V01-S01-B2</x:v>
      </x:c>
      <x:c r="B6" s="17" t="str">
        <x:v>B01</x:v>
      </x:c>
      <x:c r="C6" s="17" t="str">
        <x:v>粤西基地</x:v>
      </x:c>
      <x:c r="D6" s="17" t="str">
        <x:v>沿海亚热带</x:v>
      </x:c>
      <x:c r="E6" s="17" t="str">
        <x:v>V01</x:v>
      </x:c>
      <x:c r="F6" s="17" t="str">
        <x:v>红颜</x:v>
      </x:c>
      <x:c r="G6" s="17" t="str">
        <x:v>S01</x:v>
      </x:c>
      <x:c r="H6" s="17" t="str">
        <x:v>冬春季</x:v>
      </x:c>
      <x:c r="I6" s="17" t="str">
        <x:v>2026-11至2027-03</x:v>
      </x:c>
      <x:c r="J6" s="17" t="n">
        <x:v>2</x:v>
      </x:c>
      <x:c r="K6" s="17" t="str">
        <x:v>商业冷库C01</x:v>
      </x:c>
      <x:c r="L6" s="17" t="str">
        <x:v>干线R01</x:v>
      </x:c>
      <x:c r="M6" s="17" t="str">
        <x:v>计划</x:v>
      </x:c>
      <x:c r="N6" s="17" t="str">
        <x:v>基地研发负责人</x:v>
      </x:c>
    </x:row>
    <x:row r="7">
      <x:c r="A7" s="17" t="str">
        <x:v>B01-V01-S02-B1</x:v>
      </x:c>
      <x:c r="B7" s="17" t="str">
        <x:v>B01</x:v>
      </x:c>
      <x:c r="C7" s="17" t="str">
        <x:v>粤西基地</x:v>
      </x:c>
      <x:c r="D7" s="17" t="str">
        <x:v>沿海亚热带</x:v>
      </x:c>
      <x:c r="E7" s="17" t="str">
        <x:v>V01</x:v>
      </x:c>
      <x:c r="F7" s="17" t="str">
        <x:v>红颜</x:v>
      </x:c>
      <x:c r="G7" s="17" t="str">
        <x:v>S02</x:v>
      </x:c>
      <x:c r="H7" s="17" t="str">
        <x:v>春夏季</x:v>
      </x:c>
      <x:c r="I7" s="17" t="str">
        <x:v>2027-04至2027-07</x:v>
      </x:c>
      <x:c r="J7" s="17" t="n">
        <x:v>1</x:v>
      </x:c>
      <x:c r="K7" s="17" t="str">
        <x:v>商业冷库C01</x:v>
      </x:c>
      <x:c r="L7" s="17" t="str">
        <x:v>干线R01</x:v>
      </x:c>
      <x:c r="M7" s="17" t="str">
        <x:v>计划</x:v>
      </x:c>
      <x:c r="N7" s="17" t="str">
        <x:v>基地研发负责人</x:v>
      </x:c>
    </x:row>
    <x:row r="8">
      <x:c r="A8" s="17" t="str">
        <x:v>B01-V01-S02-B2</x:v>
      </x:c>
      <x:c r="B8" s="17" t="str">
        <x:v>B01</x:v>
      </x:c>
      <x:c r="C8" s="17" t="str">
        <x:v>粤西基地</x:v>
      </x:c>
      <x:c r="D8" s="17" t="str">
        <x:v>沿海亚热带</x:v>
      </x:c>
      <x:c r="E8" s="17" t="str">
        <x:v>V01</x:v>
      </x:c>
      <x:c r="F8" s="17" t="str">
        <x:v>红颜</x:v>
      </x:c>
      <x:c r="G8" s="17" t="str">
        <x:v>S02</x:v>
      </x:c>
      <x:c r="H8" s="17" t="str">
        <x:v>春夏季</x:v>
      </x:c>
      <x:c r="I8" s="17" t="str">
        <x:v>2027-04至2027-07</x:v>
      </x:c>
      <x:c r="J8" s="17" t="n">
        <x:v>2</x:v>
      </x:c>
      <x:c r="K8" s="17" t="str">
        <x:v>商业冷库C01</x:v>
      </x:c>
      <x:c r="L8" s="17" t="str">
        <x:v>干线R01</x:v>
      </x:c>
      <x:c r="M8" s="17" t="str">
        <x:v>计划</x:v>
      </x:c>
      <x:c r="N8" s="17" t="str">
        <x:v>基地研发负责人</x:v>
      </x:c>
    </x:row>
    <x:row r="9">
      <x:c r="A9" s="17" t="str">
        <x:v>B01-V02-S01-B1</x:v>
      </x:c>
      <x:c r="B9" s="17" t="str">
        <x:v>B01</x:v>
      </x:c>
      <x:c r="C9" s="17" t="str">
        <x:v>粤西基地</x:v>
      </x:c>
      <x:c r="D9" s="17" t="str">
        <x:v>沿海亚热带</x:v>
      </x:c>
      <x:c r="E9" s="17" t="str">
        <x:v>V02</x:v>
      </x:c>
      <x:c r="F9" s="17" t="str">
        <x:v>章姬</x:v>
      </x:c>
      <x:c r="G9" s="17" t="str">
        <x:v>S01</x:v>
      </x:c>
      <x:c r="H9" s="17" t="str">
        <x:v>冬春季</x:v>
      </x:c>
      <x:c r="I9" s="17" t="str">
        <x:v>2026-11至2027-03</x:v>
      </x:c>
      <x:c r="J9" s="17" t="n">
        <x:v>1</x:v>
      </x:c>
      <x:c r="K9" s="17" t="str">
        <x:v>商业冷库C01</x:v>
      </x:c>
      <x:c r="L9" s="17" t="str">
        <x:v>干线R01</x:v>
      </x:c>
      <x:c r="M9" s="17" t="str">
        <x:v>计划</x:v>
      </x:c>
      <x:c r="N9" s="17" t="str">
        <x:v>基地研发负责人</x:v>
      </x:c>
    </x:row>
    <x:row r="10">
      <x:c r="A10" s="17" t="str">
        <x:v>B01-V02-S01-B2</x:v>
      </x:c>
      <x:c r="B10" s="17" t="str">
        <x:v>B01</x:v>
      </x:c>
      <x:c r="C10" s="17" t="str">
        <x:v>粤西基地</x:v>
      </x:c>
      <x:c r="D10" s="17" t="str">
        <x:v>沿海亚热带</x:v>
      </x:c>
      <x:c r="E10" s="17" t="str">
        <x:v>V02</x:v>
      </x:c>
      <x:c r="F10" s="17" t="str">
        <x:v>章姬</x:v>
      </x:c>
      <x:c r="G10" s="17" t="str">
        <x:v>S01</x:v>
      </x:c>
      <x:c r="H10" s="17" t="str">
        <x:v>冬春季</x:v>
      </x:c>
      <x:c r="I10" s="17" t="str">
        <x:v>2026-11至2027-03</x:v>
      </x:c>
      <x:c r="J10" s="17" t="n">
        <x:v>2</x:v>
      </x:c>
      <x:c r="K10" s="17" t="str">
        <x:v>商业冷库C01</x:v>
      </x:c>
      <x:c r="L10" s="17" t="str">
        <x:v>干线R01</x:v>
      </x:c>
      <x:c r="M10" s="17" t="str">
        <x:v>计划</x:v>
      </x:c>
      <x:c r="N10" s="17" t="str">
        <x:v>基地研发负责人</x:v>
      </x:c>
    </x:row>
    <x:row r="11">
      <x:c r="A11" s="17" t="str">
        <x:v>B01-V02-S02-B1</x:v>
      </x:c>
      <x:c r="B11" s="17" t="str">
        <x:v>B01</x:v>
      </x:c>
      <x:c r="C11" s="17" t="str">
        <x:v>粤西基地</x:v>
      </x:c>
      <x:c r="D11" s="17" t="str">
        <x:v>沿海亚热带</x:v>
      </x:c>
      <x:c r="E11" s="17" t="str">
        <x:v>V02</x:v>
      </x:c>
      <x:c r="F11" s="17" t="str">
        <x:v>章姬</x:v>
      </x:c>
      <x:c r="G11" s="17" t="str">
        <x:v>S02</x:v>
      </x:c>
      <x:c r="H11" s="17" t="str">
        <x:v>春夏季</x:v>
      </x:c>
      <x:c r="I11" s="17" t="str">
        <x:v>2027-04至2027-07</x:v>
      </x:c>
      <x:c r="J11" s="17" t="n">
        <x:v>1</x:v>
      </x:c>
      <x:c r="K11" s="17" t="str">
        <x:v>商业冷库C01</x:v>
      </x:c>
      <x:c r="L11" s="17" t="str">
        <x:v>干线R01</x:v>
      </x:c>
      <x:c r="M11" s="17" t="str">
        <x:v>计划</x:v>
      </x:c>
      <x:c r="N11" s="17" t="str">
        <x:v>基地研发负责人</x:v>
      </x:c>
    </x:row>
    <x:row r="12">
      <x:c r="A12" s="17" t="str">
        <x:v>B01-V02-S02-B2</x:v>
      </x:c>
      <x:c r="B12" s="17" t="str">
        <x:v>B01</x:v>
      </x:c>
      <x:c r="C12" s="17" t="str">
        <x:v>粤西基地</x:v>
      </x:c>
      <x:c r="D12" s="17" t="str">
        <x:v>沿海亚热带</x:v>
      </x:c>
      <x:c r="E12" s="17" t="str">
        <x:v>V02</x:v>
      </x:c>
      <x:c r="F12" s="17" t="str">
        <x:v>章姬</x:v>
      </x:c>
      <x:c r="G12" s="17" t="str">
        <x:v>S02</x:v>
      </x:c>
      <x:c r="H12" s="17" t="str">
        <x:v>春夏季</x:v>
      </x:c>
      <x:c r="I12" s="17" t="str">
        <x:v>2027-04至2027-07</x:v>
      </x:c>
      <x:c r="J12" s="17" t="n">
        <x:v>2</x:v>
      </x:c>
      <x:c r="K12" s="17" t="str">
        <x:v>商业冷库C01</x:v>
      </x:c>
      <x:c r="L12" s="17" t="str">
        <x:v>干线R01</x:v>
      </x:c>
      <x:c r="M12" s="17" t="str">
        <x:v>计划</x:v>
      </x:c>
      <x:c r="N12" s="17" t="str">
        <x:v>基地研发负责人</x:v>
      </x:c>
    </x:row>
    <x:row r="13">
      <x:c r="A13" s="17" t="str">
        <x:v>B02-V01-S01-B1</x:v>
      </x:c>
      <x:c r="B13" s="17" t="str">
        <x:v>B02</x:v>
      </x:c>
      <x:c r="C13" s="17" t="str">
        <x:v>桂中基地</x:v>
      </x:c>
      <x:c r="D13" s="17" t="str">
        <x:v>丘陵亚热带</x:v>
      </x:c>
      <x:c r="E13" s="17" t="str">
        <x:v>V01</x:v>
      </x:c>
      <x:c r="F13" s="17" t="str">
        <x:v>红颜</x:v>
      </x:c>
      <x:c r="G13" s="17" t="str">
        <x:v>S01</x:v>
      </x:c>
      <x:c r="H13" s="17" t="str">
        <x:v>冬春季</x:v>
      </x:c>
      <x:c r="I13" s="17" t="str">
        <x:v>2026-11至2027-03</x:v>
      </x:c>
      <x:c r="J13" s="17" t="n">
        <x:v>1</x:v>
      </x:c>
      <x:c r="K13" s="17" t="str">
        <x:v>商业冷库C02</x:v>
      </x:c>
      <x:c r="L13" s="17" t="str">
        <x:v>干线R02</x:v>
      </x:c>
      <x:c r="M13" s="17" t="str">
        <x:v>计划</x:v>
      </x:c>
      <x:c r="N13" s="17" t="str">
        <x:v>基地研发负责人</x:v>
      </x:c>
    </x:row>
    <x:row r="14">
      <x:c r="A14" s="17" t="str">
        <x:v>B02-V01-S01-B2</x:v>
      </x:c>
      <x:c r="B14" s="17" t="str">
        <x:v>B02</x:v>
      </x:c>
      <x:c r="C14" s="17" t="str">
        <x:v>桂中基地</x:v>
      </x:c>
      <x:c r="D14" s="17" t="str">
        <x:v>丘陵亚热带</x:v>
      </x:c>
      <x:c r="E14" s="17" t="str">
        <x:v>V01</x:v>
      </x:c>
      <x:c r="F14" s="17" t="str">
        <x:v>红颜</x:v>
      </x:c>
      <x:c r="G14" s="17" t="str">
        <x:v>S01</x:v>
      </x:c>
      <x:c r="H14" s="17" t="str">
        <x:v>冬春季</x:v>
      </x:c>
      <x:c r="I14" s="17" t="str">
        <x:v>2026-11至2027-03</x:v>
      </x:c>
      <x:c r="J14" s="17" t="n">
        <x:v>2</x:v>
      </x:c>
      <x:c r="K14" s="17" t="str">
        <x:v>商业冷库C02</x:v>
      </x:c>
      <x:c r="L14" s="17" t="str">
        <x:v>干线R02</x:v>
      </x:c>
      <x:c r="M14" s="17" t="str">
        <x:v>计划</x:v>
      </x:c>
      <x:c r="N14" s="17" t="str">
        <x:v>基地研发负责人</x:v>
      </x:c>
    </x:row>
    <x:row r="15">
      <x:c r="A15" s="17" t="str">
        <x:v>B02-V01-S02-B1</x:v>
      </x:c>
      <x:c r="B15" s="17" t="str">
        <x:v>B02</x:v>
      </x:c>
      <x:c r="C15" s="17" t="str">
        <x:v>桂中基地</x:v>
      </x:c>
      <x:c r="D15" s="17" t="str">
        <x:v>丘陵亚热带</x:v>
      </x:c>
      <x:c r="E15" s="17" t="str">
        <x:v>V01</x:v>
      </x:c>
      <x:c r="F15" s="17" t="str">
        <x:v>红颜</x:v>
      </x:c>
      <x:c r="G15" s="17" t="str">
        <x:v>S02</x:v>
      </x:c>
      <x:c r="H15" s="17" t="str">
        <x:v>春夏季</x:v>
      </x:c>
      <x:c r="I15" s="17" t="str">
        <x:v>2027-04至2027-07</x:v>
      </x:c>
      <x:c r="J15" s="17" t="n">
        <x:v>1</x:v>
      </x:c>
      <x:c r="K15" s="17" t="str">
        <x:v>商业冷库C02</x:v>
      </x:c>
      <x:c r="L15" s="17" t="str">
        <x:v>干线R02</x:v>
      </x:c>
      <x:c r="M15" s="17" t="str">
        <x:v>计划</x:v>
      </x:c>
      <x:c r="N15" s="17" t="str">
        <x:v>基地研发负责人</x:v>
      </x:c>
    </x:row>
    <x:row r="16">
      <x:c r="A16" s="17" t="str">
        <x:v>B02-V01-S02-B2</x:v>
      </x:c>
      <x:c r="B16" s="17" t="str">
        <x:v>B02</x:v>
      </x:c>
      <x:c r="C16" s="17" t="str">
        <x:v>桂中基地</x:v>
      </x:c>
      <x:c r="D16" s="17" t="str">
        <x:v>丘陵亚热带</x:v>
      </x:c>
      <x:c r="E16" s="17" t="str">
        <x:v>V01</x:v>
      </x:c>
      <x:c r="F16" s="17" t="str">
        <x:v>红颜</x:v>
      </x:c>
      <x:c r="G16" s="17" t="str">
        <x:v>S02</x:v>
      </x:c>
      <x:c r="H16" s="17" t="str">
        <x:v>春夏季</x:v>
      </x:c>
      <x:c r="I16" s="17" t="str">
        <x:v>2027-04至2027-07</x:v>
      </x:c>
      <x:c r="J16" s="17" t="n">
        <x:v>2</x:v>
      </x:c>
      <x:c r="K16" s="17" t="str">
        <x:v>商业冷库C02</x:v>
      </x:c>
      <x:c r="L16" s="17" t="str">
        <x:v>干线R02</x:v>
      </x:c>
      <x:c r="M16" s="17" t="str">
        <x:v>计划</x:v>
      </x:c>
      <x:c r="N16" s="17" t="str">
        <x:v>基地研发负责人</x:v>
      </x:c>
    </x:row>
    <x:row r="17">
      <x:c r="A17" s="17" t="str">
        <x:v>B02-V02-S01-B1</x:v>
      </x:c>
      <x:c r="B17" s="17" t="str">
        <x:v>B02</x:v>
      </x:c>
      <x:c r="C17" s="17" t="str">
        <x:v>桂中基地</x:v>
      </x:c>
      <x:c r="D17" s="17" t="str">
        <x:v>丘陵亚热带</x:v>
      </x:c>
      <x:c r="E17" s="17" t="str">
        <x:v>V02</x:v>
      </x:c>
      <x:c r="F17" s="17" t="str">
        <x:v>章姬</x:v>
      </x:c>
      <x:c r="G17" s="17" t="str">
        <x:v>S01</x:v>
      </x:c>
      <x:c r="H17" s="17" t="str">
        <x:v>冬春季</x:v>
      </x:c>
      <x:c r="I17" s="17" t="str">
        <x:v>2026-11至2027-03</x:v>
      </x:c>
      <x:c r="J17" s="17" t="n">
        <x:v>1</x:v>
      </x:c>
      <x:c r="K17" s="17" t="str">
        <x:v>商业冷库C02</x:v>
      </x:c>
      <x:c r="L17" s="17" t="str">
        <x:v>干线R02</x:v>
      </x:c>
      <x:c r="M17" s="17" t="str">
        <x:v>计划</x:v>
      </x:c>
      <x:c r="N17" s="17" t="str">
        <x:v>基地研发负责人</x:v>
      </x:c>
    </x:row>
    <x:row r="18">
      <x:c r="A18" s="17" t="str">
        <x:v>B02-V02-S01-B2</x:v>
      </x:c>
      <x:c r="B18" s="17" t="str">
        <x:v>B02</x:v>
      </x:c>
      <x:c r="C18" s="17" t="str">
        <x:v>桂中基地</x:v>
      </x:c>
      <x:c r="D18" s="17" t="str">
        <x:v>丘陵亚热带</x:v>
      </x:c>
      <x:c r="E18" s="17" t="str">
        <x:v>V02</x:v>
      </x:c>
      <x:c r="F18" s="17" t="str">
        <x:v>章姬</x:v>
      </x:c>
      <x:c r="G18" s="17" t="str">
        <x:v>S01</x:v>
      </x:c>
      <x:c r="H18" s="17" t="str">
        <x:v>冬春季</x:v>
      </x:c>
      <x:c r="I18" s="17" t="str">
        <x:v>2026-11至2027-03</x:v>
      </x:c>
      <x:c r="J18" s="17" t="n">
        <x:v>2</x:v>
      </x:c>
      <x:c r="K18" s="17" t="str">
        <x:v>商业冷库C02</x:v>
      </x:c>
      <x:c r="L18" s="17" t="str">
        <x:v>干线R02</x:v>
      </x:c>
      <x:c r="M18" s="17" t="str">
        <x:v>计划</x:v>
      </x:c>
      <x:c r="N18" s="17" t="str">
        <x:v>基地研发负责人</x:v>
      </x:c>
    </x:row>
    <x:row r="19">
      <x:c r="A19" s="17" t="str">
        <x:v>B02-V02-S02-B1</x:v>
      </x:c>
      <x:c r="B19" s="17" t="str">
        <x:v>B02</x:v>
      </x:c>
      <x:c r="C19" s="17" t="str">
        <x:v>桂中基地</x:v>
      </x:c>
      <x:c r="D19" s="17" t="str">
        <x:v>丘陵亚热带</x:v>
      </x:c>
      <x:c r="E19" s="17" t="str">
        <x:v>V02</x:v>
      </x:c>
      <x:c r="F19" s="17" t="str">
        <x:v>章姬</x:v>
      </x:c>
      <x:c r="G19" s="17" t="str">
        <x:v>S02</x:v>
      </x:c>
      <x:c r="H19" s="17" t="str">
        <x:v>春夏季</x:v>
      </x:c>
      <x:c r="I19" s="17" t="str">
        <x:v>2027-04至2027-07</x:v>
      </x:c>
      <x:c r="J19" s="17" t="n">
        <x:v>1</x:v>
      </x:c>
      <x:c r="K19" s="17" t="str">
        <x:v>商业冷库C02</x:v>
      </x:c>
      <x:c r="L19" s="17" t="str">
        <x:v>干线R02</x:v>
      </x:c>
      <x:c r="M19" s="17" t="str">
        <x:v>计划</x:v>
      </x:c>
      <x:c r="N19" s="17" t="str">
        <x:v>基地研发负责人</x:v>
      </x:c>
    </x:row>
    <x:row r="20">
      <x:c r="A20" s="17" t="str">
        <x:v>B02-V02-S02-B2</x:v>
      </x:c>
      <x:c r="B20" s="17" t="str">
        <x:v>B02</x:v>
      </x:c>
      <x:c r="C20" s="17" t="str">
        <x:v>桂中基地</x:v>
      </x:c>
      <x:c r="D20" s="17" t="str">
        <x:v>丘陵亚热带</x:v>
      </x:c>
      <x:c r="E20" s="17" t="str">
        <x:v>V02</x:v>
      </x:c>
      <x:c r="F20" s="17" t="str">
        <x:v>章姬</x:v>
      </x:c>
      <x:c r="G20" s="17" t="str">
        <x:v>S02</x:v>
      </x:c>
      <x:c r="H20" s="17" t="str">
        <x:v>春夏季</x:v>
      </x:c>
      <x:c r="I20" s="17" t="str">
        <x:v>2027-04至2027-07</x:v>
      </x:c>
      <x:c r="J20" s="17" t="n">
        <x:v>2</x:v>
      </x:c>
      <x:c r="K20" s="17" t="str">
        <x:v>商业冷库C02</x:v>
      </x:c>
      <x:c r="L20" s="17" t="str">
        <x:v>干线R02</x:v>
      </x:c>
      <x:c r="M20" s="17" t="str">
        <x:v>计划</x:v>
      </x:c>
      <x:c r="N20" s="17" t="str">
        <x:v>基地研发负责人</x:v>
      </x:c>
    </x:row>
    <x:row r="21">
      <x:c r="A21" s="17" t="str">
        <x:v>B03-V01-S01-B1</x:v>
      </x:c>
      <x:c r="B21" s="17" t="str">
        <x:v>B03</x:v>
      </x:c>
      <x:c r="C21" s="17" t="str">
        <x:v>滇中基地</x:v>
      </x:c>
      <x:c r="D21" s="17" t="str">
        <x:v>高原温带</x:v>
      </x:c>
      <x:c r="E21" s="17" t="str">
        <x:v>V01</x:v>
      </x:c>
      <x:c r="F21" s="17" t="str">
        <x:v>红颜</x:v>
      </x:c>
      <x:c r="G21" s="17" t="str">
        <x:v>S01</x:v>
      </x:c>
      <x:c r="H21" s="17" t="str">
        <x:v>冬春季</x:v>
      </x:c>
      <x:c r="I21" s="17" t="str">
        <x:v>2026-11至2027-03</x:v>
      </x:c>
      <x:c r="J21" s="17" t="n">
        <x:v>1</x:v>
      </x:c>
      <x:c r="K21" s="17" t="str">
        <x:v>商业冷库C03</x:v>
      </x:c>
      <x:c r="L21" s="17" t="str">
        <x:v>干线R03</x:v>
      </x:c>
      <x:c r="M21" s="17" t="str">
        <x:v>计划</x:v>
      </x:c>
      <x:c r="N21" s="17" t="str">
        <x:v>基地研发负责人</x:v>
      </x:c>
    </x:row>
    <x:row r="22">
      <x:c r="A22" s="17" t="str">
        <x:v>B03-V01-S01-B2</x:v>
      </x:c>
      <x:c r="B22" s="17" t="str">
        <x:v>B03</x:v>
      </x:c>
      <x:c r="C22" s="17" t="str">
        <x:v>滇中基地</x:v>
      </x:c>
      <x:c r="D22" s="17" t="str">
        <x:v>高原温带</x:v>
      </x:c>
      <x:c r="E22" s="17" t="str">
        <x:v>V01</x:v>
      </x:c>
      <x:c r="F22" s="17" t="str">
        <x:v>红颜</x:v>
      </x:c>
      <x:c r="G22" s="17" t="str">
        <x:v>S01</x:v>
      </x:c>
      <x:c r="H22" s="17" t="str">
        <x:v>冬春季</x:v>
      </x:c>
      <x:c r="I22" s="17" t="str">
        <x:v>2026-11至2027-03</x:v>
      </x:c>
      <x:c r="J22" s="17" t="n">
        <x:v>2</x:v>
      </x:c>
      <x:c r="K22" s="17" t="str">
        <x:v>商业冷库C03</x:v>
      </x:c>
      <x:c r="L22" s="17" t="str">
        <x:v>干线R03</x:v>
      </x:c>
      <x:c r="M22" s="17" t="str">
        <x:v>计划</x:v>
      </x:c>
      <x:c r="N22" s="17" t="str">
        <x:v>基地研发负责人</x:v>
      </x:c>
    </x:row>
    <x:row r="23">
      <x:c r="A23" s="17" t="str">
        <x:v>B03-V01-S02-B1</x:v>
      </x:c>
      <x:c r="B23" s="17" t="str">
        <x:v>B03</x:v>
      </x:c>
      <x:c r="C23" s="17" t="str">
        <x:v>滇中基地</x:v>
      </x:c>
      <x:c r="D23" s="17" t="str">
        <x:v>高原温带</x:v>
      </x:c>
      <x:c r="E23" s="17" t="str">
        <x:v>V01</x:v>
      </x:c>
      <x:c r="F23" s="17" t="str">
        <x:v>红颜</x:v>
      </x:c>
      <x:c r="G23" s="17" t="str">
        <x:v>S02</x:v>
      </x:c>
      <x:c r="H23" s="17" t="str">
        <x:v>春夏季</x:v>
      </x:c>
      <x:c r="I23" s="17" t="str">
        <x:v>2027-04至2027-07</x:v>
      </x:c>
      <x:c r="J23" s="17" t="n">
        <x:v>1</x:v>
      </x:c>
      <x:c r="K23" s="17" t="str">
        <x:v>商业冷库C03</x:v>
      </x:c>
      <x:c r="L23" s="17" t="str">
        <x:v>干线R03</x:v>
      </x:c>
      <x:c r="M23" s="17" t="str">
        <x:v>计划</x:v>
      </x:c>
      <x:c r="N23" s="17" t="str">
        <x:v>基地研发负责人</x:v>
      </x:c>
    </x:row>
    <x:row r="24">
      <x:c r="A24" s="17" t="str">
        <x:v>B03-V01-S02-B2</x:v>
      </x:c>
      <x:c r="B24" s="17" t="str">
        <x:v>B03</x:v>
      </x:c>
      <x:c r="C24" s="17" t="str">
        <x:v>滇中基地</x:v>
      </x:c>
      <x:c r="D24" s="17" t="str">
        <x:v>高原温带</x:v>
      </x:c>
      <x:c r="E24" s="17" t="str">
        <x:v>V01</x:v>
      </x:c>
      <x:c r="F24" s="17" t="str">
        <x:v>红颜</x:v>
      </x:c>
      <x:c r="G24" s="17" t="str">
        <x:v>S02</x:v>
      </x:c>
      <x:c r="H24" s="17" t="str">
        <x:v>春夏季</x:v>
      </x:c>
      <x:c r="I24" s="17" t="str">
        <x:v>2027-04至2027-07</x:v>
      </x:c>
      <x:c r="J24" s="17" t="n">
        <x:v>2</x:v>
      </x:c>
      <x:c r="K24" s="17" t="str">
        <x:v>商业冷库C03</x:v>
      </x:c>
      <x:c r="L24" s="17" t="str">
        <x:v>干线R03</x:v>
      </x:c>
      <x:c r="M24" s="17" t="str">
        <x:v>计划</x:v>
      </x:c>
      <x:c r="N24" s="17" t="str">
        <x:v>基地研发负责人</x:v>
      </x:c>
    </x:row>
    <x:row r="25">
      <x:c r="A25" s="17" t="str">
        <x:v>B03-V02-S01-B1</x:v>
      </x:c>
      <x:c r="B25" s="17" t="str">
        <x:v>B03</x:v>
      </x:c>
      <x:c r="C25" s="17" t="str">
        <x:v>滇中基地</x:v>
      </x:c>
      <x:c r="D25" s="17" t="str">
        <x:v>高原温带</x:v>
      </x:c>
      <x:c r="E25" s="17" t="str">
        <x:v>V02</x:v>
      </x:c>
      <x:c r="F25" s="17" t="str">
        <x:v>章姬</x:v>
      </x:c>
      <x:c r="G25" s="17" t="str">
        <x:v>S01</x:v>
      </x:c>
      <x:c r="H25" s="17" t="str">
        <x:v>冬春季</x:v>
      </x:c>
      <x:c r="I25" s="17" t="str">
        <x:v>2026-11至2027-03</x:v>
      </x:c>
      <x:c r="J25" s="17" t="n">
        <x:v>1</x:v>
      </x:c>
      <x:c r="K25" s="17" t="str">
        <x:v>商业冷库C03</x:v>
      </x:c>
      <x:c r="L25" s="17" t="str">
        <x:v>干线R03</x:v>
      </x:c>
      <x:c r="M25" s="17" t="str">
        <x:v>计划</x:v>
      </x:c>
      <x:c r="N25" s="17" t="str">
        <x:v>基地研发负责人</x:v>
      </x:c>
    </x:row>
    <x:row r="26">
      <x:c r="A26" s="17" t="str">
        <x:v>B03-V02-S01-B2</x:v>
      </x:c>
      <x:c r="B26" s="17" t="str">
        <x:v>B03</x:v>
      </x:c>
      <x:c r="C26" s="17" t="str">
        <x:v>滇中基地</x:v>
      </x:c>
      <x:c r="D26" s="17" t="str">
        <x:v>高原温带</x:v>
      </x:c>
      <x:c r="E26" s="17" t="str">
        <x:v>V02</x:v>
      </x:c>
      <x:c r="F26" s="17" t="str">
        <x:v>章姬</x:v>
      </x:c>
      <x:c r="G26" s="17" t="str">
        <x:v>S01</x:v>
      </x:c>
      <x:c r="H26" s="17" t="str">
        <x:v>冬春季</x:v>
      </x:c>
      <x:c r="I26" s="17" t="str">
        <x:v>2026-11至2027-03</x:v>
      </x:c>
      <x:c r="J26" s="17" t="n">
        <x:v>2</x:v>
      </x:c>
      <x:c r="K26" s="17" t="str">
        <x:v>商业冷库C03</x:v>
      </x:c>
      <x:c r="L26" s="17" t="str">
        <x:v>干线R03</x:v>
      </x:c>
      <x:c r="M26" s="17" t="str">
        <x:v>计划</x:v>
      </x:c>
      <x:c r="N26" s="17" t="str">
        <x:v>基地研发负责人</x:v>
      </x:c>
    </x:row>
    <x:row r="27">
      <x:c r="A27" s="17" t="str">
        <x:v>B03-V02-S02-B1</x:v>
      </x:c>
      <x:c r="B27" s="17" t="str">
        <x:v>B03</x:v>
      </x:c>
      <x:c r="C27" s="17" t="str">
        <x:v>滇中基地</x:v>
      </x:c>
      <x:c r="D27" s="17" t="str">
        <x:v>高原温带</x:v>
      </x:c>
      <x:c r="E27" s="17" t="str">
        <x:v>V02</x:v>
      </x:c>
      <x:c r="F27" s="17" t="str">
        <x:v>章姬</x:v>
      </x:c>
      <x:c r="G27" s="17" t="str">
        <x:v>S02</x:v>
      </x:c>
      <x:c r="H27" s="17" t="str">
        <x:v>春夏季</x:v>
      </x:c>
      <x:c r="I27" s="17" t="str">
        <x:v>2027-04至2027-07</x:v>
      </x:c>
      <x:c r="J27" s="17" t="n">
        <x:v>1</x:v>
      </x:c>
      <x:c r="K27" s="17" t="str">
        <x:v>商业冷库C03</x:v>
      </x:c>
      <x:c r="L27" s="17" t="str">
        <x:v>干线R03</x:v>
      </x:c>
      <x:c r="M27" s="17" t="str">
        <x:v>计划</x:v>
      </x:c>
      <x:c r="N27" s="17" t="str">
        <x:v>基地研发负责人</x:v>
      </x:c>
    </x:row>
    <x:row r="28">
      <x:c r="A28" s="17" t="str">
        <x:v>B03-V02-S02-B2</x:v>
      </x:c>
      <x:c r="B28" s="17" t="str">
        <x:v>B03</x:v>
      </x:c>
      <x:c r="C28" s="17" t="str">
        <x:v>滇中基地</x:v>
      </x:c>
      <x:c r="D28" s="17" t="str">
        <x:v>高原温带</x:v>
      </x:c>
      <x:c r="E28" s="17" t="str">
        <x:v>V02</x:v>
      </x:c>
      <x:c r="F28" s="17" t="str">
        <x:v>章姬</x:v>
      </x:c>
      <x:c r="G28" s="17" t="str">
        <x:v>S02</x:v>
      </x:c>
      <x:c r="H28" s="17" t="str">
        <x:v>春夏季</x:v>
      </x:c>
      <x:c r="I28" s="17" t="str">
        <x:v>2027-04至2027-07</x:v>
      </x:c>
      <x:c r="J28" s="17" t="n">
        <x:v>2</x:v>
      </x:c>
      <x:c r="K28" s="17" t="str">
        <x:v>商业冷库C03</x:v>
      </x:c>
      <x:c r="L28" s="17" t="str">
        <x:v>干线R03</x:v>
      </x:c>
      <x:c r="M28" s="17" t="str">
        <x:v>计划</x:v>
      </x:c>
      <x:c r="N28" s="17" t="str">
        <x:v>基地研发负责人</x:v>
      </x:c>
    </x:row>
    <x:row r="29">
      <x:c r="A29" s="17" t="str">
        <x:v>B04-V01-S01-B1</x:v>
      </x:c>
      <x:c r="B29" s="17" t="str">
        <x:v>B04</x:v>
      </x:c>
      <x:c r="C29" s="17" t="str">
        <x:v>川西基地</x:v>
      </x:c>
      <x:c r="D29" s="17" t="str">
        <x:v>盆地湿润区</x:v>
      </x:c>
      <x:c r="E29" s="17" t="str">
        <x:v>V01</x:v>
      </x:c>
      <x:c r="F29" s="17" t="str">
        <x:v>红颜</x:v>
      </x:c>
      <x:c r="G29" s="17" t="str">
        <x:v>S01</x:v>
      </x:c>
      <x:c r="H29" s="17" t="str">
        <x:v>冬春季</x:v>
      </x:c>
      <x:c r="I29" s="17" t="str">
        <x:v>2026-11至2027-03</x:v>
      </x:c>
      <x:c r="J29" s="17" t="n">
        <x:v>1</x:v>
      </x:c>
      <x:c r="K29" s="17" t="str">
        <x:v>商业冷库C04</x:v>
      </x:c>
      <x:c r="L29" s="17" t="str">
        <x:v>干线R04</x:v>
      </x:c>
      <x:c r="M29" s="17" t="str">
        <x:v>计划</x:v>
      </x:c>
      <x:c r="N29" s="17" t="str">
        <x:v>基地研发负责人</x:v>
      </x:c>
    </x:row>
    <x:row r="30">
      <x:c r="A30" s="17" t="str">
        <x:v>B04-V01-S01-B2</x:v>
      </x:c>
      <x:c r="B30" s="17" t="str">
        <x:v>B04</x:v>
      </x:c>
      <x:c r="C30" s="17" t="str">
        <x:v>川西基地</x:v>
      </x:c>
      <x:c r="D30" s="17" t="str">
        <x:v>盆地湿润区</x:v>
      </x:c>
      <x:c r="E30" s="17" t="str">
        <x:v>V01</x:v>
      </x:c>
      <x:c r="F30" s="17" t="str">
        <x:v>红颜</x:v>
      </x:c>
      <x:c r="G30" s="17" t="str">
        <x:v>S01</x:v>
      </x:c>
      <x:c r="H30" s="17" t="str">
        <x:v>冬春季</x:v>
      </x:c>
      <x:c r="I30" s="17" t="str">
        <x:v>2026-11至2027-03</x:v>
      </x:c>
      <x:c r="J30" s="17" t="n">
        <x:v>2</x:v>
      </x:c>
      <x:c r="K30" s="17" t="str">
        <x:v>商业冷库C04</x:v>
      </x:c>
      <x:c r="L30" s="17" t="str">
        <x:v>干线R04</x:v>
      </x:c>
      <x:c r="M30" s="17" t="str">
        <x:v>计划</x:v>
      </x:c>
      <x:c r="N30" s="17" t="str">
        <x:v>基地研发负责人</x:v>
      </x:c>
    </x:row>
    <x:row r="31">
      <x:c r="A31" s="17" t="str">
        <x:v>B04-V01-S02-B1</x:v>
      </x:c>
      <x:c r="B31" s="17" t="str">
        <x:v>B04</x:v>
      </x:c>
      <x:c r="C31" s="17" t="str">
        <x:v>川西基地</x:v>
      </x:c>
      <x:c r="D31" s="17" t="str">
        <x:v>盆地湿润区</x:v>
      </x:c>
      <x:c r="E31" s="17" t="str">
        <x:v>V01</x:v>
      </x:c>
      <x:c r="F31" s="17" t="str">
        <x:v>红颜</x:v>
      </x:c>
      <x:c r="G31" s="17" t="str">
        <x:v>S02</x:v>
      </x:c>
      <x:c r="H31" s="17" t="str">
        <x:v>春夏季</x:v>
      </x:c>
      <x:c r="I31" s="17" t="str">
        <x:v>2027-04至2027-07</x:v>
      </x:c>
      <x:c r="J31" s="17" t="n">
        <x:v>1</x:v>
      </x:c>
      <x:c r="K31" s="17" t="str">
        <x:v>商业冷库C04</x:v>
      </x:c>
      <x:c r="L31" s="17" t="str">
        <x:v>干线R04</x:v>
      </x:c>
      <x:c r="M31" s="17" t="str">
        <x:v>计划</x:v>
      </x:c>
      <x:c r="N31" s="17" t="str">
        <x:v>基地研发负责人</x:v>
      </x:c>
    </x:row>
    <x:row r="32">
      <x:c r="A32" s="17" t="str">
        <x:v>B04-V01-S02-B2</x:v>
      </x:c>
      <x:c r="B32" s="17" t="str">
        <x:v>B04</x:v>
      </x:c>
      <x:c r="C32" s="17" t="str">
        <x:v>川西基地</x:v>
      </x:c>
      <x:c r="D32" s="17" t="str">
        <x:v>盆地湿润区</x:v>
      </x:c>
      <x:c r="E32" s="17" t="str">
        <x:v>V01</x:v>
      </x:c>
      <x:c r="F32" s="17" t="str">
        <x:v>红颜</x:v>
      </x:c>
      <x:c r="G32" s="17" t="str">
        <x:v>S02</x:v>
      </x:c>
      <x:c r="H32" s="17" t="str">
        <x:v>春夏季</x:v>
      </x:c>
      <x:c r="I32" s="17" t="str">
        <x:v>2027-04至2027-07</x:v>
      </x:c>
      <x:c r="J32" s="17" t="n">
        <x:v>2</x:v>
      </x:c>
      <x:c r="K32" s="17" t="str">
        <x:v>商业冷库C04</x:v>
      </x:c>
      <x:c r="L32" s="17" t="str">
        <x:v>干线R04</x:v>
      </x:c>
      <x:c r="M32" s="17" t="str">
        <x:v>计划</x:v>
      </x:c>
      <x:c r="N32" s="17" t="str">
        <x:v>基地研发负责人</x:v>
      </x:c>
    </x:row>
    <x:row r="33">
      <x:c r="A33" s="17" t="str">
        <x:v>B04-V02-S01-B1</x:v>
      </x:c>
      <x:c r="B33" s="17" t="str">
        <x:v>B04</x:v>
      </x:c>
      <x:c r="C33" s="17" t="str">
        <x:v>川西基地</x:v>
      </x:c>
      <x:c r="D33" s="17" t="str">
        <x:v>盆地湿润区</x:v>
      </x:c>
      <x:c r="E33" s="17" t="str">
        <x:v>V02</x:v>
      </x:c>
      <x:c r="F33" s="17" t="str">
        <x:v>章姬</x:v>
      </x:c>
      <x:c r="G33" s="17" t="str">
        <x:v>S01</x:v>
      </x:c>
      <x:c r="H33" s="17" t="str">
        <x:v>冬春季</x:v>
      </x:c>
      <x:c r="I33" s="17" t="str">
        <x:v>2026-11至2027-03</x:v>
      </x:c>
      <x:c r="J33" s="17" t="n">
        <x:v>1</x:v>
      </x:c>
      <x:c r="K33" s="17" t="str">
        <x:v>商业冷库C04</x:v>
      </x:c>
      <x:c r="L33" s="17" t="str">
        <x:v>干线R04</x:v>
      </x:c>
      <x:c r="M33" s="17" t="str">
        <x:v>计划</x:v>
      </x:c>
      <x:c r="N33" s="17" t="str">
        <x:v>基地研发负责人</x:v>
      </x:c>
    </x:row>
    <x:row r="34">
      <x:c r="A34" s="17" t="str">
        <x:v>B04-V02-S01-B2</x:v>
      </x:c>
      <x:c r="B34" s="17" t="str">
        <x:v>B04</x:v>
      </x:c>
      <x:c r="C34" s="17" t="str">
        <x:v>川西基地</x:v>
      </x:c>
      <x:c r="D34" s="17" t="str">
        <x:v>盆地湿润区</x:v>
      </x:c>
      <x:c r="E34" s="17" t="str">
        <x:v>V02</x:v>
      </x:c>
      <x:c r="F34" s="17" t="str">
        <x:v>章姬</x:v>
      </x:c>
      <x:c r="G34" s="17" t="str">
        <x:v>S01</x:v>
      </x:c>
      <x:c r="H34" s="17" t="str">
        <x:v>冬春季</x:v>
      </x:c>
      <x:c r="I34" s="17" t="str">
        <x:v>2026-11至2027-03</x:v>
      </x:c>
      <x:c r="J34" s="17" t="n">
        <x:v>2</x:v>
      </x:c>
      <x:c r="K34" s="17" t="str">
        <x:v>商业冷库C04</x:v>
      </x:c>
      <x:c r="L34" s="17" t="str">
        <x:v>干线R04</x:v>
      </x:c>
      <x:c r="M34" s="17" t="str">
        <x:v>计划</x:v>
      </x:c>
      <x:c r="N34" s="17" t="str">
        <x:v>基地研发负责人</x:v>
      </x:c>
    </x:row>
    <x:row r="35">
      <x:c r="A35" s="17" t="str">
        <x:v>B04-V02-S02-B1</x:v>
      </x:c>
      <x:c r="B35" s="17" t="str">
        <x:v>B04</x:v>
      </x:c>
      <x:c r="C35" s="17" t="str">
        <x:v>川西基地</x:v>
      </x:c>
      <x:c r="D35" s="17" t="str">
        <x:v>盆地湿润区</x:v>
      </x:c>
      <x:c r="E35" s="17" t="str">
        <x:v>V02</x:v>
      </x:c>
      <x:c r="F35" s="17" t="str">
        <x:v>章姬</x:v>
      </x:c>
      <x:c r="G35" s="17" t="str">
        <x:v>S02</x:v>
      </x:c>
      <x:c r="H35" s="17" t="str">
        <x:v>春夏季</x:v>
      </x:c>
      <x:c r="I35" s="17" t="str">
        <x:v>2027-04至2027-07</x:v>
      </x:c>
      <x:c r="J35" s="17" t="n">
        <x:v>1</x:v>
      </x:c>
      <x:c r="K35" s="17" t="str">
        <x:v>商业冷库C04</x:v>
      </x:c>
      <x:c r="L35" s="17" t="str">
        <x:v>干线R04</x:v>
      </x:c>
      <x:c r="M35" s="17" t="str">
        <x:v>计划</x:v>
      </x:c>
      <x:c r="N35" s="17" t="str">
        <x:v>基地研发负责人</x:v>
      </x:c>
    </x:row>
    <x:row r="36">
      <x:c r="A36" s="17" t="str">
        <x:v>B04-V02-S02-B2</x:v>
      </x:c>
      <x:c r="B36" s="17" t="str">
        <x:v>B04</x:v>
      </x:c>
      <x:c r="C36" s="17" t="str">
        <x:v>川西基地</x:v>
      </x:c>
      <x:c r="D36" s="17" t="str">
        <x:v>盆地湿润区</x:v>
      </x:c>
      <x:c r="E36" s="17" t="str">
        <x:v>V02</x:v>
      </x:c>
      <x:c r="F36" s="17" t="str">
        <x:v>章姬</x:v>
      </x:c>
      <x:c r="G36" s="17" t="str">
        <x:v>S02</x:v>
      </x:c>
      <x:c r="H36" s="17" t="str">
        <x:v>春夏季</x:v>
      </x:c>
      <x:c r="I36" s="17" t="str">
        <x:v>2027-04至2027-07</x:v>
      </x:c>
      <x:c r="J36" s="17" t="n">
        <x:v>2</x:v>
      </x:c>
      <x:c r="K36" s="17" t="str">
        <x:v>商业冷库C04</x:v>
      </x:c>
      <x:c r="L36" s="17" t="str">
        <x:v>干线R04</x:v>
      </x:c>
      <x:c r="M36" s="17" t="str">
        <x:v>计划</x:v>
      </x:c>
      <x:c r="N36" s="17" t="str">
        <x:v>基地研发负责人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7699a83d0539498f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6" hidden="0" customWidth="1"/>
    <x:col min="4" max="4" width="12" hidden="0" customWidth="1"/>
    <x:col min="5" max="5" width="42" hidden="0" customWidth="1"/>
    <x:col min="6" max="6" width="30" hidden="0" customWidth="1"/>
    <x:col min="7" max="7" width="18" hidden="0" customWidth="1"/>
  </x:cols>
  <x:sheetData>
    <x:row r="1" ht="30" customHeight="1">
      <x:c r="A1" s="3" t="str">
        <x:v>样本量与损耗冗余</x:v>
      </x:c>
      <x:c r="B1" s="3"/>
      <x:c r="C1" s="3"/>
      <x:c r="D1" s="3"/>
      <x:c r="E1" s="3"/>
      <x:c r="F1" s="3"/>
      <x:c r="G1" s="3"/>
    </x:row>
    <x:row r="2" ht="34" customHeight="1">
      <x:c r="A2" s="7" t="str">
        <x:v>硬度最小有意义差异4 N，调整后最低22个独立批次；项目计划32个批次。</x:v>
      </x:c>
      <x:c r="B2" s="7"/>
      <x:c r="C2" s="7"/>
      <x:c r="D2" s="7"/>
      <x:c r="E2" s="7"/>
      <x:c r="F2" s="7"/>
      <x:c r="G2" s="7"/>
    </x:row>
    <x:row r="4" ht="30" customHeight="1">
      <x:c r="A4" s="13" t="str">
        <x:v>参数ID</x:v>
      </x:c>
      <x:c r="B4" s="13" t="str">
        <x:v>参数</x:v>
      </x:c>
      <x:c r="C4" s="13" t="str">
        <x:v>数值</x:v>
      </x:c>
      <x:c r="D4" s="13" t="str">
        <x:v>单位</x:v>
      </x:c>
      <x:c r="E4" s="13" t="str">
        <x:v>定义/公式</x:v>
      </x:c>
      <x:c r="F4" s="13" t="str">
        <x:v>来源</x:v>
      </x:c>
      <x:c r="G4" s="13" t="str">
        <x:v>管理方式</x:v>
      </x:c>
    </x:row>
    <x:row r="5">
      <x:c r="A5" s="17" t="str">
        <x:v>SS01</x:v>
      </x:c>
      <x:c r="B5" s="17" t="str">
        <x:v>双侧显著性水平</x:v>
      </x:c>
      <x:c r="C5" s="23" t="n">
        <x:v>0.05</x:v>
      </x:c>
      <x:c r="D5" s="17" t="str">
        <x:v>-</x:v>
      </x:c>
      <x:c r="E5" s="17" t="str">
        <x:v>α</x:v>
      </x:c>
      <x:c r="F5" s="17" t="str">
        <x:v>预注册</x:v>
      </x:c>
      <x:c r="G5" s="17" t="str">
        <x:v>固定</x:v>
      </x:c>
    </x:row>
    <x:row r="6">
      <x:c r="A6" s="17" t="str">
        <x:v>SS02</x:v>
      </x:c>
      <x:c r="B6" s="17" t="str">
        <x:v>检验效能</x:v>
      </x:c>
      <x:c r="C6" s="23" t="n">
        <x:v>0.8</x:v>
      </x:c>
      <x:c r="D6" s="17" t="str">
        <x:v>-</x:v>
      </x:c>
      <x:c r="E6" s="17" t="str">
        <x:v>1-β</x:v>
      </x:c>
      <x:c r="F6" s="17" t="str">
        <x:v>预注册</x:v>
      </x:c>
      <x:c r="G6" s="17" t="str">
        <x:v>固定</x:v>
      </x:c>
    </x:row>
    <x:row r="7">
      <x:c r="A7" s="17" t="str">
        <x:v>SS03</x:v>
      </x:c>
      <x:c r="B7" s="17" t="str">
        <x:v>双侧Z值</x:v>
      </x:c>
      <x:c r="C7" s="23" t="n">
        <x:v>1.96</x:v>
      </x:c>
      <x:c r="D7" s="17" t="str">
        <x:v>-</x:v>
      </x:c>
      <x:c r="E7" s="17" t="str">
        <x:v>Z(1-α/2)</x:v>
      </x:c>
      <x:c r="F7" s="17" t="str">
        <x:v>统计常数</x:v>
      </x:c>
      <x:c r="G7" s="17" t="str">
        <x:v>固定</x:v>
      </x:c>
    </x:row>
    <x:row r="8">
      <x:c r="A8" s="17" t="str">
        <x:v>SS04</x:v>
      </x:c>
      <x:c r="B8" s="17" t="str">
        <x:v>效能Z值</x:v>
      </x:c>
      <x:c r="C8" s="23" t="n">
        <x:v>0.84</x:v>
      </x:c>
      <x:c r="D8" s="17" t="str">
        <x:v>-</x:v>
      </x:c>
      <x:c r="E8" s="17" t="str">
        <x:v>Z(1-β)</x:v>
      </x:c>
      <x:c r="F8" s="17" t="str">
        <x:v>统计常数</x:v>
      </x:c>
      <x:c r="G8" s="17" t="str">
        <x:v>固定</x:v>
      </x:c>
    </x:row>
    <x:row r="9">
      <x:c r="A9" s="17" t="str">
        <x:v>SS05</x:v>
      </x:c>
      <x:c r="B9" s="17" t="str">
        <x:v>批次配对差标准差</x:v>
      </x:c>
      <x:c r="C9" s="23" t="n">
        <x:v>6</x:v>
      </x:c>
      <x:c r="D9" s="17" t="str">
        <x:v>N</x:v>
      </x:c>
      <x:c r="E9" s="17" t="str">
        <x:v>σd</x:v>
      </x:c>
      <x:c r="F9" s="17" t="str">
        <x:v>小试离散度与保守放大</x:v>
      </x:c>
      <x:c r="G9" s="17" t="str">
        <x:v>首批中期复核</x:v>
      </x:c>
    </x:row>
    <x:row r="10">
      <x:c r="A10" s="17" t="str">
        <x:v>SS06</x:v>
      </x:c>
      <x:c r="B10" s="17" t="str">
        <x:v>硬度最小有意义差异</x:v>
      </x:c>
      <x:c r="C10" s="23" t="n">
        <x:v>4</x:v>
      </x:c>
      <x:c r="D10" s="17" t="str">
        <x:v>N</x:v>
      </x:c>
      <x:c r="E10" s="17" t="str">
        <x:v>δ</x:v>
      </x:c>
      <x:c r="F10" s="17" t="str">
        <x:v>项目目标</x:v>
      </x:c>
      <x:c r="G10" s="17" t="str">
        <x:v>固定</x:v>
      </x:c>
    </x:row>
    <x:row r="11">
      <x:c r="A11" s="17" t="str">
        <x:v>SS07</x:v>
      </x:c>
      <x:c r="B11" s="17" t="str">
        <x:v>原始独立批次数</x:v>
      </x:c>
      <x:c r="C11" s="23" t="n">
        <x:v>18</x:v>
      </x:c>
      <x:c r="D11" s="17" t="str">
        <x:v>批</x:v>
      </x:c>
      <x:c r="E11" s="17" t="str">
        <x:v>CEILING((Zα+Zβ)^2×σd^2/δ^2)</x:v>
      </x:c>
      <x:c r="F11" s="17" t="str">
        <x:v>计算</x:v>
      </x:c>
      <x:c r="G11" s="17" t="str">
        <x:v>最低值</x:v>
      </x:c>
    </x:row>
    <x:row r="12">
      <x:c r="A12" s="17" t="str">
        <x:v>SS08</x:v>
      </x:c>
      <x:c r="B12" s="17" t="str">
        <x:v>批次损耗预留</x:v>
      </x:c>
      <x:c r="C12" s="23" t="n">
        <x:v>0.15</x:v>
      </x:c>
      <x:c r="D12" s="17" t="str">
        <x:v>-</x:v>
      </x:c>
      <x:c r="E12" s="17" t="str">
        <x:v>失访、偏差和无效批次</x:v>
      </x:c>
      <x:c r="F12" s="17" t="str">
        <x:v>质量计划</x:v>
      </x:c>
      <x:c r="G12" s="17" t="str">
        <x:v>上限</x:v>
      </x:c>
    </x:row>
    <x:row r="13">
      <x:c r="A13" s="17" t="str">
        <x:v>SS09</x:v>
      </x:c>
      <x:c r="B13" s="17" t="str">
        <x:v>调整后独立批次数</x:v>
      </x:c>
      <x:c r="C13" s="23" t="n">
        <x:v>22</x:v>
      </x:c>
      <x:c r="D13" s="17" t="str">
        <x:v>批</x:v>
      </x:c>
      <x:c r="E13" s="17" t="str">
        <x:v>CEILING(18/(1-15%))</x:v>
      </x:c>
      <x:c r="F13" s="17" t="str">
        <x:v>计算</x:v>
      </x:c>
      <x:c r="G13" s="17" t="str">
        <x:v>最低值</x:v>
      </x:c>
    </x:row>
    <x:row r="14">
      <x:c r="A14" s="17" t="str">
        <x:v>SS10</x:v>
      </x:c>
      <x:c r="B14" s="17" t="str">
        <x:v>计划独立批次数</x:v>
      </x:c>
      <x:c r="C14" s="23" t="n">
        <x:v>32</x:v>
      </x:c>
      <x:c r="D14" s="17" t="str">
        <x:v>批</x:v>
      </x:c>
      <x:c r="E14" s="17" t="str">
        <x:v>4基地×2品种×2产季×2批</x:v>
      </x:c>
      <x:c r="F14" s="17" t="str">
        <x:v>基地计划</x:v>
      </x:c>
      <x:c r="G14" s="17" t="str">
        <x:v>执行规模</x:v>
      </x:c>
    </x:row>
    <x:row r="15">
      <x:c r="A15" s="17" t="str">
        <x:v>SS11</x:v>
      </x:c>
      <x:c r="B15" s="17" t="str">
        <x:v>每分析单元有效样品</x:v>
      </x:c>
      <x:c r="C15" s="23" t="n">
        <x:v>12</x:v>
      </x:c>
      <x:c r="D15" s="17" t="str">
        <x:v>枚</x:v>
      </x:c>
      <x:c r="E15" s="17" t="str">
        <x:v>批次×处理×时间点</x:v>
      </x:c>
      <x:c r="F15" s="17" t="str">
        <x:v>检测能力</x:v>
      </x:c>
      <x:c r="G15" s="17" t="str">
        <x:v>固定</x:v>
      </x:c>
    </x:row>
    <x:row r="16">
      <x:c r="A16" s="17" t="str">
        <x:v>SS12</x:v>
      </x:c>
      <x:c r="B16" s="17" t="str">
        <x:v>每分析单元预留样品</x:v>
      </x:c>
      <x:c r="C16" s="23" t="n">
        <x:v>2</x:v>
      </x:c>
      <x:c r="D16" s="17" t="str">
        <x:v>枚</x:v>
      </x:c>
      <x:c r="E16" s="17" t="str">
        <x:v>损耗冗余</x:v>
      </x:c>
      <x:c r="F16" s="17" t="str">
        <x:v>质量计划</x:v>
      </x:c>
      <x:c r="G16" s="17" t="str">
        <x:v>固定</x:v>
      </x:c>
    </x:row>
    <x:row r="17">
      <x:c r="A17" s="17" t="str">
        <x:v>SS13</x:v>
      </x:c>
      <x:c r="B17" s="17" t="str">
        <x:v>理化检测计划样品</x:v>
      </x:c>
      <x:c r="C17" s="23" t="n">
        <x:v>5376</x:v>
      </x:c>
      <x:c r="D17" s="17" t="str">
        <x:v>枚</x:v>
      </x:c>
      <x:c r="E17" s="17" t="str">
        <x:v>32×2×6×14</x:v>
      </x:c>
      <x:c r="F17" s="17" t="str">
        <x:v>计算</x:v>
      </x:c>
      <x:c r="G17" s="17" t="str">
        <x:v>执行规模</x:v>
      </x:c>
    </x:row>
    <x:row r="18">
      <x:c r="A18" s="17" t="str">
        <x:v>SS14</x:v>
      </x:c>
      <x:c r="B18" s="17" t="str">
        <x:v>腐烂与货架期随访</x:v>
      </x:c>
      <x:c r="C18" s="23" t="n">
        <x:v>1280</x:v>
      </x:c>
      <x:c r="D18" s="17" t="str">
        <x:v>枚</x:v>
      </x:c>
      <x:c r="E18" s="17" t="str">
        <x:v>32×2×20</x:v>
      </x:c>
      <x:c r="F18" s="17" t="str">
        <x:v>计算</x:v>
      </x:c>
      <x:c r="G18" s="17" t="str">
        <x:v>执行规模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18" hidden="0" customWidth="1"/>
    <x:col min="5" max="5" width="10" hidden="0" customWidth="1"/>
    <x:col min="6" max="6" width="10" hidden="0" customWidth="1"/>
    <x:col min="7" max="7" width="16" hidden="0" customWidth="1"/>
    <x:col min="8" max="8" width="16" hidden="0" customWidth="1"/>
    <x:col min="9" max="9" width="16" hidden="0" customWidth="1"/>
    <x:col min="10" max="10" width="30" hidden="0" customWidth="1"/>
    <x:col min="11" max="11" width="12" hidden="0" customWidth="1"/>
  </x:cols>
  <x:sheetData>
    <x:row r="1" ht="30" customHeight="1">
      <x:c r="A1" s="3" t="str">
        <x:v>因子筛选设计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磁场强度、作用模式、温度、包装和运输按随机区组设计筛选，0 mT设平行对照。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3" t="str">
        <x:v>组合ID</x:v>
      </x:c>
      <x:c r="B4" s="13" t="str">
        <x:v>磁场强度</x:v>
      </x:c>
      <x:c r="C4" s="13" t="str">
        <x:v>单位</x:v>
      </x:c>
      <x:c r="D4" s="13" t="str">
        <x:v>作用模式</x:v>
      </x:c>
      <x:c r="E4" s="13" t="str">
        <x:v>温度</x:v>
      </x:c>
      <x:c r="F4" s="13" t="str">
        <x:v>单位</x:v>
      </x:c>
      <x:c r="G4" s="13" t="str">
        <x:v>包装</x:v>
      </x:c>
      <x:c r="H4" s="13" t="str">
        <x:v>运输</x:v>
      </x:c>
      <x:c r="I4" s="13" t="str">
        <x:v>设计</x:v>
      </x:c>
      <x:c r="J4" s="13" t="str">
        <x:v>筛选终点</x:v>
      </x:c>
      <x:c r="K4" s="13" t="str">
        <x:v>阶段</x:v>
      </x:c>
    </x:row>
    <x:row r="5">
      <x:c r="A5" s="17" t="str">
        <x:v>SC01</x:v>
      </x:c>
      <x:c r="B5" s="17" t="n">
        <x:v>0</x:v>
      </x:c>
      <x:c r="C5" s="17" t="str">
        <x:v>mT</x:v>
      </x:c>
      <x:c r="D5" s="17" t="str">
        <x:v>未通电</x:v>
      </x:c>
      <x:c r="E5" s="17" t="n">
        <x:v>4</x:v>
      </x:c>
      <x:c r="F5" s="17" t="str">
        <x:v>℃</x:v>
      </x:c>
      <x:c r="G5" s="17" t="str">
        <x:v>透气盒</x:v>
      </x:c>
      <x:c r="H5" s="17" t="str">
        <x:v>静置</x:v>
      </x:c>
      <x:c r="I5" s="17" t="str">
        <x:v>随机区组</x:v>
      </x:c>
      <x:c r="J5" s="17" t="str">
        <x:v>硬度/腐烂率/失重率</x:v>
      </x:c>
      <x:c r="K5" s="17" t="str">
        <x:v>筛选</x:v>
      </x:c>
    </x:row>
    <x:row r="6">
      <x:c r="A6" s="17" t="str">
        <x:v>SC02</x:v>
      </x:c>
      <x:c r="B6" s="17" t="n">
        <x:v>0</x:v>
      </x:c>
      <x:c r="C6" s="17" t="str">
        <x:v>mT</x:v>
      </x:c>
      <x:c r="D6" s="17" t="str">
        <x:v>未通电</x:v>
      </x:c>
      <x:c r="E6" s="17" t="n">
        <x:v>4</x:v>
      </x:c>
      <x:c r="F6" s="17" t="str">
        <x:v>℃</x:v>
      </x:c>
      <x:c r="G6" s="17" t="str">
        <x:v>透气盒</x:v>
      </x:c>
      <x:c r="H6" s="17" t="str">
        <x:v>模拟运输</x:v>
      </x:c>
      <x:c r="I6" s="17" t="str">
        <x:v>随机区组</x:v>
      </x:c>
      <x:c r="J6" s="17" t="str">
        <x:v>硬度/腐烂率/失重率</x:v>
      </x:c>
      <x:c r="K6" s="17" t="str">
        <x:v>筛选</x:v>
      </x:c>
    </x:row>
    <x:row r="7">
      <x:c r="A7" s="17" t="str">
        <x:v>SC03</x:v>
      </x:c>
      <x:c r="B7" s="17" t="n">
        <x:v>0</x:v>
      </x:c>
      <x:c r="C7" s="17" t="str">
        <x:v>mT</x:v>
      </x:c>
      <x:c r="D7" s="17" t="str">
        <x:v>未通电</x:v>
      </x:c>
      <x:c r="E7" s="17" t="n">
        <x:v>4</x:v>
      </x:c>
      <x:c r="F7" s="17" t="str">
        <x:v>℃</x:v>
      </x:c>
      <x:c r="G7" s="17" t="str">
        <x:v>微孔膜</x:v>
      </x:c>
      <x:c r="H7" s="17" t="str">
        <x:v>静置</x:v>
      </x:c>
      <x:c r="I7" s="17" t="str">
        <x:v>随机区组</x:v>
      </x:c>
      <x:c r="J7" s="17" t="str">
        <x:v>硬度/腐烂率/失重率</x:v>
      </x:c>
      <x:c r="K7" s="17" t="str">
        <x:v>筛选</x:v>
      </x:c>
    </x:row>
    <x:row r="8">
      <x:c r="A8" s="17" t="str">
        <x:v>SC04</x:v>
      </x:c>
      <x:c r="B8" s="17" t="n">
        <x:v>0</x:v>
      </x:c>
      <x:c r="C8" s="17" t="str">
        <x:v>mT</x:v>
      </x:c>
      <x:c r="D8" s="17" t="str">
        <x:v>未通电</x:v>
      </x:c>
      <x:c r="E8" s="17" t="n">
        <x:v>4</x:v>
      </x:c>
      <x:c r="F8" s="17" t="str">
        <x:v>℃</x:v>
      </x:c>
      <x:c r="G8" s="17" t="str">
        <x:v>微孔膜</x:v>
      </x:c>
      <x:c r="H8" s="17" t="str">
        <x:v>模拟运输</x:v>
      </x:c>
      <x:c r="I8" s="17" t="str">
        <x:v>随机区组</x:v>
      </x:c>
      <x:c r="J8" s="17" t="str">
        <x:v>硬度/腐烂率/失重率</x:v>
      </x:c>
      <x:c r="K8" s="17" t="str">
        <x:v>筛选</x:v>
      </x:c>
    </x:row>
    <x:row r="9">
      <x:c r="A9" s="17" t="str">
        <x:v>SC05</x:v>
      </x:c>
      <x:c r="B9" s="17" t="n">
        <x:v>0</x:v>
      </x:c>
      <x:c r="C9" s="17" t="str">
        <x:v>mT</x:v>
      </x:c>
      <x:c r="D9" s="17" t="str">
        <x:v>未通电</x:v>
      </x:c>
      <x:c r="E9" s="17" t="n">
        <x:v>8</x:v>
      </x:c>
      <x:c r="F9" s="17" t="str">
        <x:v>℃</x:v>
      </x:c>
      <x:c r="G9" s="17" t="str">
        <x:v>透气盒</x:v>
      </x:c>
      <x:c r="H9" s="17" t="str">
        <x:v>静置</x:v>
      </x:c>
      <x:c r="I9" s="17" t="str">
        <x:v>随机区组</x:v>
      </x:c>
      <x:c r="J9" s="17" t="str">
        <x:v>硬度/腐烂率/失重率</x:v>
      </x:c>
      <x:c r="K9" s="17" t="str">
        <x:v>筛选</x:v>
      </x:c>
    </x:row>
    <x:row r="10">
      <x:c r="A10" s="17" t="str">
        <x:v>SC06</x:v>
      </x:c>
      <x:c r="B10" s="17" t="n">
        <x:v>0</x:v>
      </x:c>
      <x:c r="C10" s="17" t="str">
        <x:v>mT</x:v>
      </x:c>
      <x:c r="D10" s="17" t="str">
        <x:v>未通电</x:v>
      </x:c>
      <x:c r="E10" s="17" t="n">
        <x:v>8</x:v>
      </x:c>
      <x:c r="F10" s="17" t="str">
        <x:v>℃</x:v>
      </x:c>
      <x:c r="G10" s="17" t="str">
        <x:v>透气盒</x:v>
      </x:c>
      <x:c r="H10" s="17" t="str">
        <x:v>模拟运输</x:v>
      </x:c>
      <x:c r="I10" s="17" t="str">
        <x:v>随机区组</x:v>
      </x:c>
      <x:c r="J10" s="17" t="str">
        <x:v>硬度/腐烂率/失重率</x:v>
      </x:c>
      <x:c r="K10" s="17" t="str">
        <x:v>筛选</x:v>
      </x:c>
    </x:row>
    <x:row r="11">
      <x:c r="A11" s="17" t="str">
        <x:v>SC07</x:v>
      </x:c>
      <x:c r="B11" s="17" t="n">
        <x:v>0</x:v>
      </x:c>
      <x:c r="C11" s="17" t="str">
        <x:v>mT</x:v>
      </x:c>
      <x:c r="D11" s="17" t="str">
        <x:v>未通电</x:v>
      </x:c>
      <x:c r="E11" s="17" t="n">
        <x:v>8</x:v>
      </x:c>
      <x:c r="F11" s="17" t="str">
        <x:v>℃</x:v>
      </x:c>
      <x:c r="G11" s="17" t="str">
        <x:v>微孔膜</x:v>
      </x:c>
      <x:c r="H11" s="17" t="str">
        <x:v>静置</x:v>
      </x:c>
      <x:c r="I11" s="17" t="str">
        <x:v>随机区组</x:v>
      </x:c>
      <x:c r="J11" s="17" t="str">
        <x:v>硬度/腐烂率/失重率</x:v>
      </x:c>
      <x:c r="K11" s="17" t="str">
        <x:v>筛选</x:v>
      </x:c>
    </x:row>
    <x:row r="12">
      <x:c r="A12" s="17" t="str">
        <x:v>SC08</x:v>
      </x:c>
      <x:c r="B12" s="17" t="n">
        <x:v>0</x:v>
      </x:c>
      <x:c r="C12" s="17" t="str">
        <x:v>mT</x:v>
      </x:c>
      <x:c r="D12" s="17" t="str">
        <x:v>未通电</x:v>
      </x:c>
      <x:c r="E12" s="17" t="n">
        <x:v>8</x:v>
      </x:c>
      <x:c r="F12" s="17" t="str">
        <x:v>℃</x:v>
      </x:c>
      <x:c r="G12" s="17" t="str">
        <x:v>微孔膜</x:v>
      </x:c>
      <x:c r="H12" s="17" t="str">
        <x:v>模拟运输</x:v>
      </x:c>
      <x:c r="I12" s="17" t="str">
        <x:v>随机区组</x:v>
      </x:c>
      <x:c r="J12" s="17" t="str">
        <x:v>硬度/腐烂率/失重率</x:v>
      </x:c>
      <x:c r="K12" s="17" t="str">
        <x:v>筛选</x:v>
      </x:c>
    </x:row>
    <x:row r="13">
      <x:c r="A13" s="17" t="str">
        <x:v>SC09</x:v>
      </x:c>
      <x:c r="B13" s="17" t="n">
        <x:v>5</x:v>
      </x:c>
      <x:c r="C13" s="17" t="str">
        <x:v>mT</x:v>
      </x:c>
      <x:c r="D13" s="17" t="str">
        <x:v>连续</x:v>
      </x:c>
      <x:c r="E13" s="17" t="n">
        <x:v>4</x:v>
      </x:c>
      <x:c r="F13" s="17" t="str">
        <x:v>℃</x:v>
      </x:c>
      <x:c r="G13" s="17" t="str">
        <x:v>透气盒</x:v>
      </x:c>
      <x:c r="H13" s="17" t="str">
        <x:v>静置</x:v>
      </x:c>
      <x:c r="I13" s="17" t="str">
        <x:v>随机区组</x:v>
      </x:c>
      <x:c r="J13" s="17" t="str">
        <x:v>硬度/腐烂率/失重率</x:v>
      </x:c>
      <x:c r="K13" s="17" t="str">
        <x:v>筛选</x:v>
      </x:c>
    </x:row>
    <x:row r="14">
      <x:c r="A14" s="17" t="str">
        <x:v>SC10</x:v>
      </x:c>
      <x:c r="B14" s="17" t="n">
        <x:v>5</x:v>
      </x:c>
      <x:c r="C14" s="17" t="str">
        <x:v>mT</x:v>
      </x:c>
      <x:c r="D14" s="17" t="str">
        <x:v>连续</x:v>
      </x:c>
      <x:c r="E14" s="17" t="n">
        <x:v>4</x:v>
      </x:c>
      <x:c r="F14" s="17" t="str">
        <x:v>℃</x:v>
      </x:c>
      <x:c r="G14" s="17" t="str">
        <x:v>透气盒</x:v>
      </x:c>
      <x:c r="H14" s="17" t="str">
        <x:v>模拟运输</x:v>
      </x:c>
      <x:c r="I14" s="17" t="str">
        <x:v>随机区组</x:v>
      </x:c>
      <x:c r="J14" s="17" t="str">
        <x:v>硬度/腐烂率/失重率</x:v>
      </x:c>
      <x:c r="K14" s="17" t="str">
        <x:v>筛选</x:v>
      </x:c>
    </x:row>
    <x:row r="15">
      <x:c r="A15" s="17" t="str">
        <x:v>SC11</x:v>
      </x:c>
      <x:c r="B15" s="17" t="n">
        <x:v>5</x:v>
      </x:c>
      <x:c r="C15" s="17" t="str">
        <x:v>mT</x:v>
      </x:c>
      <x:c r="D15" s="17" t="str">
        <x:v>连续</x:v>
      </x:c>
      <x:c r="E15" s="17" t="n">
        <x:v>4</x:v>
      </x:c>
      <x:c r="F15" s="17" t="str">
        <x:v>℃</x:v>
      </x:c>
      <x:c r="G15" s="17" t="str">
        <x:v>微孔膜</x:v>
      </x:c>
      <x:c r="H15" s="17" t="str">
        <x:v>静置</x:v>
      </x:c>
      <x:c r="I15" s="17" t="str">
        <x:v>随机区组</x:v>
      </x:c>
      <x:c r="J15" s="17" t="str">
        <x:v>硬度/腐烂率/失重率</x:v>
      </x:c>
      <x:c r="K15" s="17" t="str">
        <x:v>筛选</x:v>
      </x:c>
    </x:row>
    <x:row r="16">
      <x:c r="A16" s="17" t="str">
        <x:v>SC12</x:v>
      </x:c>
      <x:c r="B16" s="17" t="n">
        <x:v>5</x:v>
      </x:c>
      <x:c r="C16" s="17" t="str">
        <x:v>mT</x:v>
      </x:c>
      <x:c r="D16" s="17" t="str">
        <x:v>连续</x:v>
      </x:c>
      <x:c r="E16" s="17" t="n">
        <x:v>4</x:v>
      </x:c>
      <x:c r="F16" s="17" t="str">
        <x:v>℃</x:v>
      </x:c>
      <x:c r="G16" s="17" t="str">
        <x:v>微孔膜</x:v>
      </x:c>
      <x:c r="H16" s="17" t="str">
        <x:v>模拟运输</x:v>
      </x:c>
      <x:c r="I16" s="17" t="str">
        <x:v>随机区组</x:v>
      </x:c>
      <x:c r="J16" s="17" t="str">
        <x:v>硬度/腐烂率/失重率</x:v>
      </x:c>
      <x:c r="K16" s="17" t="str">
        <x:v>筛选</x:v>
      </x:c>
    </x:row>
    <x:row r="17">
      <x:c r="A17" s="17" t="str">
        <x:v>SC13</x:v>
      </x:c>
      <x:c r="B17" s="17" t="n">
        <x:v>5</x:v>
      </x:c>
      <x:c r="C17" s="17" t="str">
        <x:v>mT</x:v>
      </x:c>
      <x:c r="D17" s="17" t="str">
        <x:v>连续</x:v>
      </x:c>
      <x:c r="E17" s="17" t="n">
        <x:v>8</x:v>
      </x:c>
      <x:c r="F17" s="17" t="str">
        <x:v>℃</x:v>
      </x:c>
      <x:c r="G17" s="17" t="str">
        <x:v>透气盒</x:v>
      </x:c>
      <x:c r="H17" s="17" t="str">
        <x:v>静置</x:v>
      </x:c>
      <x:c r="I17" s="17" t="str">
        <x:v>随机区组</x:v>
      </x:c>
      <x:c r="J17" s="17" t="str">
        <x:v>硬度/腐烂率/失重率</x:v>
      </x:c>
      <x:c r="K17" s="17" t="str">
        <x:v>筛选</x:v>
      </x:c>
    </x:row>
    <x:row r="18">
      <x:c r="A18" s="17" t="str">
        <x:v>SC14</x:v>
      </x:c>
      <x:c r="B18" s="17" t="n">
        <x:v>5</x:v>
      </x:c>
      <x:c r="C18" s="17" t="str">
        <x:v>mT</x:v>
      </x:c>
      <x:c r="D18" s="17" t="str">
        <x:v>连续</x:v>
      </x:c>
      <x:c r="E18" s="17" t="n">
        <x:v>8</x:v>
      </x:c>
      <x:c r="F18" s="17" t="str">
        <x:v>℃</x:v>
      </x:c>
      <x:c r="G18" s="17" t="str">
        <x:v>透气盒</x:v>
      </x:c>
      <x:c r="H18" s="17" t="str">
        <x:v>模拟运输</x:v>
      </x:c>
      <x:c r="I18" s="17" t="str">
        <x:v>随机区组</x:v>
      </x:c>
      <x:c r="J18" s="17" t="str">
        <x:v>硬度/腐烂率/失重率</x:v>
      </x:c>
      <x:c r="K18" s="17" t="str">
        <x:v>筛选</x:v>
      </x:c>
    </x:row>
    <x:row r="19">
      <x:c r="A19" s="17" t="str">
        <x:v>SC15</x:v>
      </x:c>
      <x:c r="B19" s="17" t="n">
        <x:v>5</x:v>
      </x:c>
      <x:c r="C19" s="17" t="str">
        <x:v>mT</x:v>
      </x:c>
      <x:c r="D19" s="17" t="str">
        <x:v>连续</x:v>
      </x:c>
      <x:c r="E19" s="17" t="n">
        <x:v>8</x:v>
      </x:c>
      <x:c r="F19" s="17" t="str">
        <x:v>℃</x:v>
      </x:c>
      <x:c r="G19" s="17" t="str">
        <x:v>微孔膜</x:v>
      </x:c>
      <x:c r="H19" s="17" t="str">
        <x:v>静置</x:v>
      </x:c>
      <x:c r="I19" s="17" t="str">
        <x:v>随机区组</x:v>
      </x:c>
      <x:c r="J19" s="17" t="str">
        <x:v>硬度/腐烂率/失重率</x:v>
      </x:c>
      <x:c r="K19" s="17" t="str">
        <x:v>筛选</x:v>
      </x:c>
    </x:row>
    <x:row r="20">
      <x:c r="A20" s="17" t="str">
        <x:v>SC16</x:v>
      </x:c>
      <x:c r="B20" s="17" t="n">
        <x:v>5</x:v>
      </x:c>
      <x:c r="C20" s="17" t="str">
        <x:v>mT</x:v>
      </x:c>
      <x:c r="D20" s="17" t="str">
        <x:v>连续</x:v>
      </x:c>
      <x:c r="E20" s="17" t="n">
        <x:v>8</x:v>
      </x:c>
      <x:c r="F20" s="17" t="str">
        <x:v>℃</x:v>
      </x:c>
      <x:c r="G20" s="17" t="str">
        <x:v>微孔膜</x:v>
      </x:c>
      <x:c r="H20" s="17" t="str">
        <x:v>模拟运输</x:v>
      </x:c>
      <x:c r="I20" s="17" t="str">
        <x:v>随机区组</x:v>
      </x:c>
      <x:c r="J20" s="17" t="str">
        <x:v>硬度/腐烂率/失重率</x:v>
      </x:c>
      <x:c r="K20" s="17" t="str">
        <x:v>筛选</x:v>
      </x:c>
    </x:row>
    <x:row r="21">
      <x:c r="A21" s="17" t="str">
        <x:v>SC17</x:v>
      </x:c>
      <x:c r="B21" s="17" t="n">
        <x:v>5</x:v>
      </x:c>
      <x:c r="C21" s="17" t="str">
        <x:v>mT</x:v>
      </x:c>
      <x:c r="D21" s="17" t="str">
        <x:v>间歇15/15 min</x:v>
      </x:c>
      <x:c r="E21" s="17" t="n">
        <x:v>4</x:v>
      </x:c>
      <x:c r="F21" s="17" t="str">
        <x:v>℃</x:v>
      </x:c>
      <x:c r="G21" s="17" t="str">
        <x:v>透气盒</x:v>
      </x:c>
      <x:c r="H21" s="17" t="str">
        <x:v>静置</x:v>
      </x:c>
      <x:c r="I21" s="17" t="str">
        <x:v>随机区组</x:v>
      </x:c>
      <x:c r="J21" s="17" t="str">
        <x:v>硬度/腐烂率/失重率</x:v>
      </x:c>
      <x:c r="K21" s="17" t="str">
        <x:v>筛选</x:v>
      </x:c>
    </x:row>
    <x:row r="22">
      <x:c r="A22" s="17" t="str">
        <x:v>SC18</x:v>
      </x:c>
      <x:c r="B22" s="17" t="n">
        <x:v>5</x:v>
      </x:c>
      <x:c r="C22" s="17" t="str">
        <x:v>mT</x:v>
      </x:c>
      <x:c r="D22" s="17" t="str">
        <x:v>间歇15/15 min</x:v>
      </x:c>
      <x:c r="E22" s="17" t="n">
        <x:v>4</x:v>
      </x:c>
      <x:c r="F22" s="17" t="str">
        <x:v>℃</x:v>
      </x:c>
      <x:c r="G22" s="17" t="str">
        <x:v>透气盒</x:v>
      </x:c>
      <x:c r="H22" s="17" t="str">
        <x:v>模拟运输</x:v>
      </x:c>
      <x:c r="I22" s="17" t="str">
        <x:v>随机区组</x:v>
      </x:c>
      <x:c r="J22" s="17" t="str">
        <x:v>硬度/腐烂率/失重率</x:v>
      </x:c>
      <x:c r="K22" s="17" t="str">
        <x:v>筛选</x:v>
      </x:c>
    </x:row>
    <x:row r="23">
      <x:c r="A23" s="17" t="str">
        <x:v>SC19</x:v>
      </x:c>
      <x:c r="B23" s="17" t="n">
        <x:v>5</x:v>
      </x:c>
      <x:c r="C23" s="17" t="str">
        <x:v>mT</x:v>
      </x:c>
      <x:c r="D23" s="17" t="str">
        <x:v>间歇15/15 min</x:v>
      </x:c>
      <x:c r="E23" s="17" t="n">
        <x:v>4</x:v>
      </x:c>
      <x:c r="F23" s="17" t="str">
        <x:v>℃</x:v>
      </x:c>
      <x:c r="G23" s="17" t="str">
        <x:v>微孔膜</x:v>
      </x:c>
      <x:c r="H23" s="17" t="str">
        <x:v>静置</x:v>
      </x:c>
      <x:c r="I23" s="17" t="str">
        <x:v>随机区组</x:v>
      </x:c>
      <x:c r="J23" s="17" t="str">
        <x:v>硬度/腐烂率/失重率</x:v>
      </x:c>
      <x:c r="K23" s="17" t="str">
        <x:v>筛选</x:v>
      </x:c>
    </x:row>
    <x:row r="24">
      <x:c r="A24" s="17" t="str">
        <x:v>SC20</x:v>
      </x:c>
      <x:c r="B24" s="17" t="n">
        <x:v>5</x:v>
      </x:c>
      <x:c r="C24" s="17" t="str">
        <x:v>mT</x:v>
      </x:c>
      <x:c r="D24" s="17" t="str">
        <x:v>间歇15/15 min</x:v>
      </x:c>
      <x:c r="E24" s="17" t="n">
        <x:v>4</x:v>
      </x:c>
      <x:c r="F24" s="17" t="str">
        <x:v>℃</x:v>
      </x:c>
      <x:c r="G24" s="17" t="str">
        <x:v>微孔膜</x:v>
      </x:c>
      <x:c r="H24" s="17" t="str">
        <x:v>模拟运输</x:v>
      </x:c>
      <x:c r="I24" s="17" t="str">
        <x:v>随机区组</x:v>
      </x:c>
      <x:c r="J24" s="17" t="str">
        <x:v>硬度/腐烂率/失重率</x:v>
      </x:c>
      <x:c r="K24" s="17" t="str">
        <x:v>筛选</x:v>
      </x:c>
    </x:row>
    <x:row r="25">
      <x:c r="A25" s="17" t="str">
        <x:v>SC21</x:v>
      </x:c>
      <x:c r="B25" s="17" t="n">
        <x:v>5</x:v>
      </x:c>
      <x:c r="C25" s="17" t="str">
        <x:v>mT</x:v>
      </x:c>
      <x:c r="D25" s="17" t="str">
        <x:v>间歇15/15 min</x:v>
      </x:c>
      <x:c r="E25" s="17" t="n">
        <x:v>8</x:v>
      </x:c>
      <x:c r="F25" s="17" t="str">
        <x:v>℃</x:v>
      </x:c>
      <x:c r="G25" s="17" t="str">
        <x:v>透气盒</x:v>
      </x:c>
      <x:c r="H25" s="17" t="str">
        <x:v>静置</x:v>
      </x:c>
      <x:c r="I25" s="17" t="str">
        <x:v>随机区组</x:v>
      </x:c>
      <x:c r="J25" s="17" t="str">
        <x:v>硬度/腐烂率/失重率</x:v>
      </x:c>
      <x:c r="K25" s="17" t="str">
        <x:v>筛选</x:v>
      </x:c>
    </x:row>
    <x:row r="26">
      <x:c r="A26" s="17" t="str">
        <x:v>SC22</x:v>
      </x:c>
      <x:c r="B26" s="17" t="n">
        <x:v>5</x:v>
      </x:c>
      <x:c r="C26" s="17" t="str">
        <x:v>mT</x:v>
      </x:c>
      <x:c r="D26" s="17" t="str">
        <x:v>间歇15/15 min</x:v>
      </x:c>
      <x:c r="E26" s="17" t="n">
        <x:v>8</x:v>
      </x:c>
      <x:c r="F26" s="17" t="str">
        <x:v>℃</x:v>
      </x:c>
      <x:c r="G26" s="17" t="str">
        <x:v>透气盒</x:v>
      </x:c>
      <x:c r="H26" s="17" t="str">
        <x:v>模拟运输</x:v>
      </x:c>
      <x:c r="I26" s="17" t="str">
        <x:v>随机区组</x:v>
      </x:c>
      <x:c r="J26" s="17" t="str">
        <x:v>硬度/腐烂率/失重率</x:v>
      </x:c>
      <x:c r="K26" s="17" t="str">
        <x:v>筛选</x:v>
      </x:c>
    </x:row>
    <x:row r="27">
      <x:c r="A27" s="17" t="str">
        <x:v>SC23</x:v>
      </x:c>
      <x:c r="B27" s="17" t="n">
        <x:v>5</x:v>
      </x:c>
      <x:c r="C27" s="17" t="str">
        <x:v>mT</x:v>
      </x:c>
      <x:c r="D27" s="17" t="str">
        <x:v>间歇15/15 min</x:v>
      </x:c>
      <x:c r="E27" s="17" t="n">
        <x:v>8</x:v>
      </x:c>
      <x:c r="F27" s="17" t="str">
        <x:v>℃</x:v>
      </x:c>
      <x:c r="G27" s="17" t="str">
        <x:v>微孔膜</x:v>
      </x:c>
      <x:c r="H27" s="17" t="str">
        <x:v>静置</x:v>
      </x:c>
      <x:c r="I27" s="17" t="str">
        <x:v>随机区组</x:v>
      </x:c>
      <x:c r="J27" s="17" t="str">
        <x:v>硬度/腐烂率/失重率</x:v>
      </x:c>
      <x:c r="K27" s="17" t="str">
        <x:v>筛选</x:v>
      </x:c>
    </x:row>
    <x:row r="28">
      <x:c r="A28" s="17" t="str">
        <x:v>SC24</x:v>
      </x:c>
      <x:c r="B28" s="17" t="n">
        <x:v>5</x:v>
      </x:c>
      <x:c r="C28" s="17" t="str">
        <x:v>mT</x:v>
      </x:c>
      <x:c r="D28" s="17" t="str">
        <x:v>间歇15/15 min</x:v>
      </x:c>
      <x:c r="E28" s="17" t="n">
        <x:v>8</x:v>
      </x:c>
      <x:c r="F28" s="17" t="str">
        <x:v>℃</x:v>
      </x:c>
      <x:c r="G28" s="17" t="str">
        <x:v>微孔膜</x:v>
      </x:c>
      <x:c r="H28" s="17" t="str">
        <x:v>模拟运输</x:v>
      </x:c>
      <x:c r="I28" s="17" t="str">
        <x:v>随机区组</x:v>
      </x:c>
      <x:c r="J28" s="17" t="str">
        <x:v>硬度/腐烂率/失重率</x:v>
      </x:c>
      <x:c r="K28" s="17" t="str">
        <x:v>筛选</x:v>
      </x:c>
    </x:row>
    <x:row r="29">
      <x:c r="A29" s="17" t="str">
        <x:v>SC25</x:v>
      </x:c>
      <x:c r="B29" s="17" t="n">
        <x:v>10</x:v>
      </x:c>
      <x:c r="C29" s="17" t="str">
        <x:v>mT</x:v>
      </x:c>
      <x:c r="D29" s="17" t="str">
        <x:v>连续</x:v>
      </x:c>
      <x:c r="E29" s="17" t="n">
        <x:v>4</x:v>
      </x:c>
      <x:c r="F29" s="17" t="str">
        <x:v>℃</x:v>
      </x:c>
      <x:c r="G29" s="17" t="str">
        <x:v>透气盒</x:v>
      </x:c>
      <x:c r="H29" s="17" t="str">
        <x:v>静置</x:v>
      </x:c>
      <x:c r="I29" s="17" t="str">
        <x:v>随机区组</x:v>
      </x:c>
      <x:c r="J29" s="17" t="str">
        <x:v>硬度/腐烂率/失重率</x:v>
      </x:c>
      <x:c r="K29" s="17" t="str">
        <x:v>筛选</x:v>
      </x:c>
    </x:row>
    <x:row r="30">
      <x:c r="A30" s="17" t="str">
        <x:v>SC26</x:v>
      </x:c>
      <x:c r="B30" s="17" t="n">
        <x:v>10</x:v>
      </x:c>
      <x:c r="C30" s="17" t="str">
        <x:v>mT</x:v>
      </x:c>
      <x:c r="D30" s="17" t="str">
        <x:v>连续</x:v>
      </x:c>
      <x:c r="E30" s="17" t="n">
        <x:v>4</x:v>
      </x:c>
      <x:c r="F30" s="17" t="str">
        <x:v>℃</x:v>
      </x:c>
      <x:c r="G30" s="17" t="str">
        <x:v>透气盒</x:v>
      </x:c>
      <x:c r="H30" s="17" t="str">
        <x:v>模拟运输</x:v>
      </x:c>
      <x:c r="I30" s="17" t="str">
        <x:v>随机区组</x:v>
      </x:c>
      <x:c r="J30" s="17" t="str">
        <x:v>硬度/腐烂率/失重率</x:v>
      </x:c>
      <x:c r="K30" s="17" t="str">
        <x:v>筛选</x:v>
      </x:c>
    </x:row>
    <x:row r="31">
      <x:c r="A31" s="17" t="str">
        <x:v>SC27</x:v>
      </x:c>
      <x:c r="B31" s="17" t="n">
        <x:v>10</x:v>
      </x:c>
      <x:c r="C31" s="17" t="str">
        <x:v>mT</x:v>
      </x:c>
      <x:c r="D31" s="17" t="str">
        <x:v>连续</x:v>
      </x:c>
      <x:c r="E31" s="17" t="n">
        <x:v>4</x:v>
      </x:c>
      <x:c r="F31" s="17" t="str">
        <x:v>℃</x:v>
      </x:c>
      <x:c r="G31" s="17" t="str">
        <x:v>微孔膜</x:v>
      </x:c>
      <x:c r="H31" s="17" t="str">
        <x:v>静置</x:v>
      </x:c>
      <x:c r="I31" s="17" t="str">
        <x:v>随机区组</x:v>
      </x:c>
      <x:c r="J31" s="17" t="str">
        <x:v>硬度/腐烂率/失重率</x:v>
      </x:c>
      <x:c r="K31" s="17" t="str">
        <x:v>筛选</x:v>
      </x:c>
    </x:row>
    <x:row r="32">
      <x:c r="A32" s="17" t="str">
        <x:v>SC28</x:v>
      </x:c>
      <x:c r="B32" s="17" t="n">
        <x:v>10</x:v>
      </x:c>
      <x:c r="C32" s="17" t="str">
        <x:v>mT</x:v>
      </x:c>
      <x:c r="D32" s="17" t="str">
        <x:v>连续</x:v>
      </x:c>
      <x:c r="E32" s="17" t="n">
        <x:v>4</x:v>
      </x:c>
      <x:c r="F32" s="17" t="str">
        <x:v>℃</x:v>
      </x:c>
      <x:c r="G32" s="17" t="str">
        <x:v>微孔膜</x:v>
      </x:c>
      <x:c r="H32" s="17" t="str">
        <x:v>模拟运输</x:v>
      </x:c>
      <x:c r="I32" s="17" t="str">
        <x:v>随机区组</x:v>
      </x:c>
      <x:c r="J32" s="17" t="str">
        <x:v>硬度/腐烂率/失重率</x:v>
      </x:c>
      <x:c r="K32" s="17" t="str">
        <x:v>筛选</x:v>
      </x:c>
    </x:row>
    <x:row r="33">
      <x:c r="A33" s="17" t="str">
        <x:v>SC29</x:v>
      </x:c>
      <x:c r="B33" s="17" t="n">
        <x:v>10</x:v>
      </x:c>
      <x:c r="C33" s="17" t="str">
        <x:v>mT</x:v>
      </x:c>
      <x:c r="D33" s="17" t="str">
        <x:v>连续</x:v>
      </x:c>
      <x:c r="E33" s="17" t="n">
        <x:v>8</x:v>
      </x:c>
      <x:c r="F33" s="17" t="str">
        <x:v>℃</x:v>
      </x:c>
      <x:c r="G33" s="17" t="str">
        <x:v>透气盒</x:v>
      </x:c>
      <x:c r="H33" s="17" t="str">
        <x:v>静置</x:v>
      </x:c>
      <x:c r="I33" s="17" t="str">
        <x:v>随机区组</x:v>
      </x:c>
      <x:c r="J33" s="17" t="str">
        <x:v>硬度/腐烂率/失重率</x:v>
      </x:c>
      <x:c r="K33" s="17" t="str">
        <x:v>筛选</x:v>
      </x:c>
    </x:row>
    <x:row r="34">
      <x:c r="A34" s="17" t="str">
        <x:v>SC30</x:v>
      </x:c>
      <x:c r="B34" s="17" t="n">
        <x:v>10</x:v>
      </x:c>
      <x:c r="C34" s="17" t="str">
        <x:v>mT</x:v>
      </x:c>
      <x:c r="D34" s="17" t="str">
        <x:v>连续</x:v>
      </x:c>
      <x:c r="E34" s="17" t="n">
        <x:v>8</x:v>
      </x:c>
      <x:c r="F34" s="17" t="str">
        <x:v>℃</x:v>
      </x:c>
      <x:c r="G34" s="17" t="str">
        <x:v>透气盒</x:v>
      </x:c>
      <x:c r="H34" s="17" t="str">
        <x:v>模拟运输</x:v>
      </x:c>
      <x:c r="I34" s="17" t="str">
        <x:v>随机区组</x:v>
      </x:c>
      <x:c r="J34" s="17" t="str">
        <x:v>硬度/腐烂率/失重率</x:v>
      </x:c>
      <x:c r="K34" s="17" t="str">
        <x:v>筛选</x:v>
      </x:c>
    </x:row>
    <x:row r="35">
      <x:c r="A35" s="17" t="str">
        <x:v>SC31</x:v>
      </x:c>
      <x:c r="B35" s="17" t="n">
        <x:v>10</x:v>
      </x:c>
      <x:c r="C35" s="17" t="str">
        <x:v>mT</x:v>
      </x:c>
      <x:c r="D35" s="17" t="str">
        <x:v>连续</x:v>
      </x:c>
      <x:c r="E35" s="17" t="n">
        <x:v>8</x:v>
      </x:c>
      <x:c r="F35" s="17" t="str">
        <x:v>℃</x:v>
      </x:c>
      <x:c r="G35" s="17" t="str">
        <x:v>微孔膜</x:v>
      </x:c>
      <x:c r="H35" s="17" t="str">
        <x:v>静置</x:v>
      </x:c>
      <x:c r="I35" s="17" t="str">
        <x:v>随机区组</x:v>
      </x:c>
      <x:c r="J35" s="17" t="str">
        <x:v>硬度/腐烂率/失重率</x:v>
      </x:c>
      <x:c r="K35" s="17" t="str">
        <x:v>筛选</x:v>
      </x:c>
    </x:row>
    <x:row r="36">
      <x:c r="A36" s="17" t="str">
        <x:v>SC32</x:v>
      </x:c>
      <x:c r="B36" s="17" t="n">
        <x:v>10</x:v>
      </x:c>
      <x:c r="C36" s="17" t="str">
        <x:v>mT</x:v>
      </x:c>
      <x:c r="D36" s="17" t="str">
        <x:v>连续</x:v>
      </x:c>
      <x:c r="E36" s="17" t="n">
        <x:v>8</x:v>
      </x:c>
      <x:c r="F36" s="17" t="str">
        <x:v>℃</x:v>
      </x:c>
      <x:c r="G36" s="17" t="str">
        <x:v>微孔膜</x:v>
      </x:c>
      <x:c r="H36" s="17" t="str">
        <x:v>模拟运输</x:v>
      </x:c>
      <x:c r="I36" s="17" t="str">
        <x:v>随机区组</x:v>
      </x:c>
      <x:c r="J36" s="17" t="str">
        <x:v>硬度/腐烂率/失重率</x:v>
      </x:c>
      <x:c r="K36" s="17" t="str">
        <x:v>筛选</x:v>
      </x:c>
    </x:row>
    <x:row r="37">
      <x:c r="A37" s="17" t="str">
        <x:v>SC33</x:v>
      </x:c>
      <x:c r="B37" s="17" t="n">
        <x:v>10</x:v>
      </x:c>
      <x:c r="C37" s="17" t="str">
        <x:v>mT</x:v>
      </x:c>
      <x:c r="D37" s="17" t="str">
        <x:v>间歇15/15 min</x:v>
      </x:c>
      <x:c r="E37" s="17" t="n">
        <x:v>4</x:v>
      </x:c>
      <x:c r="F37" s="17" t="str">
        <x:v>℃</x:v>
      </x:c>
      <x:c r="G37" s="17" t="str">
        <x:v>透气盒</x:v>
      </x:c>
      <x:c r="H37" s="17" t="str">
        <x:v>静置</x:v>
      </x:c>
      <x:c r="I37" s="17" t="str">
        <x:v>随机区组</x:v>
      </x:c>
      <x:c r="J37" s="17" t="str">
        <x:v>硬度/腐烂率/失重率</x:v>
      </x:c>
      <x:c r="K37" s="17" t="str">
        <x:v>筛选</x:v>
      </x:c>
    </x:row>
    <x:row r="38">
      <x:c r="A38" s="17" t="str">
        <x:v>SC34</x:v>
      </x:c>
      <x:c r="B38" s="17" t="n">
        <x:v>10</x:v>
      </x:c>
      <x:c r="C38" s="17" t="str">
        <x:v>mT</x:v>
      </x:c>
      <x:c r="D38" s="17" t="str">
        <x:v>间歇15/15 min</x:v>
      </x:c>
      <x:c r="E38" s="17" t="n">
        <x:v>4</x:v>
      </x:c>
      <x:c r="F38" s="17" t="str">
        <x:v>℃</x:v>
      </x:c>
      <x:c r="G38" s="17" t="str">
        <x:v>透气盒</x:v>
      </x:c>
      <x:c r="H38" s="17" t="str">
        <x:v>模拟运输</x:v>
      </x:c>
      <x:c r="I38" s="17" t="str">
        <x:v>随机区组</x:v>
      </x:c>
      <x:c r="J38" s="17" t="str">
        <x:v>硬度/腐烂率/失重率</x:v>
      </x:c>
      <x:c r="K38" s="17" t="str">
        <x:v>筛选</x:v>
      </x:c>
    </x:row>
    <x:row r="39">
      <x:c r="A39" s="17" t="str">
        <x:v>SC35</x:v>
      </x:c>
      <x:c r="B39" s="17" t="n">
        <x:v>10</x:v>
      </x:c>
      <x:c r="C39" s="17" t="str">
        <x:v>mT</x:v>
      </x:c>
      <x:c r="D39" s="17" t="str">
        <x:v>间歇15/15 min</x:v>
      </x:c>
      <x:c r="E39" s="17" t="n">
        <x:v>4</x:v>
      </x:c>
      <x:c r="F39" s="17" t="str">
        <x:v>℃</x:v>
      </x:c>
      <x:c r="G39" s="17" t="str">
        <x:v>微孔膜</x:v>
      </x:c>
      <x:c r="H39" s="17" t="str">
        <x:v>静置</x:v>
      </x:c>
      <x:c r="I39" s="17" t="str">
        <x:v>随机区组</x:v>
      </x:c>
      <x:c r="J39" s="17" t="str">
        <x:v>硬度/腐烂率/失重率</x:v>
      </x:c>
      <x:c r="K39" s="17" t="str">
        <x:v>筛选</x:v>
      </x:c>
    </x:row>
    <x:row r="40">
      <x:c r="A40" s="17" t="str">
        <x:v>SC36</x:v>
      </x:c>
      <x:c r="B40" s="17" t="n">
        <x:v>10</x:v>
      </x:c>
      <x:c r="C40" s="17" t="str">
        <x:v>mT</x:v>
      </x:c>
      <x:c r="D40" s="17" t="str">
        <x:v>间歇15/15 min</x:v>
      </x:c>
      <x:c r="E40" s="17" t="n">
        <x:v>4</x:v>
      </x:c>
      <x:c r="F40" s="17" t="str">
        <x:v>℃</x:v>
      </x:c>
      <x:c r="G40" s="17" t="str">
        <x:v>微孔膜</x:v>
      </x:c>
      <x:c r="H40" s="17" t="str">
        <x:v>模拟运输</x:v>
      </x:c>
      <x:c r="I40" s="17" t="str">
        <x:v>随机区组</x:v>
      </x:c>
      <x:c r="J40" s="17" t="str">
        <x:v>硬度/腐烂率/失重率</x:v>
      </x:c>
      <x:c r="K40" s="17" t="str">
        <x:v>筛选</x:v>
      </x:c>
    </x:row>
    <x:row r="41">
      <x:c r="A41" s="17" t="str">
        <x:v>SC37</x:v>
      </x:c>
      <x:c r="B41" s="17" t="n">
        <x:v>10</x:v>
      </x:c>
      <x:c r="C41" s="17" t="str">
        <x:v>mT</x:v>
      </x:c>
      <x:c r="D41" s="17" t="str">
        <x:v>间歇15/15 min</x:v>
      </x:c>
      <x:c r="E41" s="17" t="n">
        <x:v>8</x:v>
      </x:c>
      <x:c r="F41" s="17" t="str">
        <x:v>℃</x:v>
      </x:c>
      <x:c r="G41" s="17" t="str">
        <x:v>透气盒</x:v>
      </x:c>
      <x:c r="H41" s="17" t="str">
        <x:v>静置</x:v>
      </x:c>
      <x:c r="I41" s="17" t="str">
        <x:v>随机区组</x:v>
      </x:c>
      <x:c r="J41" s="17" t="str">
        <x:v>硬度/腐烂率/失重率</x:v>
      </x:c>
      <x:c r="K41" s="17" t="str">
        <x:v>筛选</x:v>
      </x:c>
    </x:row>
    <x:row r="42">
      <x:c r="A42" s="17" t="str">
        <x:v>SC38</x:v>
      </x:c>
      <x:c r="B42" s="17" t="n">
        <x:v>10</x:v>
      </x:c>
      <x:c r="C42" s="17" t="str">
        <x:v>mT</x:v>
      </x:c>
      <x:c r="D42" s="17" t="str">
        <x:v>间歇15/15 min</x:v>
      </x:c>
      <x:c r="E42" s="17" t="n">
        <x:v>8</x:v>
      </x:c>
      <x:c r="F42" s="17" t="str">
        <x:v>℃</x:v>
      </x:c>
      <x:c r="G42" s="17" t="str">
        <x:v>透气盒</x:v>
      </x:c>
      <x:c r="H42" s="17" t="str">
        <x:v>模拟运输</x:v>
      </x:c>
      <x:c r="I42" s="17" t="str">
        <x:v>随机区组</x:v>
      </x:c>
      <x:c r="J42" s="17" t="str">
        <x:v>硬度/腐烂率/失重率</x:v>
      </x:c>
      <x:c r="K42" s="17" t="str">
        <x:v>筛选</x:v>
      </x:c>
    </x:row>
    <x:row r="43">
      <x:c r="A43" s="17" t="str">
        <x:v>SC39</x:v>
      </x:c>
      <x:c r="B43" s="17" t="n">
        <x:v>10</x:v>
      </x:c>
      <x:c r="C43" s="17" t="str">
        <x:v>mT</x:v>
      </x:c>
      <x:c r="D43" s="17" t="str">
        <x:v>间歇15/15 min</x:v>
      </x:c>
      <x:c r="E43" s="17" t="n">
        <x:v>8</x:v>
      </x:c>
      <x:c r="F43" s="17" t="str">
        <x:v>℃</x:v>
      </x:c>
      <x:c r="G43" s="17" t="str">
        <x:v>微孔膜</x:v>
      </x:c>
      <x:c r="H43" s="17" t="str">
        <x:v>静置</x:v>
      </x:c>
      <x:c r="I43" s="17" t="str">
        <x:v>随机区组</x:v>
      </x:c>
      <x:c r="J43" s="17" t="str">
        <x:v>硬度/腐烂率/失重率</x:v>
      </x:c>
      <x:c r="K43" s="17" t="str">
        <x:v>筛选</x:v>
      </x:c>
    </x:row>
    <x:row r="44">
      <x:c r="A44" s="17" t="str">
        <x:v>SC40</x:v>
      </x:c>
      <x:c r="B44" s="17" t="n">
        <x:v>10</x:v>
      </x:c>
      <x:c r="C44" s="17" t="str">
        <x:v>mT</x:v>
      </x:c>
      <x:c r="D44" s="17" t="str">
        <x:v>间歇15/15 min</x:v>
      </x:c>
      <x:c r="E44" s="17" t="n">
        <x:v>8</x:v>
      </x:c>
      <x:c r="F44" s="17" t="str">
        <x:v>℃</x:v>
      </x:c>
      <x:c r="G44" s="17" t="str">
        <x:v>微孔膜</x:v>
      </x:c>
      <x:c r="H44" s="17" t="str">
        <x:v>模拟运输</x:v>
      </x:c>
      <x:c r="I44" s="17" t="str">
        <x:v>随机区组</x:v>
      </x:c>
      <x:c r="J44" s="17" t="str">
        <x:v>硬度/腐烂率/失重率</x:v>
      </x:c>
      <x:c r="K44" s="17" t="str">
        <x:v>筛选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10" hidden="0" customWidth="1"/>
    <x:col min="5" max="5" width="12" hidden="0" customWidth="1"/>
    <x:col min="6" max="6" width="10" hidden="0" customWidth="1"/>
    <x:col min="7" max="7" width="16" hidden="0" customWidth="1"/>
    <x:col min="8" max="8" width="10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6" hidden="0" customWidth="1"/>
    <x:col min="14" max="14" width="12" hidden="0" customWidth="1"/>
  </x:cols>
  <x:sheetData>
    <x:row r="1" ht="30" customHeight="1">
      <x:c r="A1" s="3" t="str">
        <x:v>确证批次采样计划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32个独立批次按处理和时间点配置有效样品与损耗预留。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13" t="str">
        <x:v>批次ID</x:v>
      </x:c>
      <x:c r="B4" s="13" t="str">
        <x:v>基地</x:v>
      </x:c>
      <x:c r="C4" s="13" t="str">
        <x:v>品种</x:v>
      </x:c>
      <x:c r="D4" s="13" t="str">
        <x:v>产季</x:v>
      </x:c>
      <x:c r="E4" s="13" t="str">
        <x:v>独立批次</x:v>
      </x:c>
      <x:c r="F4" s="13" t="str">
        <x:v>处理码</x:v>
      </x:c>
      <x:c r="G4" s="13" t="str">
        <x:v>处理</x:v>
      </x:c>
      <x:c r="H4" s="13" t="str">
        <x:v>天数</x:v>
      </x:c>
      <x:c r="I4" s="13" t="str">
        <x:v>有效样品</x:v>
      </x:c>
      <x:c r="J4" s="13" t="str">
        <x:v>预留样品</x:v>
      </x:c>
      <x:c r="K4" s="13" t="str">
        <x:v>计划样品</x:v>
      </x:c>
      <x:c r="L4" s="13" t="str">
        <x:v>随机化</x:v>
      </x:c>
      <x:c r="M4" s="13" t="str">
        <x:v>盲态</x:v>
      </x:c>
      <x:c r="N4" s="13" t="str">
        <x:v>状态</x:v>
      </x:c>
    </x:row>
    <x:row r="5">
      <x:c r="A5" s="17" t="str">
        <x:v>B01-V01-S01-B1</x:v>
      </x:c>
      <x:c r="B5" s="17" t="str">
        <x:v>B01</x:v>
      </x:c>
      <x:c r="C5" s="17" t="str">
        <x:v>V01</x:v>
      </x:c>
      <x:c r="D5" s="17" t="str">
        <x:v>S01</x:v>
      </x:c>
      <x:c r="E5" s="17" t="n">
        <x:v>1</x:v>
      </x:c>
      <x:c r="F5" s="17" t="str">
        <x:v>T01</x:v>
      </x:c>
      <x:c r="G5" s="17" t="str">
        <x:v>0 mT对照</x:v>
      </x:c>
      <x:c r="H5" s="17" t="n">
        <x:v>0</x:v>
      </x:c>
      <x:c r="I5" s="17" t="n">
        <x:v>12</x:v>
      </x:c>
      <x:c r="J5" s="17" t="n">
        <x:v>2</x:v>
      </x:c>
      <x:c r="K5" s="17" t="n">
        <x:v>14</x:v>
      </x:c>
      <x:c r="L5" s="17" t="str">
        <x:v>分层区组</x:v>
      </x:c>
      <x:c r="M5" s="17" t="str">
        <x:v>检测盲态</x:v>
      </x:c>
      <x:c r="N5" s="17" t="str">
        <x:v>计划</x:v>
      </x:c>
    </x:row>
    <x:row r="6">
      <x:c r="A6" s="17" t="str">
        <x:v>B01-V01-S01-B1</x:v>
      </x:c>
      <x:c r="B6" s="17" t="str">
        <x:v>B01</x:v>
      </x:c>
      <x:c r="C6" s="17" t="str">
        <x:v>V01</x:v>
      </x:c>
      <x:c r="D6" s="17" t="str">
        <x:v>S01</x:v>
      </x:c>
      <x:c r="E6" s="17" t="n">
        <x:v>1</x:v>
      </x:c>
      <x:c r="F6" s="17" t="str">
        <x:v>T01</x:v>
      </x:c>
      <x:c r="G6" s="17" t="str">
        <x:v>0 mT对照</x:v>
      </x:c>
      <x:c r="H6" s="17" t="n">
        <x:v>3</x:v>
      </x:c>
      <x:c r="I6" s="17" t="n">
        <x:v>12</x:v>
      </x:c>
      <x:c r="J6" s="17" t="n">
        <x:v>2</x:v>
      </x:c>
      <x:c r="K6" s="17" t="n">
        <x:v>14</x:v>
      </x:c>
      <x:c r="L6" s="17" t="str">
        <x:v>分层区组</x:v>
      </x:c>
      <x:c r="M6" s="17" t="str">
        <x:v>检测盲态</x:v>
      </x:c>
      <x:c r="N6" s="17" t="str">
        <x:v>计划</x:v>
      </x:c>
    </x:row>
    <x:row r="7">
      <x:c r="A7" s="17" t="str">
        <x:v>B01-V01-S01-B1</x:v>
      </x:c>
      <x:c r="B7" s="17" t="str">
        <x:v>B01</x:v>
      </x:c>
      <x:c r="C7" s="17" t="str">
        <x:v>V01</x:v>
      </x:c>
      <x:c r="D7" s="17" t="str">
        <x:v>S01</x:v>
      </x:c>
      <x:c r="E7" s="17" t="n">
        <x:v>1</x:v>
      </x:c>
      <x:c r="F7" s="17" t="str">
        <x:v>T01</x:v>
      </x:c>
      <x:c r="G7" s="17" t="str">
        <x:v>0 mT对照</x:v>
      </x:c>
      <x:c r="H7" s="17" t="n">
        <x:v>6</x:v>
      </x:c>
      <x:c r="I7" s="17" t="n">
        <x:v>12</x:v>
      </x:c>
      <x:c r="J7" s="17" t="n">
        <x:v>2</x:v>
      </x:c>
      <x:c r="K7" s="17" t="n">
        <x:v>14</x:v>
      </x:c>
      <x:c r="L7" s="17" t="str">
        <x:v>分层区组</x:v>
      </x:c>
      <x:c r="M7" s="17" t="str">
        <x:v>检测盲态</x:v>
      </x:c>
      <x:c r="N7" s="17" t="str">
        <x:v>计划</x:v>
      </x:c>
    </x:row>
    <x:row r="8">
      <x:c r="A8" s="17" t="str">
        <x:v>B01-V01-S01-B1</x:v>
      </x:c>
      <x:c r="B8" s="17" t="str">
        <x:v>B01</x:v>
      </x:c>
      <x:c r="C8" s="17" t="str">
        <x:v>V01</x:v>
      </x:c>
      <x:c r="D8" s="17" t="str">
        <x:v>S01</x:v>
      </x:c>
      <x:c r="E8" s="17" t="n">
        <x:v>1</x:v>
      </x:c>
      <x:c r="F8" s="17" t="str">
        <x:v>T01</x:v>
      </x:c>
      <x:c r="G8" s="17" t="str">
        <x:v>0 mT对照</x:v>
      </x:c>
      <x:c r="H8" s="17" t="n">
        <x:v>9</x:v>
      </x:c>
      <x:c r="I8" s="17" t="n">
        <x:v>12</x:v>
      </x:c>
      <x:c r="J8" s="17" t="n">
        <x:v>2</x:v>
      </x:c>
      <x:c r="K8" s="17" t="n">
        <x:v>14</x:v>
      </x:c>
      <x:c r="L8" s="17" t="str">
        <x:v>分层区组</x:v>
      </x:c>
      <x:c r="M8" s="17" t="str">
        <x:v>检测盲态</x:v>
      </x:c>
      <x:c r="N8" s="17" t="str">
        <x:v>计划</x:v>
      </x:c>
    </x:row>
    <x:row r="9">
      <x:c r="A9" s="17" t="str">
        <x:v>B01-V01-S01-B1</x:v>
      </x:c>
      <x:c r="B9" s="17" t="str">
        <x:v>B01</x:v>
      </x:c>
      <x:c r="C9" s="17" t="str">
        <x:v>V01</x:v>
      </x:c>
      <x:c r="D9" s="17" t="str">
        <x:v>S01</x:v>
      </x:c>
      <x:c r="E9" s="17" t="n">
        <x:v>1</x:v>
      </x:c>
      <x:c r="F9" s="17" t="str">
        <x:v>T01</x:v>
      </x:c>
      <x:c r="G9" s="17" t="str">
        <x:v>0 mT对照</x:v>
      </x:c>
      <x:c r="H9" s="17" t="n">
        <x:v>12</x:v>
      </x:c>
      <x:c r="I9" s="17" t="n">
        <x:v>12</x:v>
      </x:c>
      <x:c r="J9" s="17" t="n">
        <x:v>2</x:v>
      </x:c>
      <x:c r="K9" s="17" t="n">
        <x:v>14</x:v>
      </x:c>
      <x:c r="L9" s="17" t="str">
        <x:v>分层区组</x:v>
      </x:c>
      <x:c r="M9" s="17" t="str">
        <x:v>检测盲态</x:v>
      </x:c>
      <x:c r="N9" s="17" t="str">
        <x:v>计划</x:v>
      </x:c>
    </x:row>
    <x:row r="10">
      <x:c r="A10" s="17" t="str">
        <x:v>B01-V01-S01-B1</x:v>
      </x:c>
      <x:c r="B10" s="17" t="str">
        <x:v>B01</x:v>
      </x:c>
      <x:c r="C10" s="17" t="str">
        <x:v>V01</x:v>
      </x:c>
      <x:c r="D10" s="17" t="str">
        <x:v>S01</x:v>
      </x:c>
      <x:c r="E10" s="17" t="n">
        <x:v>1</x:v>
      </x:c>
      <x:c r="F10" s="17" t="str">
        <x:v>T01</x:v>
      </x:c>
      <x:c r="G10" s="17" t="str">
        <x:v>0 mT对照</x:v>
      </x:c>
      <x:c r="H10" s="17" t="n">
        <x:v>15</x:v>
      </x:c>
      <x:c r="I10" s="17" t="n">
        <x:v>12</x:v>
      </x:c>
      <x:c r="J10" s="17" t="n">
        <x:v>2</x:v>
      </x:c>
      <x:c r="K10" s="17" t="n">
        <x:v>14</x:v>
      </x:c>
      <x:c r="L10" s="17" t="str">
        <x:v>分层区组</x:v>
      </x:c>
      <x:c r="M10" s="17" t="str">
        <x:v>检测盲态</x:v>
      </x:c>
      <x:c r="N10" s="17" t="str">
        <x:v>计划</x:v>
      </x:c>
    </x:row>
    <x:row r="11">
      <x:c r="A11" s="17" t="str">
        <x:v>B01-V01-S01-B1</x:v>
      </x:c>
      <x:c r="B11" s="17" t="str">
        <x:v>B01</x:v>
      </x:c>
      <x:c r="C11" s="17" t="str">
        <x:v>V01</x:v>
      </x:c>
      <x:c r="D11" s="17" t="str">
        <x:v>S01</x:v>
      </x:c>
      <x:c r="E11" s="17" t="n">
        <x:v>1</x:v>
      </x:c>
      <x:c r="F11" s="17" t="str">
        <x:v>T02</x:v>
      </x:c>
      <x:c r="G11" s="17" t="str">
        <x:v>5 mT连续</x:v>
      </x:c>
      <x:c r="H11" s="17" t="n">
        <x:v>0</x:v>
      </x:c>
      <x:c r="I11" s="17" t="n">
        <x:v>12</x:v>
      </x:c>
      <x:c r="J11" s="17" t="n">
        <x:v>2</x:v>
      </x:c>
      <x:c r="K11" s="17" t="n">
        <x:v>14</x:v>
      </x:c>
      <x:c r="L11" s="17" t="str">
        <x:v>分层区组</x:v>
      </x:c>
      <x:c r="M11" s="17" t="str">
        <x:v>检测盲态</x:v>
      </x:c>
      <x:c r="N11" s="17" t="str">
        <x:v>计划</x:v>
      </x:c>
    </x:row>
    <x:row r="12">
      <x:c r="A12" s="17" t="str">
        <x:v>B01-V01-S01-B1</x:v>
      </x:c>
      <x:c r="B12" s="17" t="str">
        <x:v>B01</x:v>
      </x:c>
      <x:c r="C12" s="17" t="str">
        <x:v>V01</x:v>
      </x:c>
      <x:c r="D12" s="17" t="str">
        <x:v>S01</x:v>
      </x:c>
      <x:c r="E12" s="17" t="n">
        <x:v>1</x:v>
      </x:c>
      <x:c r="F12" s="17" t="str">
        <x:v>T02</x:v>
      </x:c>
      <x:c r="G12" s="17" t="str">
        <x:v>5 mT连续</x:v>
      </x:c>
      <x:c r="H12" s="17" t="n">
        <x:v>3</x:v>
      </x:c>
      <x:c r="I12" s="17" t="n">
        <x:v>12</x:v>
      </x:c>
      <x:c r="J12" s="17" t="n">
        <x:v>2</x:v>
      </x:c>
      <x:c r="K12" s="17" t="n">
        <x:v>14</x:v>
      </x:c>
      <x:c r="L12" s="17" t="str">
        <x:v>分层区组</x:v>
      </x:c>
      <x:c r="M12" s="17" t="str">
        <x:v>检测盲态</x:v>
      </x:c>
      <x:c r="N12" s="17" t="str">
        <x:v>计划</x:v>
      </x:c>
    </x:row>
    <x:row r="13">
      <x:c r="A13" s="17" t="str">
        <x:v>B01-V01-S01-B1</x:v>
      </x:c>
      <x:c r="B13" s="17" t="str">
        <x:v>B01</x:v>
      </x:c>
      <x:c r="C13" s="17" t="str">
        <x:v>V01</x:v>
      </x:c>
      <x:c r="D13" s="17" t="str">
        <x:v>S01</x:v>
      </x:c>
      <x:c r="E13" s="17" t="n">
        <x:v>1</x:v>
      </x:c>
      <x:c r="F13" s="17" t="str">
        <x:v>T02</x:v>
      </x:c>
      <x:c r="G13" s="17" t="str">
        <x:v>5 mT连续</x:v>
      </x:c>
      <x:c r="H13" s="17" t="n">
        <x:v>6</x:v>
      </x:c>
      <x:c r="I13" s="17" t="n">
        <x:v>12</x:v>
      </x:c>
      <x:c r="J13" s="17" t="n">
        <x:v>2</x:v>
      </x:c>
      <x:c r="K13" s="17" t="n">
        <x:v>14</x:v>
      </x:c>
      <x:c r="L13" s="17" t="str">
        <x:v>分层区组</x:v>
      </x:c>
      <x:c r="M13" s="17" t="str">
        <x:v>检测盲态</x:v>
      </x:c>
      <x:c r="N13" s="17" t="str">
        <x:v>计划</x:v>
      </x:c>
    </x:row>
    <x:row r="14">
      <x:c r="A14" s="17" t="str">
        <x:v>B01-V01-S01-B1</x:v>
      </x:c>
      <x:c r="B14" s="17" t="str">
        <x:v>B01</x:v>
      </x:c>
      <x:c r="C14" s="17" t="str">
        <x:v>V01</x:v>
      </x:c>
      <x:c r="D14" s="17" t="str">
        <x:v>S01</x:v>
      </x:c>
      <x:c r="E14" s="17" t="n">
        <x:v>1</x:v>
      </x:c>
      <x:c r="F14" s="17" t="str">
        <x:v>T02</x:v>
      </x:c>
      <x:c r="G14" s="17" t="str">
        <x:v>5 mT连续</x:v>
      </x:c>
      <x:c r="H14" s="17" t="n">
        <x:v>9</x:v>
      </x:c>
      <x:c r="I14" s="17" t="n">
        <x:v>12</x:v>
      </x:c>
      <x:c r="J14" s="17" t="n">
        <x:v>2</x:v>
      </x:c>
      <x:c r="K14" s="17" t="n">
        <x:v>14</x:v>
      </x:c>
      <x:c r="L14" s="17" t="str">
        <x:v>分层区组</x:v>
      </x:c>
      <x:c r="M14" s="17" t="str">
        <x:v>检测盲态</x:v>
      </x:c>
      <x:c r="N14" s="17" t="str">
        <x:v>计划</x:v>
      </x:c>
    </x:row>
    <x:row r="15">
      <x:c r="A15" s="17" t="str">
        <x:v>B01-V01-S01-B1</x:v>
      </x:c>
      <x:c r="B15" s="17" t="str">
        <x:v>B01</x:v>
      </x:c>
      <x:c r="C15" s="17" t="str">
        <x:v>V01</x:v>
      </x:c>
      <x:c r="D15" s="17" t="str">
        <x:v>S01</x:v>
      </x:c>
      <x:c r="E15" s="17" t="n">
        <x:v>1</x:v>
      </x:c>
      <x:c r="F15" s="17" t="str">
        <x:v>T02</x:v>
      </x:c>
      <x:c r="G15" s="17" t="str">
        <x:v>5 mT连续</x:v>
      </x:c>
      <x:c r="H15" s="17" t="n">
        <x:v>12</x:v>
      </x:c>
      <x:c r="I15" s="17" t="n">
        <x:v>12</x:v>
      </x:c>
      <x:c r="J15" s="17" t="n">
        <x:v>2</x:v>
      </x:c>
      <x:c r="K15" s="17" t="n">
        <x:v>14</x:v>
      </x:c>
      <x:c r="L15" s="17" t="str">
        <x:v>分层区组</x:v>
      </x:c>
      <x:c r="M15" s="17" t="str">
        <x:v>检测盲态</x:v>
      </x:c>
      <x:c r="N15" s="17" t="str">
        <x:v>计划</x:v>
      </x:c>
    </x:row>
    <x:row r="16">
      <x:c r="A16" s="17" t="str">
        <x:v>B01-V01-S01-B1</x:v>
      </x:c>
      <x:c r="B16" s="17" t="str">
        <x:v>B01</x:v>
      </x:c>
      <x:c r="C16" s="17" t="str">
        <x:v>V01</x:v>
      </x:c>
      <x:c r="D16" s="17" t="str">
        <x:v>S01</x:v>
      </x:c>
      <x:c r="E16" s="17" t="n">
        <x:v>1</x:v>
      </x:c>
      <x:c r="F16" s="17" t="str">
        <x:v>T02</x:v>
      </x:c>
      <x:c r="G16" s="17" t="str">
        <x:v>5 mT连续</x:v>
      </x:c>
      <x:c r="H16" s="17" t="n">
        <x:v>15</x:v>
      </x:c>
      <x:c r="I16" s="17" t="n">
        <x:v>12</x:v>
      </x:c>
      <x:c r="J16" s="17" t="n">
        <x:v>2</x:v>
      </x:c>
      <x:c r="K16" s="17" t="n">
        <x:v>14</x:v>
      </x:c>
      <x:c r="L16" s="17" t="str">
        <x:v>分层区组</x:v>
      </x:c>
      <x:c r="M16" s="17" t="str">
        <x:v>检测盲态</x:v>
      </x:c>
      <x:c r="N16" s="17" t="str">
        <x:v>计划</x:v>
      </x:c>
    </x:row>
    <x:row r="17">
      <x:c r="A17" s="17" t="str">
        <x:v>B01-V01-S01-B2</x:v>
      </x:c>
      <x:c r="B17" s="17" t="str">
        <x:v>B01</x:v>
      </x:c>
      <x:c r="C17" s="17" t="str">
        <x:v>V01</x:v>
      </x:c>
      <x:c r="D17" s="17" t="str">
        <x:v>S01</x:v>
      </x:c>
      <x:c r="E17" s="17" t="n">
        <x:v>2</x:v>
      </x:c>
      <x:c r="F17" s="17" t="str">
        <x:v>T01</x:v>
      </x:c>
      <x:c r="G17" s="17" t="str">
        <x:v>0 mT对照</x:v>
      </x:c>
      <x:c r="H17" s="17" t="n">
        <x:v>0</x:v>
      </x:c>
      <x:c r="I17" s="17" t="n">
        <x:v>12</x:v>
      </x:c>
      <x:c r="J17" s="17" t="n">
        <x:v>2</x:v>
      </x:c>
      <x:c r="K17" s="17" t="n">
        <x:v>14</x:v>
      </x:c>
      <x:c r="L17" s="17" t="str">
        <x:v>分层区组</x:v>
      </x:c>
      <x:c r="M17" s="17" t="str">
        <x:v>检测盲态</x:v>
      </x:c>
      <x:c r="N17" s="17" t="str">
        <x:v>计划</x:v>
      </x:c>
    </x:row>
    <x:row r="18">
      <x:c r="A18" s="17" t="str">
        <x:v>B01-V01-S01-B2</x:v>
      </x:c>
      <x:c r="B18" s="17" t="str">
        <x:v>B01</x:v>
      </x:c>
      <x:c r="C18" s="17" t="str">
        <x:v>V01</x:v>
      </x:c>
      <x:c r="D18" s="17" t="str">
        <x:v>S01</x:v>
      </x:c>
      <x:c r="E18" s="17" t="n">
        <x:v>2</x:v>
      </x:c>
      <x:c r="F18" s="17" t="str">
        <x:v>T01</x:v>
      </x:c>
      <x:c r="G18" s="17" t="str">
        <x:v>0 mT对照</x:v>
      </x:c>
      <x:c r="H18" s="17" t="n">
        <x:v>3</x:v>
      </x:c>
      <x:c r="I18" s="17" t="n">
        <x:v>12</x:v>
      </x:c>
      <x:c r="J18" s="17" t="n">
        <x:v>2</x:v>
      </x:c>
      <x:c r="K18" s="17" t="n">
        <x:v>14</x:v>
      </x:c>
      <x:c r="L18" s="17" t="str">
        <x:v>分层区组</x:v>
      </x:c>
      <x:c r="M18" s="17" t="str">
        <x:v>检测盲态</x:v>
      </x:c>
      <x:c r="N18" s="17" t="str">
        <x:v>计划</x:v>
      </x:c>
    </x:row>
    <x:row r="19">
      <x:c r="A19" s="17" t="str">
        <x:v>B01-V01-S01-B2</x:v>
      </x:c>
      <x:c r="B19" s="17" t="str">
        <x:v>B01</x:v>
      </x:c>
      <x:c r="C19" s="17" t="str">
        <x:v>V01</x:v>
      </x:c>
      <x:c r="D19" s="17" t="str">
        <x:v>S01</x:v>
      </x:c>
      <x:c r="E19" s="17" t="n">
        <x:v>2</x:v>
      </x:c>
      <x:c r="F19" s="17" t="str">
        <x:v>T01</x:v>
      </x:c>
      <x:c r="G19" s="17" t="str">
        <x:v>0 mT对照</x:v>
      </x:c>
      <x:c r="H19" s="17" t="n">
        <x:v>6</x:v>
      </x:c>
      <x:c r="I19" s="17" t="n">
        <x:v>12</x:v>
      </x:c>
      <x:c r="J19" s="17" t="n">
        <x:v>2</x:v>
      </x:c>
      <x:c r="K19" s="17" t="n">
        <x:v>14</x:v>
      </x:c>
      <x:c r="L19" s="17" t="str">
        <x:v>分层区组</x:v>
      </x:c>
      <x:c r="M19" s="17" t="str">
        <x:v>检测盲态</x:v>
      </x:c>
      <x:c r="N19" s="17" t="str">
        <x:v>计划</x:v>
      </x:c>
    </x:row>
    <x:row r="20">
      <x:c r="A20" s="17" t="str">
        <x:v>B01-V01-S01-B2</x:v>
      </x:c>
      <x:c r="B20" s="17" t="str">
        <x:v>B01</x:v>
      </x:c>
      <x:c r="C20" s="17" t="str">
        <x:v>V01</x:v>
      </x:c>
      <x:c r="D20" s="17" t="str">
        <x:v>S01</x:v>
      </x:c>
      <x:c r="E20" s="17" t="n">
        <x:v>2</x:v>
      </x:c>
      <x:c r="F20" s="17" t="str">
        <x:v>T01</x:v>
      </x:c>
      <x:c r="G20" s="17" t="str">
        <x:v>0 mT对照</x:v>
      </x:c>
      <x:c r="H20" s="17" t="n">
        <x:v>9</x:v>
      </x:c>
      <x:c r="I20" s="17" t="n">
        <x:v>12</x:v>
      </x:c>
      <x:c r="J20" s="17" t="n">
        <x:v>2</x:v>
      </x:c>
      <x:c r="K20" s="17" t="n">
        <x:v>14</x:v>
      </x:c>
      <x:c r="L20" s="17" t="str">
        <x:v>分层区组</x:v>
      </x:c>
      <x:c r="M20" s="17" t="str">
        <x:v>检测盲态</x:v>
      </x:c>
      <x:c r="N20" s="17" t="str">
        <x:v>计划</x:v>
      </x:c>
    </x:row>
    <x:row r="21">
      <x:c r="A21" s="17" t="str">
        <x:v>B01-V01-S01-B2</x:v>
      </x:c>
      <x:c r="B21" s="17" t="str">
        <x:v>B01</x:v>
      </x:c>
      <x:c r="C21" s="17" t="str">
        <x:v>V01</x:v>
      </x:c>
      <x:c r="D21" s="17" t="str">
        <x:v>S01</x:v>
      </x:c>
      <x:c r="E21" s="17" t="n">
        <x:v>2</x:v>
      </x:c>
      <x:c r="F21" s="17" t="str">
        <x:v>T01</x:v>
      </x:c>
      <x:c r="G21" s="17" t="str">
        <x:v>0 mT对照</x:v>
      </x:c>
      <x:c r="H21" s="17" t="n">
        <x:v>12</x:v>
      </x:c>
      <x:c r="I21" s="17" t="n">
        <x:v>12</x:v>
      </x:c>
      <x:c r="J21" s="17" t="n">
        <x:v>2</x:v>
      </x:c>
      <x:c r="K21" s="17" t="n">
        <x:v>14</x:v>
      </x:c>
      <x:c r="L21" s="17" t="str">
        <x:v>分层区组</x:v>
      </x:c>
      <x:c r="M21" s="17" t="str">
        <x:v>检测盲态</x:v>
      </x:c>
      <x:c r="N21" s="17" t="str">
        <x:v>计划</x:v>
      </x:c>
    </x:row>
    <x:row r="22">
      <x:c r="A22" s="17" t="str">
        <x:v>B01-V01-S01-B2</x:v>
      </x:c>
      <x:c r="B22" s="17" t="str">
        <x:v>B01</x:v>
      </x:c>
      <x:c r="C22" s="17" t="str">
        <x:v>V01</x:v>
      </x:c>
      <x:c r="D22" s="17" t="str">
        <x:v>S01</x:v>
      </x:c>
      <x:c r="E22" s="17" t="n">
        <x:v>2</x:v>
      </x:c>
      <x:c r="F22" s="17" t="str">
        <x:v>T01</x:v>
      </x:c>
      <x:c r="G22" s="17" t="str">
        <x:v>0 mT对照</x:v>
      </x:c>
      <x:c r="H22" s="17" t="n">
        <x:v>15</x:v>
      </x:c>
      <x:c r="I22" s="17" t="n">
        <x:v>12</x:v>
      </x:c>
      <x:c r="J22" s="17" t="n">
        <x:v>2</x:v>
      </x:c>
      <x:c r="K22" s="17" t="n">
        <x:v>14</x:v>
      </x:c>
      <x:c r="L22" s="17" t="str">
        <x:v>分层区组</x:v>
      </x:c>
      <x:c r="M22" s="17" t="str">
        <x:v>检测盲态</x:v>
      </x:c>
      <x:c r="N22" s="17" t="str">
        <x:v>计划</x:v>
      </x:c>
    </x:row>
    <x:row r="23">
      <x:c r="A23" s="17" t="str">
        <x:v>B01-V01-S01-B2</x:v>
      </x:c>
      <x:c r="B23" s="17" t="str">
        <x:v>B01</x:v>
      </x:c>
      <x:c r="C23" s="17" t="str">
        <x:v>V01</x:v>
      </x:c>
      <x:c r="D23" s="17" t="str">
        <x:v>S01</x:v>
      </x:c>
      <x:c r="E23" s="17" t="n">
        <x:v>2</x:v>
      </x:c>
      <x:c r="F23" s="17" t="str">
        <x:v>T02</x:v>
      </x:c>
      <x:c r="G23" s="17" t="str">
        <x:v>5 mT连续</x:v>
      </x:c>
      <x:c r="H23" s="17" t="n">
        <x:v>0</x:v>
      </x:c>
      <x:c r="I23" s="17" t="n">
        <x:v>12</x:v>
      </x:c>
      <x:c r="J23" s="17" t="n">
        <x:v>2</x:v>
      </x:c>
      <x:c r="K23" s="17" t="n">
        <x:v>14</x:v>
      </x:c>
      <x:c r="L23" s="17" t="str">
        <x:v>分层区组</x:v>
      </x:c>
      <x:c r="M23" s="17" t="str">
        <x:v>检测盲态</x:v>
      </x:c>
      <x:c r="N23" s="17" t="str">
        <x:v>计划</x:v>
      </x:c>
    </x:row>
    <x:row r="24">
      <x:c r="A24" s="17" t="str">
        <x:v>B01-V01-S01-B2</x:v>
      </x:c>
      <x:c r="B24" s="17" t="str">
        <x:v>B01</x:v>
      </x:c>
      <x:c r="C24" s="17" t="str">
        <x:v>V01</x:v>
      </x:c>
      <x:c r="D24" s="17" t="str">
        <x:v>S01</x:v>
      </x:c>
      <x:c r="E24" s="17" t="n">
        <x:v>2</x:v>
      </x:c>
      <x:c r="F24" s="17" t="str">
        <x:v>T02</x:v>
      </x:c>
      <x:c r="G24" s="17" t="str">
        <x:v>5 mT连续</x:v>
      </x:c>
      <x:c r="H24" s="17" t="n">
        <x:v>3</x:v>
      </x:c>
      <x:c r="I24" s="17" t="n">
        <x:v>12</x:v>
      </x:c>
      <x:c r="J24" s="17" t="n">
        <x:v>2</x:v>
      </x:c>
      <x:c r="K24" s="17" t="n">
        <x:v>14</x:v>
      </x:c>
      <x:c r="L24" s="17" t="str">
        <x:v>分层区组</x:v>
      </x:c>
      <x:c r="M24" s="17" t="str">
        <x:v>检测盲态</x:v>
      </x:c>
      <x:c r="N24" s="17" t="str">
        <x:v>计划</x:v>
      </x:c>
    </x:row>
    <x:row r="25">
      <x:c r="A25" s="17" t="str">
        <x:v>B01-V01-S01-B2</x:v>
      </x:c>
      <x:c r="B25" s="17" t="str">
        <x:v>B01</x:v>
      </x:c>
      <x:c r="C25" s="17" t="str">
        <x:v>V01</x:v>
      </x:c>
      <x:c r="D25" s="17" t="str">
        <x:v>S01</x:v>
      </x:c>
      <x:c r="E25" s="17" t="n">
        <x:v>2</x:v>
      </x:c>
      <x:c r="F25" s="17" t="str">
        <x:v>T02</x:v>
      </x:c>
      <x:c r="G25" s="17" t="str">
        <x:v>5 mT连续</x:v>
      </x:c>
      <x:c r="H25" s="17" t="n">
        <x:v>6</x:v>
      </x:c>
      <x:c r="I25" s="17" t="n">
        <x:v>12</x:v>
      </x:c>
      <x:c r="J25" s="17" t="n">
        <x:v>2</x:v>
      </x:c>
      <x:c r="K25" s="17" t="n">
        <x:v>14</x:v>
      </x:c>
      <x:c r="L25" s="17" t="str">
        <x:v>分层区组</x:v>
      </x:c>
      <x:c r="M25" s="17" t="str">
        <x:v>检测盲态</x:v>
      </x:c>
      <x:c r="N25" s="17" t="str">
        <x:v>计划</x:v>
      </x:c>
    </x:row>
    <x:row r="26">
      <x:c r="A26" s="17" t="str">
        <x:v>B01-V01-S01-B2</x:v>
      </x:c>
      <x:c r="B26" s="17" t="str">
        <x:v>B01</x:v>
      </x:c>
      <x:c r="C26" s="17" t="str">
        <x:v>V01</x:v>
      </x:c>
      <x:c r="D26" s="17" t="str">
        <x:v>S01</x:v>
      </x:c>
      <x:c r="E26" s="17" t="n">
        <x:v>2</x:v>
      </x:c>
      <x:c r="F26" s="17" t="str">
        <x:v>T02</x:v>
      </x:c>
      <x:c r="G26" s="17" t="str">
        <x:v>5 mT连续</x:v>
      </x:c>
      <x:c r="H26" s="17" t="n">
        <x:v>9</x:v>
      </x:c>
      <x:c r="I26" s="17" t="n">
        <x:v>12</x:v>
      </x:c>
      <x:c r="J26" s="17" t="n">
        <x:v>2</x:v>
      </x:c>
      <x:c r="K26" s="17" t="n">
        <x:v>14</x:v>
      </x:c>
      <x:c r="L26" s="17" t="str">
        <x:v>分层区组</x:v>
      </x:c>
      <x:c r="M26" s="17" t="str">
        <x:v>检测盲态</x:v>
      </x:c>
      <x:c r="N26" s="17" t="str">
        <x:v>计划</x:v>
      </x:c>
    </x:row>
    <x:row r="27">
      <x:c r="A27" s="17" t="str">
        <x:v>B01-V01-S01-B2</x:v>
      </x:c>
      <x:c r="B27" s="17" t="str">
        <x:v>B01</x:v>
      </x:c>
      <x:c r="C27" s="17" t="str">
        <x:v>V01</x:v>
      </x:c>
      <x:c r="D27" s="17" t="str">
        <x:v>S01</x:v>
      </x:c>
      <x:c r="E27" s="17" t="n">
        <x:v>2</x:v>
      </x:c>
      <x:c r="F27" s="17" t="str">
        <x:v>T02</x:v>
      </x:c>
      <x:c r="G27" s="17" t="str">
        <x:v>5 mT连续</x:v>
      </x:c>
      <x:c r="H27" s="17" t="n">
        <x:v>12</x:v>
      </x:c>
      <x:c r="I27" s="17" t="n">
        <x:v>12</x:v>
      </x:c>
      <x:c r="J27" s="17" t="n">
        <x:v>2</x:v>
      </x:c>
      <x:c r="K27" s="17" t="n">
        <x:v>14</x:v>
      </x:c>
      <x:c r="L27" s="17" t="str">
        <x:v>分层区组</x:v>
      </x:c>
      <x:c r="M27" s="17" t="str">
        <x:v>检测盲态</x:v>
      </x:c>
      <x:c r="N27" s="17" t="str">
        <x:v>计划</x:v>
      </x:c>
    </x:row>
    <x:row r="28">
      <x:c r="A28" s="17" t="str">
        <x:v>B01-V01-S01-B2</x:v>
      </x:c>
      <x:c r="B28" s="17" t="str">
        <x:v>B01</x:v>
      </x:c>
      <x:c r="C28" s="17" t="str">
        <x:v>V01</x:v>
      </x:c>
      <x:c r="D28" s="17" t="str">
        <x:v>S01</x:v>
      </x:c>
      <x:c r="E28" s="17" t="n">
        <x:v>2</x:v>
      </x:c>
      <x:c r="F28" s="17" t="str">
        <x:v>T02</x:v>
      </x:c>
      <x:c r="G28" s="17" t="str">
        <x:v>5 mT连续</x:v>
      </x:c>
      <x:c r="H28" s="17" t="n">
        <x:v>15</x:v>
      </x:c>
      <x:c r="I28" s="17" t="n">
        <x:v>12</x:v>
      </x:c>
      <x:c r="J28" s="17" t="n">
        <x:v>2</x:v>
      </x:c>
      <x:c r="K28" s="17" t="n">
        <x:v>14</x:v>
      </x:c>
      <x:c r="L28" s="17" t="str">
        <x:v>分层区组</x:v>
      </x:c>
      <x:c r="M28" s="17" t="str">
        <x:v>检测盲态</x:v>
      </x:c>
      <x:c r="N28" s="17" t="str">
        <x:v>计划</x:v>
      </x:c>
    </x:row>
    <x:row r="29">
      <x:c r="A29" s="17" t="str">
        <x:v>B01-V01-S02-B1</x:v>
      </x:c>
      <x:c r="B29" s="17" t="str">
        <x:v>B01</x:v>
      </x:c>
      <x:c r="C29" s="17" t="str">
        <x:v>V01</x:v>
      </x:c>
      <x:c r="D29" s="17" t="str">
        <x:v>S02</x:v>
      </x:c>
      <x:c r="E29" s="17" t="n">
        <x:v>1</x:v>
      </x:c>
      <x:c r="F29" s="17" t="str">
        <x:v>T01</x:v>
      </x:c>
      <x:c r="G29" s="17" t="str">
        <x:v>0 mT对照</x:v>
      </x:c>
      <x:c r="H29" s="17" t="n">
        <x:v>0</x:v>
      </x:c>
      <x:c r="I29" s="17" t="n">
        <x:v>12</x:v>
      </x:c>
      <x:c r="J29" s="17" t="n">
        <x:v>2</x:v>
      </x:c>
      <x:c r="K29" s="17" t="n">
        <x:v>14</x:v>
      </x:c>
      <x:c r="L29" s="17" t="str">
        <x:v>分层区组</x:v>
      </x:c>
      <x:c r="M29" s="17" t="str">
        <x:v>检测盲态</x:v>
      </x:c>
      <x:c r="N29" s="17" t="str">
        <x:v>计划</x:v>
      </x:c>
    </x:row>
    <x:row r="30">
      <x:c r="A30" s="17" t="str">
        <x:v>B01-V01-S02-B1</x:v>
      </x:c>
      <x:c r="B30" s="17" t="str">
        <x:v>B01</x:v>
      </x:c>
      <x:c r="C30" s="17" t="str">
        <x:v>V01</x:v>
      </x:c>
      <x:c r="D30" s="17" t="str">
        <x:v>S02</x:v>
      </x:c>
      <x:c r="E30" s="17" t="n">
        <x:v>1</x:v>
      </x:c>
      <x:c r="F30" s="17" t="str">
        <x:v>T01</x:v>
      </x:c>
      <x:c r="G30" s="17" t="str">
        <x:v>0 mT对照</x:v>
      </x:c>
      <x:c r="H30" s="17" t="n">
        <x:v>3</x:v>
      </x:c>
      <x:c r="I30" s="17" t="n">
        <x:v>12</x:v>
      </x:c>
      <x:c r="J30" s="17" t="n">
        <x:v>2</x:v>
      </x:c>
      <x:c r="K30" s="17" t="n">
        <x:v>14</x:v>
      </x:c>
      <x:c r="L30" s="17" t="str">
        <x:v>分层区组</x:v>
      </x:c>
      <x:c r="M30" s="17" t="str">
        <x:v>检测盲态</x:v>
      </x:c>
      <x:c r="N30" s="17" t="str">
        <x:v>计划</x:v>
      </x:c>
    </x:row>
    <x:row r="31">
      <x:c r="A31" s="17" t="str">
        <x:v>B01-V01-S02-B1</x:v>
      </x:c>
      <x:c r="B31" s="17" t="str">
        <x:v>B01</x:v>
      </x:c>
      <x:c r="C31" s="17" t="str">
        <x:v>V01</x:v>
      </x:c>
      <x:c r="D31" s="17" t="str">
        <x:v>S02</x:v>
      </x:c>
      <x:c r="E31" s="17" t="n">
        <x:v>1</x:v>
      </x:c>
      <x:c r="F31" s="17" t="str">
        <x:v>T01</x:v>
      </x:c>
      <x:c r="G31" s="17" t="str">
        <x:v>0 mT对照</x:v>
      </x:c>
      <x:c r="H31" s="17" t="n">
        <x:v>6</x:v>
      </x:c>
      <x:c r="I31" s="17" t="n">
        <x:v>12</x:v>
      </x:c>
      <x:c r="J31" s="17" t="n">
        <x:v>2</x:v>
      </x:c>
      <x:c r="K31" s="17" t="n">
        <x:v>14</x:v>
      </x:c>
      <x:c r="L31" s="17" t="str">
        <x:v>分层区组</x:v>
      </x:c>
      <x:c r="M31" s="17" t="str">
        <x:v>检测盲态</x:v>
      </x:c>
      <x:c r="N31" s="17" t="str">
        <x:v>计划</x:v>
      </x:c>
    </x:row>
    <x:row r="32">
      <x:c r="A32" s="17" t="str">
        <x:v>B01-V01-S02-B1</x:v>
      </x:c>
      <x:c r="B32" s="17" t="str">
        <x:v>B01</x:v>
      </x:c>
      <x:c r="C32" s="17" t="str">
        <x:v>V01</x:v>
      </x:c>
      <x:c r="D32" s="17" t="str">
        <x:v>S02</x:v>
      </x:c>
      <x:c r="E32" s="17" t="n">
        <x:v>1</x:v>
      </x:c>
      <x:c r="F32" s="17" t="str">
        <x:v>T01</x:v>
      </x:c>
      <x:c r="G32" s="17" t="str">
        <x:v>0 mT对照</x:v>
      </x:c>
      <x:c r="H32" s="17" t="n">
        <x:v>9</x:v>
      </x:c>
      <x:c r="I32" s="17" t="n">
        <x:v>12</x:v>
      </x:c>
      <x:c r="J32" s="17" t="n">
        <x:v>2</x:v>
      </x:c>
      <x:c r="K32" s="17" t="n">
        <x:v>14</x:v>
      </x:c>
      <x:c r="L32" s="17" t="str">
        <x:v>分层区组</x:v>
      </x:c>
      <x:c r="M32" s="17" t="str">
        <x:v>检测盲态</x:v>
      </x:c>
      <x:c r="N32" s="17" t="str">
        <x:v>计划</x:v>
      </x:c>
    </x:row>
    <x:row r="33">
      <x:c r="A33" s="17" t="str">
        <x:v>B01-V01-S02-B1</x:v>
      </x:c>
      <x:c r="B33" s="17" t="str">
        <x:v>B01</x:v>
      </x:c>
      <x:c r="C33" s="17" t="str">
        <x:v>V01</x:v>
      </x:c>
      <x:c r="D33" s="17" t="str">
        <x:v>S02</x:v>
      </x:c>
      <x:c r="E33" s="17" t="n">
        <x:v>1</x:v>
      </x:c>
      <x:c r="F33" s="17" t="str">
        <x:v>T01</x:v>
      </x:c>
      <x:c r="G33" s="17" t="str">
        <x:v>0 mT对照</x:v>
      </x:c>
      <x:c r="H33" s="17" t="n">
        <x:v>12</x:v>
      </x:c>
      <x:c r="I33" s="17" t="n">
        <x:v>12</x:v>
      </x:c>
      <x:c r="J33" s="17" t="n">
        <x:v>2</x:v>
      </x:c>
      <x:c r="K33" s="17" t="n">
        <x:v>14</x:v>
      </x:c>
      <x:c r="L33" s="17" t="str">
        <x:v>分层区组</x:v>
      </x:c>
      <x:c r="M33" s="17" t="str">
        <x:v>检测盲态</x:v>
      </x:c>
      <x:c r="N33" s="17" t="str">
        <x:v>计划</x:v>
      </x:c>
    </x:row>
    <x:row r="34">
      <x:c r="A34" s="17" t="str">
        <x:v>B01-V01-S02-B1</x:v>
      </x:c>
      <x:c r="B34" s="17" t="str">
        <x:v>B01</x:v>
      </x:c>
      <x:c r="C34" s="17" t="str">
        <x:v>V01</x:v>
      </x:c>
      <x:c r="D34" s="17" t="str">
        <x:v>S02</x:v>
      </x:c>
      <x:c r="E34" s="17" t="n">
        <x:v>1</x:v>
      </x:c>
      <x:c r="F34" s="17" t="str">
        <x:v>T01</x:v>
      </x:c>
      <x:c r="G34" s="17" t="str">
        <x:v>0 mT对照</x:v>
      </x:c>
      <x:c r="H34" s="17" t="n">
        <x:v>15</x:v>
      </x:c>
      <x:c r="I34" s="17" t="n">
        <x:v>12</x:v>
      </x:c>
      <x:c r="J34" s="17" t="n">
        <x:v>2</x:v>
      </x:c>
      <x:c r="K34" s="17" t="n">
        <x:v>14</x:v>
      </x:c>
      <x:c r="L34" s="17" t="str">
        <x:v>分层区组</x:v>
      </x:c>
      <x:c r="M34" s="17" t="str">
        <x:v>检测盲态</x:v>
      </x:c>
      <x:c r="N34" s="17" t="str">
        <x:v>计划</x:v>
      </x:c>
    </x:row>
    <x:row r="35">
      <x:c r="A35" s="17" t="str">
        <x:v>B01-V01-S02-B1</x:v>
      </x:c>
      <x:c r="B35" s="17" t="str">
        <x:v>B01</x:v>
      </x:c>
      <x:c r="C35" s="17" t="str">
        <x:v>V01</x:v>
      </x:c>
      <x:c r="D35" s="17" t="str">
        <x:v>S02</x:v>
      </x:c>
      <x:c r="E35" s="17" t="n">
        <x:v>1</x:v>
      </x:c>
      <x:c r="F35" s="17" t="str">
        <x:v>T02</x:v>
      </x:c>
      <x:c r="G35" s="17" t="str">
        <x:v>5 mT连续</x:v>
      </x:c>
      <x:c r="H35" s="17" t="n">
        <x:v>0</x:v>
      </x:c>
      <x:c r="I35" s="17" t="n">
        <x:v>12</x:v>
      </x:c>
      <x:c r="J35" s="17" t="n">
        <x:v>2</x:v>
      </x:c>
      <x:c r="K35" s="17" t="n">
        <x:v>14</x:v>
      </x:c>
      <x:c r="L35" s="17" t="str">
        <x:v>分层区组</x:v>
      </x:c>
      <x:c r="M35" s="17" t="str">
        <x:v>检测盲态</x:v>
      </x:c>
      <x:c r="N35" s="17" t="str">
        <x:v>计划</x:v>
      </x:c>
    </x:row>
    <x:row r="36">
      <x:c r="A36" s="17" t="str">
        <x:v>B01-V01-S02-B1</x:v>
      </x:c>
      <x:c r="B36" s="17" t="str">
        <x:v>B01</x:v>
      </x:c>
      <x:c r="C36" s="17" t="str">
        <x:v>V01</x:v>
      </x:c>
      <x:c r="D36" s="17" t="str">
        <x:v>S02</x:v>
      </x:c>
      <x:c r="E36" s="17" t="n">
        <x:v>1</x:v>
      </x:c>
      <x:c r="F36" s="17" t="str">
        <x:v>T02</x:v>
      </x:c>
      <x:c r="G36" s="17" t="str">
        <x:v>5 mT连续</x:v>
      </x:c>
      <x:c r="H36" s="17" t="n">
        <x:v>3</x:v>
      </x:c>
      <x:c r="I36" s="17" t="n">
        <x:v>12</x:v>
      </x:c>
      <x:c r="J36" s="17" t="n">
        <x:v>2</x:v>
      </x:c>
      <x:c r="K36" s="17" t="n">
        <x:v>14</x:v>
      </x:c>
      <x:c r="L36" s="17" t="str">
        <x:v>分层区组</x:v>
      </x:c>
      <x:c r="M36" s="17" t="str">
        <x:v>检测盲态</x:v>
      </x:c>
      <x:c r="N36" s="17" t="str">
        <x:v>计划</x:v>
      </x:c>
    </x:row>
    <x:row r="37">
      <x:c r="A37" s="17" t="str">
        <x:v>B01-V01-S02-B1</x:v>
      </x:c>
      <x:c r="B37" s="17" t="str">
        <x:v>B01</x:v>
      </x:c>
      <x:c r="C37" s="17" t="str">
        <x:v>V01</x:v>
      </x:c>
      <x:c r="D37" s="17" t="str">
        <x:v>S02</x:v>
      </x:c>
      <x:c r="E37" s="17" t="n">
        <x:v>1</x:v>
      </x:c>
      <x:c r="F37" s="17" t="str">
        <x:v>T02</x:v>
      </x:c>
      <x:c r="G37" s="17" t="str">
        <x:v>5 mT连续</x:v>
      </x:c>
      <x:c r="H37" s="17" t="n">
        <x:v>6</x:v>
      </x:c>
      <x:c r="I37" s="17" t="n">
        <x:v>12</x:v>
      </x:c>
      <x:c r="J37" s="17" t="n">
        <x:v>2</x:v>
      </x:c>
      <x:c r="K37" s="17" t="n">
        <x:v>14</x:v>
      </x:c>
      <x:c r="L37" s="17" t="str">
        <x:v>分层区组</x:v>
      </x:c>
      <x:c r="M37" s="17" t="str">
        <x:v>检测盲态</x:v>
      </x:c>
      <x:c r="N37" s="17" t="str">
        <x:v>计划</x:v>
      </x:c>
    </x:row>
    <x:row r="38">
      <x:c r="A38" s="17" t="str">
        <x:v>B01-V01-S02-B1</x:v>
      </x:c>
      <x:c r="B38" s="17" t="str">
        <x:v>B01</x:v>
      </x:c>
      <x:c r="C38" s="17" t="str">
        <x:v>V01</x:v>
      </x:c>
      <x:c r="D38" s="17" t="str">
        <x:v>S02</x:v>
      </x:c>
      <x:c r="E38" s="17" t="n">
        <x:v>1</x:v>
      </x:c>
      <x:c r="F38" s="17" t="str">
        <x:v>T02</x:v>
      </x:c>
      <x:c r="G38" s="17" t="str">
        <x:v>5 mT连续</x:v>
      </x:c>
      <x:c r="H38" s="17" t="n">
        <x:v>9</x:v>
      </x:c>
      <x:c r="I38" s="17" t="n">
        <x:v>12</x:v>
      </x:c>
      <x:c r="J38" s="17" t="n">
        <x:v>2</x:v>
      </x:c>
      <x:c r="K38" s="17" t="n">
        <x:v>14</x:v>
      </x:c>
      <x:c r="L38" s="17" t="str">
        <x:v>分层区组</x:v>
      </x:c>
      <x:c r="M38" s="17" t="str">
        <x:v>检测盲态</x:v>
      </x:c>
      <x:c r="N38" s="17" t="str">
        <x:v>计划</x:v>
      </x:c>
    </x:row>
    <x:row r="39">
      <x:c r="A39" s="17" t="str">
        <x:v>B01-V01-S02-B1</x:v>
      </x:c>
      <x:c r="B39" s="17" t="str">
        <x:v>B01</x:v>
      </x:c>
      <x:c r="C39" s="17" t="str">
        <x:v>V01</x:v>
      </x:c>
      <x:c r="D39" s="17" t="str">
        <x:v>S02</x:v>
      </x:c>
      <x:c r="E39" s="17" t="n">
        <x:v>1</x:v>
      </x:c>
      <x:c r="F39" s="17" t="str">
        <x:v>T02</x:v>
      </x:c>
      <x:c r="G39" s="17" t="str">
        <x:v>5 mT连续</x:v>
      </x:c>
      <x:c r="H39" s="17" t="n">
        <x:v>12</x:v>
      </x:c>
      <x:c r="I39" s="17" t="n">
        <x:v>12</x:v>
      </x:c>
      <x:c r="J39" s="17" t="n">
        <x:v>2</x:v>
      </x:c>
      <x:c r="K39" s="17" t="n">
        <x:v>14</x:v>
      </x:c>
      <x:c r="L39" s="17" t="str">
        <x:v>分层区组</x:v>
      </x:c>
      <x:c r="M39" s="17" t="str">
        <x:v>检测盲态</x:v>
      </x:c>
      <x:c r="N39" s="17" t="str">
        <x:v>计划</x:v>
      </x:c>
    </x:row>
    <x:row r="40">
      <x:c r="A40" s="17" t="str">
        <x:v>B01-V01-S02-B1</x:v>
      </x:c>
      <x:c r="B40" s="17" t="str">
        <x:v>B01</x:v>
      </x:c>
      <x:c r="C40" s="17" t="str">
        <x:v>V01</x:v>
      </x:c>
      <x:c r="D40" s="17" t="str">
        <x:v>S02</x:v>
      </x:c>
      <x:c r="E40" s="17" t="n">
        <x:v>1</x:v>
      </x:c>
      <x:c r="F40" s="17" t="str">
        <x:v>T02</x:v>
      </x:c>
      <x:c r="G40" s="17" t="str">
        <x:v>5 mT连续</x:v>
      </x:c>
      <x:c r="H40" s="17" t="n">
        <x:v>15</x:v>
      </x:c>
      <x:c r="I40" s="17" t="n">
        <x:v>12</x:v>
      </x:c>
      <x:c r="J40" s="17" t="n">
        <x:v>2</x:v>
      </x:c>
      <x:c r="K40" s="17" t="n">
        <x:v>14</x:v>
      </x:c>
      <x:c r="L40" s="17" t="str">
        <x:v>分层区组</x:v>
      </x:c>
      <x:c r="M40" s="17" t="str">
        <x:v>检测盲态</x:v>
      </x:c>
      <x:c r="N40" s="17" t="str">
        <x:v>计划</x:v>
      </x:c>
    </x:row>
    <x:row r="41">
      <x:c r="A41" s="17" t="str">
        <x:v>B01-V01-S02-B2</x:v>
      </x:c>
      <x:c r="B41" s="17" t="str">
        <x:v>B01</x:v>
      </x:c>
      <x:c r="C41" s="17" t="str">
        <x:v>V01</x:v>
      </x:c>
      <x:c r="D41" s="17" t="str">
        <x:v>S02</x:v>
      </x:c>
      <x:c r="E41" s="17" t="n">
        <x:v>2</x:v>
      </x:c>
      <x:c r="F41" s="17" t="str">
        <x:v>T01</x:v>
      </x:c>
      <x:c r="G41" s="17" t="str">
        <x:v>0 mT对照</x:v>
      </x:c>
      <x:c r="H41" s="17" t="n">
        <x:v>0</x:v>
      </x:c>
      <x:c r="I41" s="17" t="n">
        <x:v>12</x:v>
      </x:c>
      <x:c r="J41" s="17" t="n">
        <x:v>2</x:v>
      </x:c>
      <x:c r="K41" s="17" t="n">
        <x:v>14</x:v>
      </x:c>
      <x:c r="L41" s="17" t="str">
        <x:v>分层区组</x:v>
      </x:c>
      <x:c r="M41" s="17" t="str">
        <x:v>检测盲态</x:v>
      </x:c>
      <x:c r="N41" s="17" t="str">
        <x:v>计划</x:v>
      </x:c>
    </x:row>
    <x:row r="42">
      <x:c r="A42" s="17" t="str">
        <x:v>B01-V01-S02-B2</x:v>
      </x:c>
      <x:c r="B42" s="17" t="str">
        <x:v>B01</x:v>
      </x:c>
      <x:c r="C42" s="17" t="str">
        <x:v>V01</x:v>
      </x:c>
      <x:c r="D42" s="17" t="str">
        <x:v>S02</x:v>
      </x:c>
      <x:c r="E42" s="17" t="n">
        <x:v>2</x:v>
      </x:c>
      <x:c r="F42" s="17" t="str">
        <x:v>T01</x:v>
      </x:c>
      <x:c r="G42" s="17" t="str">
        <x:v>0 mT对照</x:v>
      </x:c>
      <x:c r="H42" s="17" t="n">
        <x:v>3</x:v>
      </x:c>
      <x:c r="I42" s="17" t="n">
        <x:v>12</x:v>
      </x:c>
      <x:c r="J42" s="17" t="n">
        <x:v>2</x:v>
      </x:c>
      <x:c r="K42" s="17" t="n">
        <x:v>14</x:v>
      </x:c>
      <x:c r="L42" s="17" t="str">
        <x:v>分层区组</x:v>
      </x:c>
      <x:c r="M42" s="17" t="str">
        <x:v>检测盲态</x:v>
      </x:c>
      <x:c r="N42" s="17" t="str">
        <x:v>计划</x:v>
      </x:c>
    </x:row>
    <x:row r="43">
      <x:c r="A43" s="17" t="str">
        <x:v>B01-V01-S02-B2</x:v>
      </x:c>
      <x:c r="B43" s="17" t="str">
        <x:v>B01</x:v>
      </x:c>
      <x:c r="C43" s="17" t="str">
        <x:v>V01</x:v>
      </x:c>
      <x:c r="D43" s="17" t="str">
        <x:v>S02</x:v>
      </x:c>
      <x:c r="E43" s="17" t="n">
        <x:v>2</x:v>
      </x:c>
      <x:c r="F43" s="17" t="str">
        <x:v>T01</x:v>
      </x:c>
      <x:c r="G43" s="17" t="str">
        <x:v>0 mT对照</x:v>
      </x:c>
      <x:c r="H43" s="17" t="n">
        <x:v>6</x:v>
      </x:c>
      <x:c r="I43" s="17" t="n">
        <x:v>12</x:v>
      </x:c>
      <x:c r="J43" s="17" t="n">
        <x:v>2</x:v>
      </x:c>
      <x:c r="K43" s="17" t="n">
        <x:v>14</x:v>
      </x:c>
      <x:c r="L43" s="17" t="str">
        <x:v>分层区组</x:v>
      </x:c>
      <x:c r="M43" s="17" t="str">
        <x:v>检测盲态</x:v>
      </x:c>
      <x:c r="N43" s="17" t="str">
        <x:v>计划</x:v>
      </x:c>
    </x:row>
    <x:row r="44">
      <x:c r="A44" s="17" t="str">
        <x:v>B01-V01-S02-B2</x:v>
      </x:c>
      <x:c r="B44" s="17" t="str">
        <x:v>B01</x:v>
      </x:c>
      <x:c r="C44" s="17" t="str">
        <x:v>V01</x:v>
      </x:c>
      <x:c r="D44" s="17" t="str">
        <x:v>S02</x:v>
      </x:c>
      <x:c r="E44" s="17" t="n">
        <x:v>2</x:v>
      </x:c>
      <x:c r="F44" s="17" t="str">
        <x:v>T01</x:v>
      </x:c>
      <x:c r="G44" s="17" t="str">
        <x:v>0 mT对照</x:v>
      </x:c>
      <x:c r="H44" s="17" t="n">
        <x:v>9</x:v>
      </x:c>
      <x:c r="I44" s="17" t="n">
        <x:v>12</x:v>
      </x:c>
      <x:c r="J44" s="17" t="n">
        <x:v>2</x:v>
      </x:c>
      <x:c r="K44" s="17" t="n">
        <x:v>14</x:v>
      </x:c>
      <x:c r="L44" s="17" t="str">
        <x:v>分层区组</x:v>
      </x:c>
      <x:c r="M44" s="17" t="str">
        <x:v>检测盲态</x:v>
      </x:c>
      <x:c r="N44" s="17" t="str">
        <x:v>计划</x:v>
      </x:c>
    </x:row>
    <x:row r="45">
      <x:c r="A45" s="17" t="str">
        <x:v>B01-V01-S02-B2</x:v>
      </x:c>
      <x:c r="B45" s="17" t="str">
        <x:v>B01</x:v>
      </x:c>
      <x:c r="C45" s="17" t="str">
        <x:v>V01</x:v>
      </x:c>
      <x:c r="D45" s="17" t="str">
        <x:v>S02</x:v>
      </x:c>
      <x:c r="E45" s="17" t="n">
        <x:v>2</x:v>
      </x:c>
      <x:c r="F45" s="17" t="str">
        <x:v>T01</x:v>
      </x:c>
      <x:c r="G45" s="17" t="str">
        <x:v>0 mT对照</x:v>
      </x:c>
      <x:c r="H45" s="17" t="n">
        <x:v>12</x:v>
      </x:c>
      <x:c r="I45" s="17" t="n">
        <x:v>12</x:v>
      </x:c>
      <x:c r="J45" s="17" t="n">
        <x:v>2</x:v>
      </x:c>
      <x:c r="K45" s="17" t="n">
        <x:v>14</x:v>
      </x:c>
      <x:c r="L45" s="17" t="str">
        <x:v>分层区组</x:v>
      </x:c>
      <x:c r="M45" s="17" t="str">
        <x:v>检测盲态</x:v>
      </x:c>
      <x:c r="N45" s="17" t="str">
        <x:v>计划</x:v>
      </x:c>
    </x:row>
    <x:row r="46">
      <x:c r="A46" s="17" t="str">
        <x:v>B01-V01-S02-B2</x:v>
      </x:c>
      <x:c r="B46" s="17" t="str">
        <x:v>B01</x:v>
      </x:c>
      <x:c r="C46" s="17" t="str">
        <x:v>V01</x:v>
      </x:c>
      <x:c r="D46" s="17" t="str">
        <x:v>S02</x:v>
      </x:c>
      <x:c r="E46" s="17" t="n">
        <x:v>2</x:v>
      </x:c>
      <x:c r="F46" s="17" t="str">
        <x:v>T01</x:v>
      </x:c>
      <x:c r="G46" s="17" t="str">
        <x:v>0 mT对照</x:v>
      </x:c>
      <x:c r="H46" s="17" t="n">
        <x:v>15</x:v>
      </x:c>
      <x:c r="I46" s="17" t="n">
        <x:v>12</x:v>
      </x:c>
      <x:c r="J46" s="17" t="n">
        <x:v>2</x:v>
      </x:c>
      <x:c r="K46" s="17" t="n">
        <x:v>14</x:v>
      </x:c>
      <x:c r="L46" s="17" t="str">
        <x:v>分层区组</x:v>
      </x:c>
      <x:c r="M46" s="17" t="str">
        <x:v>检测盲态</x:v>
      </x:c>
      <x:c r="N46" s="17" t="str">
        <x:v>计划</x:v>
      </x:c>
    </x:row>
    <x:row r="47">
      <x:c r="A47" s="17" t="str">
        <x:v>B01-V01-S02-B2</x:v>
      </x:c>
      <x:c r="B47" s="17" t="str">
        <x:v>B01</x:v>
      </x:c>
      <x:c r="C47" s="17" t="str">
        <x:v>V01</x:v>
      </x:c>
      <x:c r="D47" s="17" t="str">
        <x:v>S02</x:v>
      </x:c>
      <x:c r="E47" s="17" t="n">
        <x:v>2</x:v>
      </x:c>
      <x:c r="F47" s="17" t="str">
        <x:v>T02</x:v>
      </x:c>
      <x:c r="G47" s="17" t="str">
        <x:v>5 mT连续</x:v>
      </x:c>
      <x:c r="H47" s="17" t="n">
        <x:v>0</x:v>
      </x:c>
      <x:c r="I47" s="17" t="n">
        <x:v>12</x:v>
      </x:c>
      <x:c r="J47" s="17" t="n">
        <x:v>2</x:v>
      </x:c>
      <x:c r="K47" s="17" t="n">
        <x:v>14</x:v>
      </x:c>
      <x:c r="L47" s="17" t="str">
        <x:v>分层区组</x:v>
      </x:c>
      <x:c r="M47" s="17" t="str">
        <x:v>检测盲态</x:v>
      </x:c>
      <x:c r="N47" s="17" t="str">
        <x:v>计划</x:v>
      </x:c>
    </x:row>
    <x:row r="48">
      <x:c r="A48" s="17" t="str">
        <x:v>B01-V01-S02-B2</x:v>
      </x:c>
      <x:c r="B48" s="17" t="str">
        <x:v>B01</x:v>
      </x:c>
      <x:c r="C48" s="17" t="str">
        <x:v>V01</x:v>
      </x:c>
      <x:c r="D48" s="17" t="str">
        <x:v>S02</x:v>
      </x:c>
      <x:c r="E48" s="17" t="n">
        <x:v>2</x:v>
      </x:c>
      <x:c r="F48" s="17" t="str">
        <x:v>T02</x:v>
      </x:c>
      <x:c r="G48" s="17" t="str">
        <x:v>5 mT连续</x:v>
      </x:c>
      <x:c r="H48" s="17" t="n">
        <x:v>3</x:v>
      </x:c>
      <x:c r="I48" s="17" t="n">
        <x:v>12</x:v>
      </x:c>
      <x:c r="J48" s="17" t="n">
        <x:v>2</x:v>
      </x:c>
      <x:c r="K48" s="17" t="n">
        <x:v>14</x:v>
      </x:c>
      <x:c r="L48" s="17" t="str">
        <x:v>分层区组</x:v>
      </x:c>
      <x:c r="M48" s="17" t="str">
        <x:v>检测盲态</x:v>
      </x:c>
      <x:c r="N48" s="17" t="str">
        <x:v>计划</x:v>
      </x:c>
    </x:row>
    <x:row r="49">
      <x:c r="A49" s="17" t="str">
        <x:v>B01-V01-S02-B2</x:v>
      </x:c>
      <x:c r="B49" s="17" t="str">
        <x:v>B01</x:v>
      </x:c>
      <x:c r="C49" s="17" t="str">
        <x:v>V01</x:v>
      </x:c>
      <x:c r="D49" s="17" t="str">
        <x:v>S02</x:v>
      </x:c>
      <x:c r="E49" s="17" t="n">
        <x:v>2</x:v>
      </x:c>
      <x:c r="F49" s="17" t="str">
        <x:v>T02</x:v>
      </x:c>
      <x:c r="G49" s="17" t="str">
        <x:v>5 mT连续</x:v>
      </x:c>
      <x:c r="H49" s="17" t="n">
        <x:v>6</x:v>
      </x:c>
      <x:c r="I49" s="17" t="n">
        <x:v>12</x:v>
      </x:c>
      <x:c r="J49" s="17" t="n">
        <x:v>2</x:v>
      </x:c>
      <x:c r="K49" s="17" t="n">
        <x:v>14</x:v>
      </x:c>
      <x:c r="L49" s="17" t="str">
        <x:v>分层区组</x:v>
      </x:c>
      <x:c r="M49" s="17" t="str">
        <x:v>检测盲态</x:v>
      </x:c>
      <x:c r="N49" s="17" t="str">
        <x:v>计划</x:v>
      </x:c>
    </x:row>
    <x:row r="50">
      <x:c r="A50" s="17" t="str">
        <x:v>B01-V01-S02-B2</x:v>
      </x:c>
      <x:c r="B50" s="17" t="str">
        <x:v>B01</x:v>
      </x:c>
      <x:c r="C50" s="17" t="str">
        <x:v>V01</x:v>
      </x:c>
      <x:c r="D50" s="17" t="str">
        <x:v>S02</x:v>
      </x:c>
      <x:c r="E50" s="17" t="n">
        <x:v>2</x:v>
      </x:c>
      <x:c r="F50" s="17" t="str">
        <x:v>T02</x:v>
      </x:c>
      <x:c r="G50" s="17" t="str">
        <x:v>5 mT连续</x:v>
      </x:c>
      <x:c r="H50" s="17" t="n">
        <x:v>9</x:v>
      </x:c>
      <x:c r="I50" s="17" t="n">
        <x:v>12</x:v>
      </x:c>
      <x:c r="J50" s="17" t="n">
        <x:v>2</x:v>
      </x:c>
      <x:c r="K50" s="17" t="n">
        <x:v>14</x:v>
      </x:c>
      <x:c r="L50" s="17" t="str">
        <x:v>分层区组</x:v>
      </x:c>
      <x:c r="M50" s="17" t="str">
        <x:v>检测盲态</x:v>
      </x:c>
      <x:c r="N50" s="17" t="str">
        <x:v>计划</x:v>
      </x:c>
    </x:row>
    <x:row r="51">
      <x:c r="A51" s="17" t="str">
        <x:v>B01-V01-S02-B2</x:v>
      </x:c>
      <x:c r="B51" s="17" t="str">
        <x:v>B01</x:v>
      </x:c>
      <x:c r="C51" s="17" t="str">
        <x:v>V01</x:v>
      </x:c>
      <x:c r="D51" s="17" t="str">
        <x:v>S02</x:v>
      </x:c>
      <x:c r="E51" s="17" t="n">
        <x:v>2</x:v>
      </x:c>
      <x:c r="F51" s="17" t="str">
        <x:v>T02</x:v>
      </x:c>
      <x:c r="G51" s="17" t="str">
        <x:v>5 mT连续</x:v>
      </x:c>
      <x:c r="H51" s="17" t="n">
        <x:v>12</x:v>
      </x:c>
      <x:c r="I51" s="17" t="n">
        <x:v>12</x:v>
      </x:c>
      <x:c r="J51" s="17" t="n">
        <x:v>2</x:v>
      </x:c>
      <x:c r="K51" s="17" t="n">
        <x:v>14</x:v>
      </x:c>
      <x:c r="L51" s="17" t="str">
        <x:v>分层区组</x:v>
      </x:c>
      <x:c r="M51" s="17" t="str">
        <x:v>检测盲态</x:v>
      </x:c>
      <x:c r="N51" s="17" t="str">
        <x:v>计划</x:v>
      </x:c>
    </x:row>
    <x:row r="52">
      <x:c r="A52" s="17" t="str">
        <x:v>B01-V01-S02-B2</x:v>
      </x:c>
      <x:c r="B52" s="17" t="str">
        <x:v>B01</x:v>
      </x:c>
      <x:c r="C52" s="17" t="str">
        <x:v>V01</x:v>
      </x:c>
      <x:c r="D52" s="17" t="str">
        <x:v>S02</x:v>
      </x:c>
      <x:c r="E52" s="17" t="n">
        <x:v>2</x:v>
      </x:c>
      <x:c r="F52" s="17" t="str">
        <x:v>T02</x:v>
      </x:c>
      <x:c r="G52" s="17" t="str">
        <x:v>5 mT连续</x:v>
      </x:c>
      <x:c r="H52" s="17" t="n">
        <x:v>15</x:v>
      </x:c>
      <x:c r="I52" s="17" t="n">
        <x:v>12</x:v>
      </x:c>
      <x:c r="J52" s="17" t="n">
        <x:v>2</x:v>
      </x:c>
      <x:c r="K52" s="17" t="n">
        <x:v>14</x:v>
      </x:c>
      <x:c r="L52" s="17" t="str">
        <x:v>分层区组</x:v>
      </x:c>
      <x:c r="M52" s="17" t="str">
        <x:v>检测盲态</x:v>
      </x:c>
      <x:c r="N52" s="17" t="str">
        <x:v>计划</x:v>
      </x:c>
    </x:row>
    <x:row r="53">
      <x:c r="A53" s="17" t="str">
        <x:v>B01-V02-S01-B1</x:v>
      </x:c>
      <x:c r="B53" s="17" t="str">
        <x:v>B01</x:v>
      </x:c>
      <x:c r="C53" s="17" t="str">
        <x:v>V02</x:v>
      </x:c>
      <x:c r="D53" s="17" t="str">
        <x:v>S01</x:v>
      </x:c>
      <x:c r="E53" s="17" t="n">
        <x:v>1</x:v>
      </x:c>
      <x:c r="F53" s="17" t="str">
        <x:v>T01</x:v>
      </x:c>
      <x:c r="G53" s="17" t="str">
        <x:v>0 mT对照</x:v>
      </x:c>
      <x:c r="H53" s="17" t="n">
        <x:v>0</x:v>
      </x:c>
      <x:c r="I53" s="17" t="n">
        <x:v>12</x:v>
      </x:c>
      <x:c r="J53" s="17" t="n">
        <x:v>2</x:v>
      </x:c>
      <x:c r="K53" s="17" t="n">
        <x:v>14</x:v>
      </x:c>
      <x:c r="L53" s="17" t="str">
        <x:v>分层区组</x:v>
      </x:c>
      <x:c r="M53" s="17" t="str">
        <x:v>检测盲态</x:v>
      </x:c>
      <x:c r="N53" s="17" t="str">
        <x:v>计划</x:v>
      </x:c>
    </x:row>
    <x:row r="54">
      <x:c r="A54" s="17" t="str">
        <x:v>B01-V02-S01-B1</x:v>
      </x:c>
      <x:c r="B54" s="17" t="str">
        <x:v>B01</x:v>
      </x:c>
      <x:c r="C54" s="17" t="str">
        <x:v>V02</x:v>
      </x:c>
      <x:c r="D54" s="17" t="str">
        <x:v>S01</x:v>
      </x:c>
      <x:c r="E54" s="17" t="n">
        <x:v>1</x:v>
      </x:c>
      <x:c r="F54" s="17" t="str">
        <x:v>T01</x:v>
      </x:c>
      <x:c r="G54" s="17" t="str">
        <x:v>0 mT对照</x:v>
      </x:c>
      <x:c r="H54" s="17" t="n">
        <x:v>3</x:v>
      </x:c>
      <x:c r="I54" s="17" t="n">
        <x:v>12</x:v>
      </x:c>
      <x:c r="J54" s="17" t="n">
        <x:v>2</x:v>
      </x:c>
      <x:c r="K54" s="17" t="n">
        <x:v>14</x:v>
      </x:c>
      <x:c r="L54" s="17" t="str">
        <x:v>分层区组</x:v>
      </x:c>
      <x:c r="M54" s="17" t="str">
        <x:v>检测盲态</x:v>
      </x:c>
      <x:c r="N54" s="17" t="str">
        <x:v>计划</x:v>
      </x:c>
    </x:row>
    <x:row r="55">
      <x:c r="A55" s="17" t="str">
        <x:v>B01-V02-S01-B1</x:v>
      </x:c>
      <x:c r="B55" s="17" t="str">
        <x:v>B01</x:v>
      </x:c>
      <x:c r="C55" s="17" t="str">
        <x:v>V02</x:v>
      </x:c>
      <x:c r="D55" s="17" t="str">
        <x:v>S01</x:v>
      </x:c>
      <x:c r="E55" s="17" t="n">
        <x:v>1</x:v>
      </x:c>
      <x:c r="F55" s="17" t="str">
        <x:v>T01</x:v>
      </x:c>
      <x:c r="G55" s="17" t="str">
        <x:v>0 mT对照</x:v>
      </x:c>
      <x:c r="H55" s="17" t="n">
        <x:v>6</x:v>
      </x:c>
      <x:c r="I55" s="17" t="n">
        <x:v>12</x:v>
      </x:c>
      <x:c r="J55" s="17" t="n">
        <x:v>2</x:v>
      </x:c>
      <x:c r="K55" s="17" t="n">
        <x:v>14</x:v>
      </x:c>
      <x:c r="L55" s="17" t="str">
        <x:v>分层区组</x:v>
      </x:c>
      <x:c r="M55" s="17" t="str">
        <x:v>检测盲态</x:v>
      </x:c>
      <x:c r="N55" s="17" t="str">
        <x:v>计划</x:v>
      </x:c>
    </x:row>
    <x:row r="56">
      <x:c r="A56" s="17" t="str">
        <x:v>B01-V02-S01-B1</x:v>
      </x:c>
      <x:c r="B56" s="17" t="str">
        <x:v>B01</x:v>
      </x:c>
      <x:c r="C56" s="17" t="str">
        <x:v>V02</x:v>
      </x:c>
      <x:c r="D56" s="17" t="str">
        <x:v>S01</x:v>
      </x:c>
      <x:c r="E56" s="17" t="n">
        <x:v>1</x:v>
      </x:c>
      <x:c r="F56" s="17" t="str">
        <x:v>T01</x:v>
      </x:c>
      <x:c r="G56" s="17" t="str">
        <x:v>0 mT对照</x:v>
      </x:c>
      <x:c r="H56" s="17" t="n">
        <x:v>9</x:v>
      </x:c>
      <x:c r="I56" s="17" t="n">
        <x:v>12</x:v>
      </x:c>
      <x:c r="J56" s="17" t="n">
        <x:v>2</x:v>
      </x:c>
      <x:c r="K56" s="17" t="n">
        <x:v>14</x:v>
      </x:c>
      <x:c r="L56" s="17" t="str">
        <x:v>分层区组</x:v>
      </x:c>
      <x:c r="M56" s="17" t="str">
        <x:v>检测盲态</x:v>
      </x:c>
      <x:c r="N56" s="17" t="str">
        <x:v>计划</x:v>
      </x:c>
    </x:row>
    <x:row r="57">
      <x:c r="A57" s="17" t="str">
        <x:v>B01-V02-S01-B1</x:v>
      </x:c>
      <x:c r="B57" s="17" t="str">
        <x:v>B01</x:v>
      </x:c>
      <x:c r="C57" s="17" t="str">
        <x:v>V02</x:v>
      </x:c>
      <x:c r="D57" s="17" t="str">
        <x:v>S01</x:v>
      </x:c>
      <x:c r="E57" s="17" t="n">
        <x:v>1</x:v>
      </x:c>
      <x:c r="F57" s="17" t="str">
        <x:v>T01</x:v>
      </x:c>
      <x:c r="G57" s="17" t="str">
        <x:v>0 mT对照</x:v>
      </x:c>
      <x:c r="H57" s="17" t="n">
        <x:v>12</x:v>
      </x:c>
      <x:c r="I57" s="17" t="n">
        <x:v>12</x:v>
      </x:c>
      <x:c r="J57" s="17" t="n">
        <x:v>2</x:v>
      </x:c>
      <x:c r="K57" s="17" t="n">
        <x:v>14</x:v>
      </x:c>
      <x:c r="L57" s="17" t="str">
        <x:v>分层区组</x:v>
      </x:c>
      <x:c r="M57" s="17" t="str">
        <x:v>检测盲态</x:v>
      </x:c>
      <x:c r="N57" s="17" t="str">
        <x:v>计划</x:v>
      </x:c>
    </x:row>
    <x:row r="58">
      <x:c r="A58" s="17" t="str">
        <x:v>B01-V02-S01-B1</x:v>
      </x:c>
      <x:c r="B58" s="17" t="str">
        <x:v>B01</x:v>
      </x:c>
      <x:c r="C58" s="17" t="str">
        <x:v>V02</x:v>
      </x:c>
      <x:c r="D58" s="17" t="str">
        <x:v>S01</x:v>
      </x:c>
      <x:c r="E58" s="17" t="n">
        <x:v>1</x:v>
      </x:c>
      <x:c r="F58" s="17" t="str">
        <x:v>T01</x:v>
      </x:c>
      <x:c r="G58" s="17" t="str">
        <x:v>0 mT对照</x:v>
      </x:c>
      <x:c r="H58" s="17" t="n">
        <x:v>15</x:v>
      </x:c>
      <x:c r="I58" s="17" t="n">
        <x:v>12</x:v>
      </x:c>
      <x:c r="J58" s="17" t="n">
        <x:v>2</x:v>
      </x:c>
      <x:c r="K58" s="17" t="n">
        <x:v>14</x:v>
      </x:c>
      <x:c r="L58" s="17" t="str">
        <x:v>分层区组</x:v>
      </x:c>
      <x:c r="M58" s="17" t="str">
        <x:v>检测盲态</x:v>
      </x:c>
      <x:c r="N58" s="17" t="str">
        <x:v>计划</x:v>
      </x:c>
    </x:row>
    <x:row r="59">
      <x:c r="A59" s="17" t="str">
        <x:v>B01-V02-S01-B1</x:v>
      </x:c>
      <x:c r="B59" s="17" t="str">
        <x:v>B01</x:v>
      </x:c>
      <x:c r="C59" s="17" t="str">
        <x:v>V02</x:v>
      </x:c>
      <x:c r="D59" s="17" t="str">
        <x:v>S01</x:v>
      </x:c>
      <x:c r="E59" s="17" t="n">
        <x:v>1</x:v>
      </x:c>
      <x:c r="F59" s="17" t="str">
        <x:v>T02</x:v>
      </x:c>
      <x:c r="G59" s="17" t="str">
        <x:v>5 mT连续</x:v>
      </x:c>
      <x:c r="H59" s="17" t="n">
        <x:v>0</x:v>
      </x:c>
      <x:c r="I59" s="17" t="n">
        <x:v>12</x:v>
      </x:c>
      <x:c r="J59" s="17" t="n">
        <x:v>2</x:v>
      </x:c>
      <x:c r="K59" s="17" t="n">
        <x:v>14</x:v>
      </x:c>
      <x:c r="L59" s="17" t="str">
        <x:v>分层区组</x:v>
      </x:c>
      <x:c r="M59" s="17" t="str">
        <x:v>检测盲态</x:v>
      </x:c>
      <x:c r="N59" s="17" t="str">
        <x:v>计划</x:v>
      </x:c>
    </x:row>
    <x:row r="60">
      <x:c r="A60" s="17" t="str">
        <x:v>B01-V02-S01-B1</x:v>
      </x:c>
      <x:c r="B60" s="17" t="str">
        <x:v>B01</x:v>
      </x:c>
      <x:c r="C60" s="17" t="str">
        <x:v>V02</x:v>
      </x:c>
      <x:c r="D60" s="17" t="str">
        <x:v>S01</x:v>
      </x:c>
      <x:c r="E60" s="17" t="n">
        <x:v>1</x:v>
      </x:c>
      <x:c r="F60" s="17" t="str">
        <x:v>T02</x:v>
      </x:c>
      <x:c r="G60" s="17" t="str">
        <x:v>5 mT连续</x:v>
      </x:c>
      <x:c r="H60" s="17" t="n">
        <x:v>3</x:v>
      </x:c>
      <x:c r="I60" s="17" t="n">
        <x:v>12</x:v>
      </x:c>
      <x:c r="J60" s="17" t="n">
        <x:v>2</x:v>
      </x:c>
      <x:c r="K60" s="17" t="n">
        <x:v>14</x:v>
      </x:c>
      <x:c r="L60" s="17" t="str">
        <x:v>分层区组</x:v>
      </x:c>
      <x:c r="M60" s="17" t="str">
        <x:v>检测盲态</x:v>
      </x:c>
      <x:c r="N60" s="17" t="str">
        <x:v>计划</x:v>
      </x:c>
    </x:row>
    <x:row r="61">
      <x:c r="A61" s="17" t="str">
        <x:v>B01-V02-S01-B1</x:v>
      </x:c>
      <x:c r="B61" s="17" t="str">
        <x:v>B01</x:v>
      </x:c>
      <x:c r="C61" s="17" t="str">
        <x:v>V02</x:v>
      </x:c>
      <x:c r="D61" s="17" t="str">
        <x:v>S01</x:v>
      </x:c>
      <x:c r="E61" s="17" t="n">
        <x:v>1</x:v>
      </x:c>
      <x:c r="F61" s="17" t="str">
        <x:v>T02</x:v>
      </x:c>
      <x:c r="G61" s="17" t="str">
        <x:v>5 mT连续</x:v>
      </x:c>
      <x:c r="H61" s="17" t="n">
        <x:v>6</x:v>
      </x:c>
      <x:c r="I61" s="17" t="n">
        <x:v>12</x:v>
      </x:c>
      <x:c r="J61" s="17" t="n">
        <x:v>2</x:v>
      </x:c>
      <x:c r="K61" s="17" t="n">
        <x:v>14</x:v>
      </x:c>
      <x:c r="L61" s="17" t="str">
        <x:v>分层区组</x:v>
      </x:c>
      <x:c r="M61" s="17" t="str">
        <x:v>检测盲态</x:v>
      </x:c>
      <x:c r="N61" s="17" t="str">
        <x:v>计划</x:v>
      </x:c>
    </x:row>
    <x:row r="62">
      <x:c r="A62" s="17" t="str">
        <x:v>B01-V02-S01-B1</x:v>
      </x:c>
      <x:c r="B62" s="17" t="str">
        <x:v>B01</x:v>
      </x:c>
      <x:c r="C62" s="17" t="str">
        <x:v>V02</x:v>
      </x:c>
      <x:c r="D62" s="17" t="str">
        <x:v>S01</x:v>
      </x:c>
      <x:c r="E62" s="17" t="n">
        <x:v>1</x:v>
      </x:c>
      <x:c r="F62" s="17" t="str">
        <x:v>T02</x:v>
      </x:c>
      <x:c r="G62" s="17" t="str">
        <x:v>5 mT连续</x:v>
      </x:c>
      <x:c r="H62" s="17" t="n">
        <x:v>9</x:v>
      </x:c>
      <x:c r="I62" s="17" t="n">
        <x:v>12</x:v>
      </x:c>
      <x:c r="J62" s="17" t="n">
        <x:v>2</x:v>
      </x:c>
      <x:c r="K62" s="17" t="n">
        <x:v>14</x:v>
      </x:c>
      <x:c r="L62" s="17" t="str">
        <x:v>分层区组</x:v>
      </x:c>
      <x:c r="M62" s="17" t="str">
        <x:v>检测盲态</x:v>
      </x:c>
      <x:c r="N62" s="17" t="str">
        <x:v>计划</x:v>
      </x:c>
    </x:row>
    <x:row r="63">
      <x:c r="A63" s="17" t="str">
        <x:v>B01-V02-S01-B1</x:v>
      </x:c>
      <x:c r="B63" s="17" t="str">
        <x:v>B01</x:v>
      </x:c>
      <x:c r="C63" s="17" t="str">
        <x:v>V02</x:v>
      </x:c>
      <x:c r="D63" s="17" t="str">
        <x:v>S01</x:v>
      </x:c>
      <x:c r="E63" s="17" t="n">
        <x:v>1</x:v>
      </x:c>
      <x:c r="F63" s="17" t="str">
        <x:v>T02</x:v>
      </x:c>
      <x:c r="G63" s="17" t="str">
        <x:v>5 mT连续</x:v>
      </x:c>
      <x:c r="H63" s="17" t="n">
        <x:v>12</x:v>
      </x:c>
      <x:c r="I63" s="17" t="n">
        <x:v>12</x:v>
      </x:c>
      <x:c r="J63" s="17" t="n">
        <x:v>2</x:v>
      </x:c>
      <x:c r="K63" s="17" t="n">
        <x:v>14</x:v>
      </x:c>
      <x:c r="L63" s="17" t="str">
        <x:v>分层区组</x:v>
      </x:c>
      <x:c r="M63" s="17" t="str">
        <x:v>检测盲态</x:v>
      </x:c>
      <x:c r="N63" s="17" t="str">
        <x:v>计划</x:v>
      </x:c>
    </x:row>
    <x:row r="64">
      <x:c r="A64" s="17" t="str">
        <x:v>B01-V02-S01-B1</x:v>
      </x:c>
      <x:c r="B64" s="17" t="str">
        <x:v>B01</x:v>
      </x:c>
      <x:c r="C64" s="17" t="str">
        <x:v>V02</x:v>
      </x:c>
      <x:c r="D64" s="17" t="str">
        <x:v>S01</x:v>
      </x:c>
      <x:c r="E64" s="17" t="n">
        <x:v>1</x:v>
      </x:c>
      <x:c r="F64" s="17" t="str">
        <x:v>T02</x:v>
      </x:c>
      <x:c r="G64" s="17" t="str">
        <x:v>5 mT连续</x:v>
      </x:c>
      <x:c r="H64" s="17" t="n">
        <x:v>15</x:v>
      </x:c>
      <x:c r="I64" s="17" t="n">
        <x:v>12</x:v>
      </x:c>
      <x:c r="J64" s="17" t="n">
        <x:v>2</x:v>
      </x:c>
      <x:c r="K64" s="17" t="n">
        <x:v>14</x:v>
      </x:c>
      <x:c r="L64" s="17" t="str">
        <x:v>分层区组</x:v>
      </x:c>
      <x:c r="M64" s="17" t="str">
        <x:v>检测盲态</x:v>
      </x:c>
      <x:c r="N64" s="17" t="str">
        <x:v>计划</x:v>
      </x:c>
    </x:row>
    <x:row r="65">
      <x:c r="A65" s="17" t="str">
        <x:v>B01-V02-S01-B2</x:v>
      </x:c>
      <x:c r="B65" s="17" t="str">
        <x:v>B01</x:v>
      </x:c>
      <x:c r="C65" s="17" t="str">
        <x:v>V02</x:v>
      </x:c>
      <x:c r="D65" s="17" t="str">
        <x:v>S01</x:v>
      </x:c>
      <x:c r="E65" s="17" t="n">
        <x:v>2</x:v>
      </x:c>
      <x:c r="F65" s="17" t="str">
        <x:v>T01</x:v>
      </x:c>
      <x:c r="G65" s="17" t="str">
        <x:v>0 mT对照</x:v>
      </x:c>
      <x:c r="H65" s="17" t="n">
        <x:v>0</x:v>
      </x:c>
      <x:c r="I65" s="17" t="n">
        <x:v>12</x:v>
      </x:c>
      <x:c r="J65" s="17" t="n">
        <x:v>2</x:v>
      </x:c>
      <x:c r="K65" s="17" t="n">
        <x:v>14</x:v>
      </x:c>
      <x:c r="L65" s="17" t="str">
        <x:v>分层区组</x:v>
      </x:c>
      <x:c r="M65" s="17" t="str">
        <x:v>检测盲态</x:v>
      </x:c>
      <x:c r="N65" s="17" t="str">
        <x:v>计划</x:v>
      </x:c>
    </x:row>
    <x:row r="66">
      <x:c r="A66" s="17" t="str">
        <x:v>B01-V02-S01-B2</x:v>
      </x:c>
      <x:c r="B66" s="17" t="str">
        <x:v>B01</x:v>
      </x:c>
      <x:c r="C66" s="17" t="str">
        <x:v>V02</x:v>
      </x:c>
      <x:c r="D66" s="17" t="str">
        <x:v>S01</x:v>
      </x:c>
      <x:c r="E66" s="17" t="n">
        <x:v>2</x:v>
      </x:c>
      <x:c r="F66" s="17" t="str">
        <x:v>T01</x:v>
      </x:c>
      <x:c r="G66" s="17" t="str">
        <x:v>0 mT对照</x:v>
      </x:c>
      <x:c r="H66" s="17" t="n">
        <x:v>3</x:v>
      </x:c>
      <x:c r="I66" s="17" t="n">
        <x:v>12</x:v>
      </x:c>
      <x:c r="J66" s="17" t="n">
        <x:v>2</x:v>
      </x:c>
      <x:c r="K66" s="17" t="n">
        <x:v>14</x:v>
      </x:c>
      <x:c r="L66" s="17" t="str">
        <x:v>分层区组</x:v>
      </x:c>
      <x:c r="M66" s="17" t="str">
        <x:v>检测盲态</x:v>
      </x:c>
      <x:c r="N66" s="17" t="str">
        <x:v>计划</x:v>
      </x:c>
    </x:row>
    <x:row r="67">
      <x:c r="A67" s="17" t="str">
        <x:v>B01-V02-S01-B2</x:v>
      </x:c>
      <x:c r="B67" s="17" t="str">
        <x:v>B01</x:v>
      </x:c>
      <x:c r="C67" s="17" t="str">
        <x:v>V02</x:v>
      </x:c>
      <x:c r="D67" s="17" t="str">
        <x:v>S01</x:v>
      </x:c>
      <x:c r="E67" s="17" t="n">
        <x:v>2</x:v>
      </x:c>
      <x:c r="F67" s="17" t="str">
        <x:v>T01</x:v>
      </x:c>
      <x:c r="G67" s="17" t="str">
        <x:v>0 mT对照</x:v>
      </x:c>
      <x:c r="H67" s="17" t="n">
        <x:v>6</x:v>
      </x:c>
      <x:c r="I67" s="17" t="n">
        <x:v>12</x:v>
      </x:c>
      <x:c r="J67" s="17" t="n">
        <x:v>2</x:v>
      </x:c>
      <x:c r="K67" s="17" t="n">
        <x:v>14</x:v>
      </x:c>
      <x:c r="L67" s="17" t="str">
        <x:v>分层区组</x:v>
      </x:c>
      <x:c r="M67" s="17" t="str">
        <x:v>检测盲态</x:v>
      </x:c>
      <x:c r="N67" s="17" t="str">
        <x:v>计划</x:v>
      </x:c>
    </x:row>
    <x:row r="68">
      <x:c r="A68" s="17" t="str">
        <x:v>B01-V02-S01-B2</x:v>
      </x:c>
      <x:c r="B68" s="17" t="str">
        <x:v>B01</x:v>
      </x:c>
      <x:c r="C68" s="17" t="str">
        <x:v>V02</x:v>
      </x:c>
      <x:c r="D68" s="17" t="str">
        <x:v>S01</x:v>
      </x:c>
      <x:c r="E68" s="17" t="n">
        <x:v>2</x:v>
      </x:c>
      <x:c r="F68" s="17" t="str">
        <x:v>T01</x:v>
      </x:c>
      <x:c r="G68" s="17" t="str">
        <x:v>0 mT对照</x:v>
      </x:c>
      <x:c r="H68" s="17" t="n">
        <x:v>9</x:v>
      </x:c>
      <x:c r="I68" s="17" t="n">
        <x:v>12</x:v>
      </x:c>
      <x:c r="J68" s="17" t="n">
        <x:v>2</x:v>
      </x:c>
      <x:c r="K68" s="17" t="n">
        <x:v>14</x:v>
      </x:c>
      <x:c r="L68" s="17" t="str">
        <x:v>分层区组</x:v>
      </x:c>
      <x:c r="M68" s="17" t="str">
        <x:v>检测盲态</x:v>
      </x:c>
      <x:c r="N68" s="17" t="str">
        <x:v>计划</x:v>
      </x:c>
    </x:row>
    <x:row r="69">
      <x:c r="A69" s="17" t="str">
        <x:v>B01-V02-S01-B2</x:v>
      </x:c>
      <x:c r="B69" s="17" t="str">
        <x:v>B01</x:v>
      </x:c>
      <x:c r="C69" s="17" t="str">
        <x:v>V02</x:v>
      </x:c>
      <x:c r="D69" s="17" t="str">
        <x:v>S01</x:v>
      </x:c>
      <x:c r="E69" s="17" t="n">
        <x:v>2</x:v>
      </x:c>
      <x:c r="F69" s="17" t="str">
        <x:v>T01</x:v>
      </x:c>
      <x:c r="G69" s="17" t="str">
        <x:v>0 mT对照</x:v>
      </x:c>
      <x:c r="H69" s="17" t="n">
        <x:v>12</x:v>
      </x:c>
      <x:c r="I69" s="17" t="n">
        <x:v>12</x:v>
      </x:c>
      <x:c r="J69" s="17" t="n">
        <x:v>2</x:v>
      </x:c>
      <x:c r="K69" s="17" t="n">
        <x:v>14</x:v>
      </x:c>
      <x:c r="L69" s="17" t="str">
        <x:v>分层区组</x:v>
      </x:c>
      <x:c r="M69" s="17" t="str">
        <x:v>检测盲态</x:v>
      </x:c>
      <x:c r="N69" s="17" t="str">
        <x:v>计划</x:v>
      </x:c>
    </x:row>
    <x:row r="70">
      <x:c r="A70" s="17" t="str">
        <x:v>B01-V02-S01-B2</x:v>
      </x:c>
      <x:c r="B70" s="17" t="str">
        <x:v>B01</x:v>
      </x:c>
      <x:c r="C70" s="17" t="str">
        <x:v>V02</x:v>
      </x:c>
      <x:c r="D70" s="17" t="str">
        <x:v>S01</x:v>
      </x:c>
      <x:c r="E70" s="17" t="n">
        <x:v>2</x:v>
      </x:c>
      <x:c r="F70" s="17" t="str">
        <x:v>T01</x:v>
      </x:c>
      <x:c r="G70" s="17" t="str">
        <x:v>0 mT对照</x:v>
      </x:c>
      <x:c r="H70" s="17" t="n">
        <x:v>15</x:v>
      </x:c>
      <x:c r="I70" s="17" t="n">
        <x:v>12</x:v>
      </x:c>
      <x:c r="J70" s="17" t="n">
        <x:v>2</x:v>
      </x:c>
      <x:c r="K70" s="17" t="n">
        <x:v>14</x:v>
      </x:c>
      <x:c r="L70" s="17" t="str">
        <x:v>分层区组</x:v>
      </x:c>
      <x:c r="M70" s="17" t="str">
        <x:v>检测盲态</x:v>
      </x:c>
      <x:c r="N70" s="17" t="str">
        <x:v>计划</x:v>
      </x:c>
    </x:row>
    <x:row r="71">
      <x:c r="A71" s="17" t="str">
        <x:v>B01-V02-S01-B2</x:v>
      </x:c>
      <x:c r="B71" s="17" t="str">
        <x:v>B01</x:v>
      </x:c>
      <x:c r="C71" s="17" t="str">
        <x:v>V02</x:v>
      </x:c>
      <x:c r="D71" s="17" t="str">
        <x:v>S01</x:v>
      </x:c>
      <x:c r="E71" s="17" t="n">
        <x:v>2</x:v>
      </x:c>
      <x:c r="F71" s="17" t="str">
        <x:v>T02</x:v>
      </x:c>
      <x:c r="G71" s="17" t="str">
        <x:v>5 mT连续</x:v>
      </x:c>
      <x:c r="H71" s="17" t="n">
        <x:v>0</x:v>
      </x:c>
      <x:c r="I71" s="17" t="n">
        <x:v>12</x:v>
      </x:c>
      <x:c r="J71" s="17" t="n">
        <x:v>2</x:v>
      </x:c>
      <x:c r="K71" s="17" t="n">
        <x:v>14</x:v>
      </x:c>
      <x:c r="L71" s="17" t="str">
        <x:v>分层区组</x:v>
      </x:c>
      <x:c r="M71" s="17" t="str">
        <x:v>检测盲态</x:v>
      </x:c>
      <x:c r="N71" s="17" t="str">
        <x:v>计划</x:v>
      </x:c>
    </x:row>
    <x:row r="72">
      <x:c r="A72" s="17" t="str">
        <x:v>B01-V02-S01-B2</x:v>
      </x:c>
      <x:c r="B72" s="17" t="str">
        <x:v>B01</x:v>
      </x:c>
      <x:c r="C72" s="17" t="str">
        <x:v>V02</x:v>
      </x:c>
      <x:c r="D72" s="17" t="str">
        <x:v>S01</x:v>
      </x:c>
      <x:c r="E72" s="17" t="n">
        <x:v>2</x:v>
      </x:c>
      <x:c r="F72" s="17" t="str">
        <x:v>T02</x:v>
      </x:c>
      <x:c r="G72" s="17" t="str">
        <x:v>5 mT连续</x:v>
      </x:c>
      <x:c r="H72" s="17" t="n">
        <x:v>3</x:v>
      </x:c>
      <x:c r="I72" s="17" t="n">
        <x:v>12</x:v>
      </x:c>
      <x:c r="J72" s="17" t="n">
        <x:v>2</x:v>
      </x:c>
      <x:c r="K72" s="17" t="n">
        <x:v>14</x:v>
      </x:c>
      <x:c r="L72" s="17" t="str">
        <x:v>分层区组</x:v>
      </x:c>
      <x:c r="M72" s="17" t="str">
        <x:v>检测盲态</x:v>
      </x:c>
      <x:c r="N72" s="17" t="str">
        <x:v>计划</x:v>
      </x:c>
    </x:row>
    <x:row r="73">
      <x:c r="A73" s="17" t="str">
        <x:v>B01-V02-S01-B2</x:v>
      </x:c>
      <x:c r="B73" s="17" t="str">
        <x:v>B01</x:v>
      </x:c>
      <x:c r="C73" s="17" t="str">
        <x:v>V02</x:v>
      </x:c>
      <x:c r="D73" s="17" t="str">
        <x:v>S01</x:v>
      </x:c>
      <x:c r="E73" s="17" t="n">
        <x:v>2</x:v>
      </x:c>
      <x:c r="F73" s="17" t="str">
        <x:v>T02</x:v>
      </x:c>
      <x:c r="G73" s="17" t="str">
        <x:v>5 mT连续</x:v>
      </x:c>
      <x:c r="H73" s="17" t="n">
        <x:v>6</x:v>
      </x:c>
      <x:c r="I73" s="17" t="n">
        <x:v>12</x:v>
      </x:c>
      <x:c r="J73" s="17" t="n">
        <x:v>2</x:v>
      </x:c>
      <x:c r="K73" s="17" t="n">
        <x:v>14</x:v>
      </x:c>
      <x:c r="L73" s="17" t="str">
        <x:v>分层区组</x:v>
      </x:c>
      <x:c r="M73" s="17" t="str">
        <x:v>检测盲态</x:v>
      </x:c>
      <x:c r="N73" s="17" t="str">
        <x:v>计划</x:v>
      </x:c>
    </x:row>
    <x:row r="74">
      <x:c r="A74" s="17" t="str">
        <x:v>B01-V02-S01-B2</x:v>
      </x:c>
      <x:c r="B74" s="17" t="str">
        <x:v>B01</x:v>
      </x:c>
      <x:c r="C74" s="17" t="str">
        <x:v>V02</x:v>
      </x:c>
      <x:c r="D74" s="17" t="str">
        <x:v>S01</x:v>
      </x:c>
      <x:c r="E74" s="17" t="n">
        <x:v>2</x:v>
      </x:c>
      <x:c r="F74" s="17" t="str">
        <x:v>T02</x:v>
      </x:c>
      <x:c r="G74" s="17" t="str">
        <x:v>5 mT连续</x:v>
      </x:c>
      <x:c r="H74" s="17" t="n">
        <x:v>9</x:v>
      </x:c>
      <x:c r="I74" s="17" t="n">
        <x:v>12</x:v>
      </x:c>
      <x:c r="J74" s="17" t="n">
        <x:v>2</x:v>
      </x:c>
      <x:c r="K74" s="17" t="n">
        <x:v>14</x:v>
      </x:c>
      <x:c r="L74" s="17" t="str">
        <x:v>分层区组</x:v>
      </x:c>
      <x:c r="M74" s="17" t="str">
        <x:v>检测盲态</x:v>
      </x:c>
      <x:c r="N74" s="17" t="str">
        <x:v>计划</x:v>
      </x:c>
    </x:row>
    <x:row r="75">
      <x:c r="A75" s="17" t="str">
        <x:v>B01-V02-S01-B2</x:v>
      </x:c>
      <x:c r="B75" s="17" t="str">
        <x:v>B01</x:v>
      </x:c>
      <x:c r="C75" s="17" t="str">
        <x:v>V02</x:v>
      </x:c>
      <x:c r="D75" s="17" t="str">
        <x:v>S01</x:v>
      </x:c>
      <x:c r="E75" s="17" t="n">
        <x:v>2</x:v>
      </x:c>
      <x:c r="F75" s="17" t="str">
        <x:v>T02</x:v>
      </x:c>
      <x:c r="G75" s="17" t="str">
        <x:v>5 mT连续</x:v>
      </x:c>
      <x:c r="H75" s="17" t="n">
        <x:v>12</x:v>
      </x:c>
      <x:c r="I75" s="17" t="n">
        <x:v>12</x:v>
      </x:c>
      <x:c r="J75" s="17" t="n">
        <x:v>2</x:v>
      </x:c>
      <x:c r="K75" s="17" t="n">
        <x:v>14</x:v>
      </x:c>
      <x:c r="L75" s="17" t="str">
        <x:v>分层区组</x:v>
      </x:c>
      <x:c r="M75" s="17" t="str">
        <x:v>检测盲态</x:v>
      </x:c>
      <x:c r="N75" s="17" t="str">
        <x:v>计划</x:v>
      </x:c>
    </x:row>
    <x:row r="76">
      <x:c r="A76" s="17" t="str">
        <x:v>B01-V02-S01-B2</x:v>
      </x:c>
      <x:c r="B76" s="17" t="str">
        <x:v>B01</x:v>
      </x:c>
      <x:c r="C76" s="17" t="str">
        <x:v>V02</x:v>
      </x:c>
      <x:c r="D76" s="17" t="str">
        <x:v>S01</x:v>
      </x:c>
      <x:c r="E76" s="17" t="n">
        <x:v>2</x:v>
      </x:c>
      <x:c r="F76" s="17" t="str">
        <x:v>T02</x:v>
      </x:c>
      <x:c r="G76" s="17" t="str">
        <x:v>5 mT连续</x:v>
      </x:c>
      <x:c r="H76" s="17" t="n">
        <x:v>15</x:v>
      </x:c>
      <x:c r="I76" s="17" t="n">
        <x:v>12</x:v>
      </x:c>
      <x:c r="J76" s="17" t="n">
        <x:v>2</x:v>
      </x:c>
      <x:c r="K76" s="17" t="n">
        <x:v>14</x:v>
      </x:c>
      <x:c r="L76" s="17" t="str">
        <x:v>分层区组</x:v>
      </x:c>
      <x:c r="M76" s="17" t="str">
        <x:v>检测盲态</x:v>
      </x:c>
      <x:c r="N76" s="17" t="str">
        <x:v>计划</x:v>
      </x:c>
    </x:row>
    <x:row r="77">
      <x:c r="A77" s="17" t="str">
        <x:v>B01-V02-S02-B1</x:v>
      </x:c>
      <x:c r="B77" s="17" t="str">
        <x:v>B01</x:v>
      </x:c>
      <x:c r="C77" s="17" t="str">
        <x:v>V02</x:v>
      </x:c>
      <x:c r="D77" s="17" t="str">
        <x:v>S02</x:v>
      </x:c>
      <x:c r="E77" s="17" t="n">
        <x:v>1</x:v>
      </x:c>
      <x:c r="F77" s="17" t="str">
        <x:v>T01</x:v>
      </x:c>
      <x:c r="G77" s="17" t="str">
        <x:v>0 mT对照</x:v>
      </x:c>
      <x:c r="H77" s="17" t="n">
        <x:v>0</x:v>
      </x:c>
      <x:c r="I77" s="17" t="n">
        <x:v>12</x:v>
      </x:c>
      <x:c r="J77" s="17" t="n">
        <x:v>2</x:v>
      </x:c>
      <x:c r="K77" s="17" t="n">
        <x:v>14</x:v>
      </x:c>
      <x:c r="L77" s="17" t="str">
        <x:v>分层区组</x:v>
      </x:c>
      <x:c r="M77" s="17" t="str">
        <x:v>检测盲态</x:v>
      </x:c>
      <x:c r="N77" s="17" t="str">
        <x:v>计划</x:v>
      </x:c>
    </x:row>
    <x:row r="78">
      <x:c r="A78" s="17" t="str">
        <x:v>B01-V02-S02-B1</x:v>
      </x:c>
      <x:c r="B78" s="17" t="str">
        <x:v>B01</x:v>
      </x:c>
      <x:c r="C78" s="17" t="str">
        <x:v>V02</x:v>
      </x:c>
      <x:c r="D78" s="17" t="str">
        <x:v>S02</x:v>
      </x:c>
      <x:c r="E78" s="17" t="n">
        <x:v>1</x:v>
      </x:c>
      <x:c r="F78" s="17" t="str">
        <x:v>T01</x:v>
      </x:c>
      <x:c r="G78" s="17" t="str">
        <x:v>0 mT对照</x:v>
      </x:c>
      <x:c r="H78" s="17" t="n">
        <x:v>3</x:v>
      </x:c>
      <x:c r="I78" s="17" t="n">
        <x:v>12</x:v>
      </x:c>
      <x:c r="J78" s="17" t="n">
        <x:v>2</x:v>
      </x:c>
      <x:c r="K78" s="17" t="n">
        <x:v>14</x:v>
      </x:c>
      <x:c r="L78" s="17" t="str">
        <x:v>分层区组</x:v>
      </x:c>
      <x:c r="M78" s="17" t="str">
        <x:v>检测盲态</x:v>
      </x:c>
      <x:c r="N78" s="17" t="str">
        <x:v>计划</x:v>
      </x:c>
    </x:row>
    <x:row r="79">
      <x:c r="A79" s="17" t="str">
        <x:v>B01-V02-S02-B1</x:v>
      </x:c>
      <x:c r="B79" s="17" t="str">
        <x:v>B01</x:v>
      </x:c>
      <x:c r="C79" s="17" t="str">
        <x:v>V02</x:v>
      </x:c>
      <x:c r="D79" s="17" t="str">
        <x:v>S02</x:v>
      </x:c>
      <x:c r="E79" s="17" t="n">
        <x:v>1</x:v>
      </x:c>
      <x:c r="F79" s="17" t="str">
        <x:v>T01</x:v>
      </x:c>
      <x:c r="G79" s="17" t="str">
        <x:v>0 mT对照</x:v>
      </x:c>
      <x:c r="H79" s="17" t="n">
        <x:v>6</x:v>
      </x:c>
      <x:c r="I79" s="17" t="n">
        <x:v>12</x:v>
      </x:c>
      <x:c r="J79" s="17" t="n">
        <x:v>2</x:v>
      </x:c>
      <x:c r="K79" s="17" t="n">
        <x:v>14</x:v>
      </x:c>
      <x:c r="L79" s="17" t="str">
        <x:v>分层区组</x:v>
      </x:c>
      <x:c r="M79" s="17" t="str">
        <x:v>检测盲态</x:v>
      </x:c>
      <x:c r="N79" s="17" t="str">
        <x:v>计划</x:v>
      </x:c>
    </x:row>
    <x:row r="80">
      <x:c r="A80" s="17" t="str">
        <x:v>B01-V02-S02-B1</x:v>
      </x:c>
      <x:c r="B80" s="17" t="str">
        <x:v>B01</x:v>
      </x:c>
      <x:c r="C80" s="17" t="str">
        <x:v>V02</x:v>
      </x:c>
      <x:c r="D80" s="17" t="str">
        <x:v>S02</x:v>
      </x:c>
      <x:c r="E80" s="17" t="n">
        <x:v>1</x:v>
      </x:c>
      <x:c r="F80" s="17" t="str">
        <x:v>T01</x:v>
      </x:c>
      <x:c r="G80" s="17" t="str">
        <x:v>0 mT对照</x:v>
      </x:c>
      <x:c r="H80" s="17" t="n">
        <x:v>9</x:v>
      </x:c>
      <x:c r="I80" s="17" t="n">
        <x:v>12</x:v>
      </x:c>
      <x:c r="J80" s="17" t="n">
        <x:v>2</x:v>
      </x:c>
      <x:c r="K80" s="17" t="n">
        <x:v>14</x:v>
      </x:c>
      <x:c r="L80" s="17" t="str">
        <x:v>分层区组</x:v>
      </x:c>
      <x:c r="M80" s="17" t="str">
        <x:v>检测盲态</x:v>
      </x:c>
      <x:c r="N80" s="17" t="str">
        <x:v>计划</x:v>
      </x:c>
    </x:row>
    <x:row r="81">
      <x:c r="A81" s="17" t="str">
        <x:v>B01-V02-S02-B1</x:v>
      </x:c>
      <x:c r="B81" s="17" t="str">
        <x:v>B01</x:v>
      </x:c>
      <x:c r="C81" s="17" t="str">
        <x:v>V02</x:v>
      </x:c>
      <x:c r="D81" s="17" t="str">
        <x:v>S02</x:v>
      </x:c>
      <x:c r="E81" s="17" t="n">
        <x:v>1</x:v>
      </x:c>
      <x:c r="F81" s="17" t="str">
        <x:v>T01</x:v>
      </x:c>
      <x:c r="G81" s="17" t="str">
        <x:v>0 mT对照</x:v>
      </x:c>
      <x:c r="H81" s="17" t="n">
        <x:v>12</x:v>
      </x:c>
      <x:c r="I81" s="17" t="n">
        <x:v>12</x:v>
      </x:c>
      <x:c r="J81" s="17" t="n">
        <x:v>2</x:v>
      </x:c>
      <x:c r="K81" s="17" t="n">
        <x:v>14</x:v>
      </x:c>
      <x:c r="L81" s="17" t="str">
        <x:v>分层区组</x:v>
      </x:c>
      <x:c r="M81" s="17" t="str">
        <x:v>检测盲态</x:v>
      </x:c>
      <x:c r="N81" s="17" t="str">
        <x:v>计划</x:v>
      </x:c>
    </x:row>
    <x:row r="82">
      <x:c r="A82" s="17" t="str">
        <x:v>B01-V02-S02-B1</x:v>
      </x:c>
      <x:c r="B82" s="17" t="str">
        <x:v>B01</x:v>
      </x:c>
      <x:c r="C82" s="17" t="str">
        <x:v>V02</x:v>
      </x:c>
      <x:c r="D82" s="17" t="str">
        <x:v>S02</x:v>
      </x:c>
      <x:c r="E82" s="17" t="n">
        <x:v>1</x:v>
      </x:c>
      <x:c r="F82" s="17" t="str">
        <x:v>T01</x:v>
      </x:c>
      <x:c r="G82" s="17" t="str">
        <x:v>0 mT对照</x:v>
      </x:c>
      <x:c r="H82" s="17" t="n">
        <x:v>15</x:v>
      </x:c>
      <x:c r="I82" s="17" t="n">
        <x:v>12</x:v>
      </x:c>
      <x:c r="J82" s="17" t="n">
        <x:v>2</x:v>
      </x:c>
      <x:c r="K82" s="17" t="n">
        <x:v>14</x:v>
      </x:c>
      <x:c r="L82" s="17" t="str">
        <x:v>分层区组</x:v>
      </x:c>
      <x:c r="M82" s="17" t="str">
        <x:v>检测盲态</x:v>
      </x:c>
      <x:c r="N82" s="17" t="str">
        <x:v>计划</x:v>
      </x:c>
    </x:row>
    <x:row r="83">
      <x:c r="A83" s="17" t="str">
        <x:v>B01-V02-S02-B1</x:v>
      </x:c>
      <x:c r="B83" s="17" t="str">
        <x:v>B01</x:v>
      </x:c>
      <x:c r="C83" s="17" t="str">
        <x:v>V02</x:v>
      </x:c>
      <x:c r="D83" s="17" t="str">
        <x:v>S02</x:v>
      </x:c>
      <x:c r="E83" s="17" t="n">
        <x:v>1</x:v>
      </x:c>
      <x:c r="F83" s="17" t="str">
        <x:v>T02</x:v>
      </x:c>
      <x:c r="G83" s="17" t="str">
        <x:v>5 mT连续</x:v>
      </x:c>
      <x:c r="H83" s="17" t="n">
        <x:v>0</x:v>
      </x:c>
      <x:c r="I83" s="17" t="n">
        <x:v>12</x:v>
      </x:c>
      <x:c r="J83" s="17" t="n">
        <x:v>2</x:v>
      </x:c>
      <x:c r="K83" s="17" t="n">
        <x:v>14</x:v>
      </x:c>
      <x:c r="L83" s="17" t="str">
        <x:v>分层区组</x:v>
      </x:c>
      <x:c r="M83" s="17" t="str">
        <x:v>检测盲态</x:v>
      </x:c>
      <x:c r="N83" s="17" t="str">
        <x:v>计划</x:v>
      </x:c>
    </x:row>
    <x:row r="84">
      <x:c r="A84" s="17" t="str">
        <x:v>B01-V02-S02-B1</x:v>
      </x:c>
      <x:c r="B84" s="17" t="str">
        <x:v>B01</x:v>
      </x:c>
      <x:c r="C84" s="17" t="str">
        <x:v>V02</x:v>
      </x:c>
      <x:c r="D84" s="17" t="str">
        <x:v>S02</x:v>
      </x:c>
      <x:c r="E84" s="17" t="n">
        <x:v>1</x:v>
      </x:c>
      <x:c r="F84" s="17" t="str">
        <x:v>T02</x:v>
      </x:c>
      <x:c r="G84" s="17" t="str">
        <x:v>5 mT连续</x:v>
      </x:c>
      <x:c r="H84" s="17" t="n">
        <x:v>3</x:v>
      </x:c>
      <x:c r="I84" s="17" t="n">
        <x:v>12</x:v>
      </x:c>
      <x:c r="J84" s="17" t="n">
        <x:v>2</x:v>
      </x:c>
      <x:c r="K84" s="17" t="n">
        <x:v>14</x:v>
      </x:c>
      <x:c r="L84" s="17" t="str">
        <x:v>分层区组</x:v>
      </x:c>
      <x:c r="M84" s="17" t="str">
        <x:v>检测盲态</x:v>
      </x:c>
      <x:c r="N84" s="17" t="str">
        <x:v>计划</x:v>
      </x:c>
    </x:row>
    <x:row r="85">
      <x:c r="A85" s="17" t="str">
        <x:v>B01-V02-S02-B1</x:v>
      </x:c>
      <x:c r="B85" s="17" t="str">
        <x:v>B01</x:v>
      </x:c>
      <x:c r="C85" s="17" t="str">
        <x:v>V02</x:v>
      </x:c>
      <x:c r="D85" s="17" t="str">
        <x:v>S02</x:v>
      </x:c>
      <x:c r="E85" s="17" t="n">
        <x:v>1</x:v>
      </x:c>
      <x:c r="F85" s="17" t="str">
        <x:v>T02</x:v>
      </x:c>
      <x:c r="G85" s="17" t="str">
        <x:v>5 mT连续</x:v>
      </x:c>
      <x:c r="H85" s="17" t="n">
        <x:v>6</x:v>
      </x:c>
      <x:c r="I85" s="17" t="n">
        <x:v>12</x:v>
      </x:c>
      <x:c r="J85" s="17" t="n">
        <x:v>2</x:v>
      </x:c>
      <x:c r="K85" s="17" t="n">
        <x:v>14</x:v>
      </x:c>
      <x:c r="L85" s="17" t="str">
        <x:v>分层区组</x:v>
      </x:c>
      <x:c r="M85" s="17" t="str">
        <x:v>检测盲态</x:v>
      </x:c>
      <x:c r="N85" s="17" t="str">
        <x:v>计划</x:v>
      </x:c>
    </x:row>
    <x:row r="86">
      <x:c r="A86" s="17" t="str">
        <x:v>B01-V02-S02-B1</x:v>
      </x:c>
      <x:c r="B86" s="17" t="str">
        <x:v>B01</x:v>
      </x:c>
      <x:c r="C86" s="17" t="str">
        <x:v>V02</x:v>
      </x:c>
      <x:c r="D86" s="17" t="str">
        <x:v>S02</x:v>
      </x:c>
      <x:c r="E86" s="17" t="n">
        <x:v>1</x:v>
      </x:c>
      <x:c r="F86" s="17" t="str">
        <x:v>T02</x:v>
      </x:c>
      <x:c r="G86" s="17" t="str">
        <x:v>5 mT连续</x:v>
      </x:c>
      <x:c r="H86" s="17" t="n">
        <x:v>9</x:v>
      </x:c>
      <x:c r="I86" s="17" t="n">
        <x:v>12</x:v>
      </x:c>
      <x:c r="J86" s="17" t="n">
        <x:v>2</x:v>
      </x:c>
      <x:c r="K86" s="17" t="n">
        <x:v>14</x:v>
      </x:c>
      <x:c r="L86" s="17" t="str">
        <x:v>分层区组</x:v>
      </x:c>
      <x:c r="M86" s="17" t="str">
        <x:v>检测盲态</x:v>
      </x:c>
      <x:c r="N86" s="17" t="str">
        <x:v>计划</x:v>
      </x:c>
    </x:row>
    <x:row r="87">
      <x:c r="A87" s="17" t="str">
        <x:v>B01-V02-S02-B1</x:v>
      </x:c>
      <x:c r="B87" s="17" t="str">
        <x:v>B01</x:v>
      </x:c>
      <x:c r="C87" s="17" t="str">
        <x:v>V02</x:v>
      </x:c>
      <x:c r="D87" s="17" t="str">
        <x:v>S02</x:v>
      </x:c>
      <x:c r="E87" s="17" t="n">
        <x:v>1</x:v>
      </x:c>
      <x:c r="F87" s="17" t="str">
        <x:v>T02</x:v>
      </x:c>
      <x:c r="G87" s="17" t="str">
        <x:v>5 mT连续</x:v>
      </x:c>
      <x:c r="H87" s="17" t="n">
        <x:v>12</x:v>
      </x:c>
      <x:c r="I87" s="17" t="n">
        <x:v>12</x:v>
      </x:c>
      <x:c r="J87" s="17" t="n">
        <x:v>2</x:v>
      </x:c>
      <x:c r="K87" s="17" t="n">
        <x:v>14</x:v>
      </x:c>
      <x:c r="L87" s="17" t="str">
        <x:v>分层区组</x:v>
      </x:c>
      <x:c r="M87" s="17" t="str">
        <x:v>检测盲态</x:v>
      </x:c>
      <x:c r="N87" s="17" t="str">
        <x:v>计划</x:v>
      </x:c>
    </x:row>
    <x:row r="88">
      <x:c r="A88" s="17" t="str">
        <x:v>B01-V02-S02-B1</x:v>
      </x:c>
      <x:c r="B88" s="17" t="str">
        <x:v>B01</x:v>
      </x:c>
      <x:c r="C88" s="17" t="str">
        <x:v>V02</x:v>
      </x:c>
      <x:c r="D88" s="17" t="str">
        <x:v>S02</x:v>
      </x:c>
      <x:c r="E88" s="17" t="n">
        <x:v>1</x:v>
      </x:c>
      <x:c r="F88" s="17" t="str">
        <x:v>T02</x:v>
      </x:c>
      <x:c r="G88" s="17" t="str">
        <x:v>5 mT连续</x:v>
      </x:c>
      <x:c r="H88" s="17" t="n">
        <x:v>15</x:v>
      </x:c>
      <x:c r="I88" s="17" t="n">
        <x:v>12</x:v>
      </x:c>
      <x:c r="J88" s="17" t="n">
        <x:v>2</x:v>
      </x:c>
      <x:c r="K88" s="17" t="n">
        <x:v>14</x:v>
      </x:c>
      <x:c r="L88" s="17" t="str">
        <x:v>分层区组</x:v>
      </x:c>
      <x:c r="M88" s="17" t="str">
        <x:v>检测盲态</x:v>
      </x:c>
      <x:c r="N88" s="17" t="str">
        <x:v>计划</x:v>
      </x:c>
    </x:row>
    <x:row r="89">
      <x:c r="A89" s="17" t="str">
        <x:v>B01-V02-S02-B2</x:v>
      </x:c>
      <x:c r="B89" s="17" t="str">
        <x:v>B01</x:v>
      </x:c>
      <x:c r="C89" s="17" t="str">
        <x:v>V02</x:v>
      </x:c>
      <x:c r="D89" s="17" t="str">
        <x:v>S02</x:v>
      </x:c>
      <x:c r="E89" s="17" t="n">
        <x:v>2</x:v>
      </x:c>
      <x:c r="F89" s="17" t="str">
        <x:v>T01</x:v>
      </x:c>
      <x:c r="G89" s="17" t="str">
        <x:v>0 mT对照</x:v>
      </x:c>
      <x:c r="H89" s="17" t="n">
        <x:v>0</x:v>
      </x:c>
      <x:c r="I89" s="17" t="n">
        <x:v>12</x:v>
      </x:c>
      <x:c r="J89" s="17" t="n">
        <x:v>2</x:v>
      </x:c>
      <x:c r="K89" s="17" t="n">
        <x:v>14</x:v>
      </x:c>
      <x:c r="L89" s="17" t="str">
        <x:v>分层区组</x:v>
      </x:c>
      <x:c r="M89" s="17" t="str">
        <x:v>检测盲态</x:v>
      </x:c>
      <x:c r="N89" s="17" t="str">
        <x:v>计划</x:v>
      </x:c>
    </x:row>
    <x:row r="90">
      <x:c r="A90" s="17" t="str">
        <x:v>B01-V02-S02-B2</x:v>
      </x:c>
      <x:c r="B90" s="17" t="str">
        <x:v>B01</x:v>
      </x:c>
      <x:c r="C90" s="17" t="str">
        <x:v>V02</x:v>
      </x:c>
      <x:c r="D90" s="17" t="str">
        <x:v>S02</x:v>
      </x:c>
      <x:c r="E90" s="17" t="n">
        <x:v>2</x:v>
      </x:c>
      <x:c r="F90" s="17" t="str">
        <x:v>T01</x:v>
      </x:c>
      <x:c r="G90" s="17" t="str">
        <x:v>0 mT对照</x:v>
      </x:c>
      <x:c r="H90" s="17" t="n">
        <x:v>3</x:v>
      </x:c>
      <x:c r="I90" s="17" t="n">
        <x:v>12</x:v>
      </x:c>
      <x:c r="J90" s="17" t="n">
        <x:v>2</x:v>
      </x:c>
      <x:c r="K90" s="17" t="n">
        <x:v>14</x:v>
      </x:c>
      <x:c r="L90" s="17" t="str">
        <x:v>分层区组</x:v>
      </x:c>
      <x:c r="M90" s="17" t="str">
        <x:v>检测盲态</x:v>
      </x:c>
      <x:c r="N90" s="17" t="str">
        <x:v>计划</x:v>
      </x:c>
    </x:row>
    <x:row r="91">
      <x:c r="A91" s="17" t="str">
        <x:v>B01-V02-S02-B2</x:v>
      </x:c>
      <x:c r="B91" s="17" t="str">
        <x:v>B01</x:v>
      </x:c>
      <x:c r="C91" s="17" t="str">
        <x:v>V02</x:v>
      </x:c>
      <x:c r="D91" s="17" t="str">
        <x:v>S02</x:v>
      </x:c>
      <x:c r="E91" s="17" t="n">
        <x:v>2</x:v>
      </x:c>
      <x:c r="F91" s="17" t="str">
        <x:v>T01</x:v>
      </x:c>
      <x:c r="G91" s="17" t="str">
        <x:v>0 mT对照</x:v>
      </x:c>
      <x:c r="H91" s="17" t="n">
        <x:v>6</x:v>
      </x:c>
      <x:c r="I91" s="17" t="n">
        <x:v>12</x:v>
      </x:c>
      <x:c r="J91" s="17" t="n">
        <x:v>2</x:v>
      </x:c>
      <x:c r="K91" s="17" t="n">
        <x:v>14</x:v>
      </x:c>
      <x:c r="L91" s="17" t="str">
        <x:v>分层区组</x:v>
      </x:c>
      <x:c r="M91" s="17" t="str">
        <x:v>检测盲态</x:v>
      </x:c>
      <x:c r="N91" s="17" t="str">
        <x:v>计划</x:v>
      </x:c>
    </x:row>
    <x:row r="92">
      <x:c r="A92" s="17" t="str">
        <x:v>B01-V02-S02-B2</x:v>
      </x:c>
      <x:c r="B92" s="17" t="str">
        <x:v>B01</x:v>
      </x:c>
      <x:c r="C92" s="17" t="str">
        <x:v>V02</x:v>
      </x:c>
      <x:c r="D92" s="17" t="str">
        <x:v>S02</x:v>
      </x:c>
      <x:c r="E92" s="17" t="n">
        <x:v>2</x:v>
      </x:c>
      <x:c r="F92" s="17" t="str">
        <x:v>T01</x:v>
      </x:c>
      <x:c r="G92" s="17" t="str">
        <x:v>0 mT对照</x:v>
      </x:c>
      <x:c r="H92" s="17" t="n">
        <x:v>9</x:v>
      </x:c>
      <x:c r="I92" s="17" t="n">
        <x:v>12</x:v>
      </x:c>
      <x:c r="J92" s="17" t="n">
        <x:v>2</x:v>
      </x:c>
      <x:c r="K92" s="17" t="n">
        <x:v>14</x:v>
      </x:c>
      <x:c r="L92" s="17" t="str">
        <x:v>分层区组</x:v>
      </x:c>
      <x:c r="M92" s="17" t="str">
        <x:v>检测盲态</x:v>
      </x:c>
      <x:c r="N92" s="17" t="str">
        <x:v>计划</x:v>
      </x:c>
    </x:row>
    <x:row r="93">
      <x:c r="A93" s="17" t="str">
        <x:v>B01-V02-S02-B2</x:v>
      </x:c>
      <x:c r="B93" s="17" t="str">
        <x:v>B01</x:v>
      </x:c>
      <x:c r="C93" s="17" t="str">
        <x:v>V02</x:v>
      </x:c>
      <x:c r="D93" s="17" t="str">
        <x:v>S02</x:v>
      </x:c>
      <x:c r="E93" s="17" t="n">
        <x:v>2</x:v>
      </x:c>
      <x:c r="F93" s="17" t="str">
        <x:v>T01</x:v>
      </x:c>
      <x:c r="G93" s="17" t="str">
        <x:v>0 mT对照</x:v>
      </x:c>
      <x:c r="H93" s="17" t="n">
        <x:v>12</x:v>
      </x:c>
      <x:c r="I93" s="17" t="n">
        <x:v>12</x:v>
      </x:c>
      <x:c r="J93" s="17" t="n">
        <x:v>2</x:v>
      </x:c>
      <x:c r="K93" s="17" t="n">
        <x:v>14</x:v>
      </x:c>
      <x:c r="L93" s="17" t="str">
        <x:v>分层区组</x:v>
      </x:c>
      <x:c r="M93" s="17" t="str">
        <x:v>检测盲态</x:v>
      </x:c>
      <x:c r="N93" s="17" t="str">
        <x:v>计划</x:v>
      </x:c>
    </x:row>
    <x:row r="94">
      <x:c r="A94" s="17" t="str">
        <x:v>B01-V02-S02-B2</x:v>
      </x:c>
      <x:c r="B94" s="17" t="str">
        <x:v>B01</x:v>
      </x:c>
      <x:c r="C94" s="17" t="str">
        <x:v>V02</x:v>
      </x:c>
      <x:c r="D94" s="17" t="str">
        <x:v>S02</x:v>
      </x:c>
      <x:c r="E94" s="17" t="n">
        <x:v>2</x:v>
      </x:c>
      <x:c r="F94" s="17" t="str">
        <x:v>T01</x:v>
      </x:c>
      <x:c r="G94" s="17" t="str">
        <x:v>0 mT对照</x:v>
      </x:c>
      <x:c r="H94" s="17" t="n">
        <x:v>15</x:v>
      </x:c>
      <x:c r="I94" s="17" t="n">
        <x:v>12</x:v>
      </x:c>
      <x:c r="J94" s="17" t="n">
        <x:v>2</x:v>
      </x:c>
      <x:c r="K94" s="17" t="n">
        <x:v>14</x:v>
      </x:c>
      <x:c r="L94" s="17" t="str">
        <x:v>分层区组</x:v>
      </x:c>
      <x:c r="M94" s="17" t="str">
        <x:v>检测盲态</x:v>
      </x:c>
      <x:c r="N94" s="17" t="str">
        <x:v>计划</x:v>
      </x:c>
    </x:row>
    <x:row r="95">
      <x:c r="A95" s="17" t="str">
        <x:v>B01-V02-S02-B2</x:v>
      </x:c>
      <x:c r="B95" s="17" t="str">
        <x:v>B01</x:v>
      </x:c>
      <x:c r="C95" s="17" t="str">
        <x:v>V02</x:v>
      </x:c>
      <x:c r="D95" s="17" t="str">
        <x:v>S02</x:v>
      </x:c>
      <x:c r="E95" s="17" t="n">
        <x:v>2</x:v>
      </x:c>
      <x:c r="F95" s="17" t="str">
        <x:v>T02</x:v>
      </x:c>
      <x:c r="G95" s="17" t="str">
        <x:v>5 mT连续</x:v>
      </x:c>
      <x:c r="H95" s="17" t="n">
        <x:v>0</x:v>
      </x:c>
      <x:c r="I95" s="17" t="n">
        <x:v>12</x:v>
      </x:c>
      <x:c r="J95" s="17" t="n">
        <x:v>2</x:v>
      </x:c>
      <x:c r="K95" s="17" t="n">
        <x:v>14</x:v>
      </x:c>
      <x:c r="L95" s="17" t="str">
        <x:v>分层区组</x:v>
      </x:c>
      <x:c r="M95" s="17" t="str">
        <x:v>检测盲态</x:v>
      </x:c>
      <x:c r="N95" s="17" t="str">
        <x:v>计划</x:v>
      </x:c>
    </x:row>
    <x:row r="96">
      <x:c r="A96" s="17" t="str">
        <x:v>B01-V02-S02-B2</x:v>
      </x:c>
      <x:c r="B96" s="17" t="str">
        <x:v>B01</x:v>
      </x:c>
      <x:c r="C96" s="17" t="str">
        <x:v>V02</x:v>
      </x:c>
      <x:c r="D96" s="17" t="str">
        <x:v>S02</x:v>
      </x:c>
      <x:c r="E96" s="17" t="n">
        <x:v>2</x:v>
      </x:c>
      <x:c r="F96" s="17" t="str">
        <x:v>T02</x:v>
      </x:c>
      <x:c r="G96" s="17" t="str">
        <x:v>5 mT连续</x:v>
      </x:c>
      <x:c r="H96" s="17" t="n">
        <x:v>3</x:v>
      </x:c>
      <x:c r="I96" s="17" t="n">
        <x:v>12</x:v>
      </x:c>
      <x:c r="J96" s="17" t="n">
        <x:v>2</x:v>
      </x:c>
      <x:c r="K96" s="17" t="n">
        <x:v>14</x:v>
      </x:c>
      <x:c r="L96" s="17" t="str">
        <x:v>分层区组</x:v>
      </x:c>
      <x:c r="M96" s="17" t="str">
        <x:v>检测盲态</x:v>
      </x:c>
      <x:c r="N96" s="17" t="str">
        <x:v>计划</x:v>
      </x:c>
    </x:row>
    <x:row r="97">
      <x:c r="A97" s="17" t="str">
        <x:v>B01-V02-S02-B2</x:v>
      </x:c>
      <x:c r="B97" s="17" t="str">
        <x:v>B01</x:v>
      </x:c>
      <x:c r="C97" s="17" t="str">
        <x:v>V02</x:v>
      </x:c>
      <x:c r="D97" s="17" t="str">
        <x:v>S02</x:v>
      </x:c>
      <x:c r="E97" s="17" t="n">
        <x:v>2</x:v>
      </x:c>
      <x:c r="F97" s="17" t="str">
        <x:v>T02</x:v>
      </x:c>
      <x:c r="G97" s="17" t="str">
        <x:v>5 mT连续</x:v>
      </x:c>
      <x:c r="H97" s="17" t="n">
        <x:v>6</x:v>
      </x:c>
      <x:c r="I97" s="17" t="n">
        <x:v>12</x:v>
      </x:c>
      <x:c r="J97" s="17" t="n">
        <x:v>2</x:v>
      </x:c>
      <x:c r="K97" s="17" t="n">
        <x:v>14</x:v>
      </x:c>
      <x:c r="L97" s="17" t="str">
        <x:v>分层区组</x:v>
      </x:c>
      <x:c r="M97" s="17" t="str">
        <x:v>检测盲态</x:v>
      </x:c>
      <x:c r="N97" s="17" t="str">
        <x:v>计划</x:v>
      </x:c>
    </x:row>
    <x:row r="98">
      <x:c r="A98" s="17" t="str">
        <x:v>B01-V02-S02-B2</x:v>
      </x:c>
      <x:c r="B98" s="17" t="str">
        <x:v>B01</x:v>
      </x:c>
      <x:c r="C98" s="17" t="str">
        <x:v>V02</x:v>
      </x:c>
      <x:c r="D98" s="17" t="str">
        <x:v>S02</x:v>
      </x:c>
      <x:c r="E98" s="17" t="n">
        <x:v>2</x:v>
      </x:c>
      <x:c r="F98" s="17" t="str">
        <x:v>T02</x:v>
      </x:c>
      <x:c r="G98" s="17" t="str">
        <x:v>5 mT连续</x:v>
      </x:c>
      <x:c r="H98" s="17" t="n">
        <x:v>9</x:v>
      </x:c>
      <x:c r="I98" s="17" t="n">
        <x:v>12</x:v>
      </x:c>
      <x:c r="J98" s="17" t="n">
        <x:v>2</x:v>
      </x:c>
      <x:c r="K98" s="17" t="n">
        <x:v>14</x:v>
      </x:c>
      <x:c r="L98" s="17" t="str">
        <x:v>分层区组</x:v>
      </x:c>
      <x:c r="M98" s="17" t="str">
        <x:v>检测盲态</x:v>
      </x:c>
      <x:c r="N98" s="17" t="str">
        <x:v>计划</x:v>
      </x:c>
    </x:row>
    <x:row r="99">
      <x:c r="A99" s="17" t="str">
        <x:v>B01-V02-S02-B2</x:v>
      </x:c>
      <x:c r="B99" s="17" t="str">
        <x:v>B01</x:v>
      </x:c>
      <x:c r="C99" s="17" t="str">
        <x:v>V02</x:v>
      </x:c>
      <x:c r="D99" s="17" t="str">
        <x:v>S02</x:v>
      </x:c>
      <x:c r="E99" s="17" t="n">
        <x:v>2</x:v>
      </x:c>
      <x:c r="F99" s="17" t="str">
        <x:v>T02</x:v>
      </x:c>
      <x:c r="G99" s="17" t="str">
        <x:v>5 mT连续</x:v>
      </x:c>
      <x:c r="H99" s="17" t="n">
        <x:v>12</x:v>
      </x:c>
      <x:c r="I99" s="17" t="n">
        <x:v>12</x:v>
      </x:c>
      <x:c r="J99" s="17" t="n">
        <x:v>2</x:v>
      </x:c>
      <x:c r="K99" s="17" t="n">
        <x:v>14</x:v>
      </x:c>
      <x:c r="L99" s="17" t="str">
        <x:v>分层区组</x:v>
      </x:c>
      <x:c r="M99" s="17" t="str">
        <x:v>检测盲态</x:v>
      </x:c>
      <x:c r="N99" s="17" t="str">
        <x:v>计划</x:v>
      </x:c>
    </x:row>
    <x:row r="100">
      <x:c r="A100" s="17" t="str">
        <x:v>B01-V02-S02-B2</x:v>
      </x:c>
      <x:c r="B100" s="17" t="str">
        <x:v>B01</x:v>
      </x:c>
      <x:c r="C100" s="17" t="str">
        <x:v>V02</x:v>
      </x:c>
      <x:c r="D100" s="17" t="str">
        <x:v>S02</x:v>
      </x:c>
      <x:c r="E100" s="17" t="n">
        <x:v>2</x:v>
      </x:c>
      <x:c r="F100" s="17" t="str">
        <x:v>T02</x:v>
      </x:c>
      <x:c r="G100" s="17" t="str">
        <x:v>5 mT连续</x:v>
      </x:c>
      <x:c r="H100" s="17" t="n">
        <x:v>15</x:v>
      </x:c>
      <x:c r="I100" s="17" t="n">
        <x:v>12</x:v>
      </x:c>
      <x:c r="J100" s="17" t="n">
        <x:v>2</x:v>
      </x:c>
      <x:c r="K100" s="17" t="n">
        <x:v>14</x:v>
      </x:c>
      <x:c r="L100" s="17" t="str">
        <x:v>分层区组</x:v>
      </x:c>
      <x:c r="M100" s="17" t="str">
        <x:v>检测盲态</x:v>
      </x:c>
      <x:c r="N100" s="17" t="str">
        <x:v>计划</x:v>
      </x:c>
    </x:row>
    <x:row r="101">
      <x:c r="A101" s="17" t="str">
        <x:v>B02-V01-S01-B1</x:v>
      </x:c>
      <x:c r="B101" s="17" t="str">
        <x:v>B02</x:v>
      </x:c>
      <x:c r="C101" s="17" t="str">
        <x:v>V01</x:v>
      </x:c>
      <x:c r="D101" s="17" t="str">
        <x:v>S01</x:v>
      </x:c>
      <x:c r="E101" s="17" t="n">
        <x:v>1</x:v>
      </x:c>
      <x:c r="F101" s="17" t="str">
        <x:v>T01</x:v>
      </x:c>
      <x:c r="G101" s="17" t="str">
        <x:v>0 mT对照</x:v>
      </x:c>
      <x:c r="H101" s="17" t="n">
        <x:v>0</x:v>
      </x:c>
      <x:c r="I101" s="17" t="n">
        <x:v>12</x:v>
      </x:c>
      <x:c r="J101" s="17" t="n">
        <x:v>2</x:v>
      </x:c>
      <x:c r="K101" s="17" t="n">
        <x:v>14</x:v>
      </x:c>
      <x:c r="L101" s="17" t="str">
        <x:v>分层区组</x:v>
      </x:c>
      <x:c r="M101" s="17" t="str">
        <x:v>检测盲态</x:v>
      </x:c>
      <x:c r="N101" s="17" t="str">
        <x:v>计划</x:v>
      </x:c>
    </x:row>
    <x:row r="102">
      <x:c r="A102" s="17" t="str">
        <x:v>B02-V01-S01-B1</x:v>
      </x:c>
      <x:c r="B102" s="17" t="str">
        <x:v>B02</x:v>
      </x:c>
      <x:c r="C102" s="17" t="str">
        <x:v>V01</x:v>
      </x:c>
      <x:c r="D102" s="17" t="str">
        <x:v>S01</x:v>
      </x:c>
      <x:c r="E102" s="17" t="n">
        <x:v>1</x:v>
      </x:c>
      <x:c r="F102" s="17" t="str">
        <x:v>T01</x:v>
      </x:c>
      <x:c r="G102" s="17" t="str">
        <x:v>0 mT对照</x:v>
      </x:c>
      <x:c r="H102" s="17" t="n">
        <x:v>3</x:v>
      </x:c>
      <x:c r="I102" s="17" t="n">
        <x:v>12</x:v>
      </x:c>
      <x:c r="J102" s="17" t="n">
        <x:v>2</x:v>
      </x:c>
      <x:c r="K102" s="17" t="n">
        <x:v>14</x:v>
      </x:c>
      <x:c r="L102" s="17" t="str">
        <x:v>分层区组</x:v>
      </x:c>
      <x:c r="M102" s="17" t="str">
        <x:v>检测盲态</x:v>
      </x:c>
      <x:c r="N102" s="17" t="str">
        <x:v>计划</x:v>
      </x:c>
    </x:row>
    <x:row r="103">
      <x:c r="A103" s="17" t="str">
        <x:v>B02-V01-S01-B1</x:v>
      </x:c>
      <x:c r="B103" s="17" t="str">
        <x:v>B02</x:v>
      </x:c>
      <x:c r="C103" s="17" t="str">
        <x:v>V01</x:v>
      </x:c>
      <x:c r="D103" s="17" t="str">
        <x:v>S01</x:v>
      </x:c>
      <x:c r="E103" s="17" t="n">
        <x:v>1</x:v>
      </x:c>
      <x:c r="F103" s="17" t="str">
        <x:v>T01</x:v>
      </x:c>
      <x:c r="G103" s="17" t="str">
        <x:v>0 mT对照</x:v>
      </x:c>
      <x:c r="H103" s="17" t="n">
        <x:v>6</x:v>
      </x:c>
      <x:c r="I103" s="17" t="n">
        <x:v>12</x:v>
      </x:c>
      <x:c r="J103" s="17" t="n">
        <x:v>2</x:v>
      </x:c>
      <x:c r="K103" s="17" t="n">
        <x:v>14</x:v>
      </x:c>
      <x:c r="L103" s="17" t="str">
        <x:v>分层区组</x:v>
      </x:c>
      <x:c r="M103" s="17" t="str">
        <x:v>检测盲态</x:v>
      </x:c>
      <x:c r="N103" s="17" t="str">
        <x:v>计划</x:v>
      </x:c>
    </x:row>
    <x:row r="104">
      <x:c r="A104" s="17" t="str">
        <x:v>B02-V01-S01-B1</x:v>
      </x:c>
      <x:c r="B104" s="17" t="str">
        <x:v>B02</x:v>
      </x:c>
      <x:c r="C104" s="17" t="str">
        <x:v>V01</x:v>
      </x:c>
      <x:c r="D104" s="17" t="str">
        <x:v>S01</x:v>
      </x:c>
      <x:c r="E104" s="17" t="n">
        <x:v>1</x:v>
      </x:c>
      <x:c r="F104" s="17" t="str">
        <x:v>T01</x:v>
      </x:c>
      <x:c r="G104" s="17" t="str">
        <x:v>0 mT对照</x:v>
      </x:c>
      <x:c r="H104" s="17" t="n">
        <x:v>9</x:v>
      </x:c>
      <x:c r="I104" s="17" t="n">
        <x:v>12</x:v>
      </x:c>
      <x:c r="J104" s="17" t="n">
        <x:v>2</x:v>
      </x:c>
      <x:c r="K104" s="17" t="n">
        <x:v>14</x:v>
      </x:c>
      <x:c r="L104" s="17" t="str">
        <x:v>分层区组</x:v>
      </x:c>
      <x:c r="M104" s="17" t="str">
        <x:v>检测盲态</x:v>
      </x:c>
      <x:c r="N104" s="17" t="str">
        <x:v>计划</x:v>
      </x:c>
    </x:row>
    <x:row r="105">
      <x:c r="A105" s="17" t="str">
        <x:v>B02-V01-S01-B1</x:v>
      </x:c>
      <x:c r="B105" s="17" t="str">
        <x:v>B02</x:v>
      </x:c>
      <x:c r="C105" s="17" t="str">
        <x:v>V01</x:v>
      </x:c>
      <x:c r="D105" s="17" t="str">
        <x:v>S01</x:v>
      </x:c>
      <x:c r="E105" s="17" t="n">
        <x:v>1</x:v>
      </x:c>
      <x:c r="F105" s="17" t="str">
        <x:v>T01</x:v>
      </x:c>
      <x:c r="G105" s="17" t="str">
        <x:v>0 mT对照</x:v>
      </x:c>
      <x:c r="H105" s="17" t="n">
        <x:v>12</x:v>
      </x:c>
      <x:c r="I105" s="17" t="n">
        <x:v>12</x:v>
      </x:c>
      <x:c r="J105" s="17" t="n">
        <x:v>2</x:v>
      </x:c>
      <x:c r="K105" s="17" t="n">
        <x:v>14</x:v>
      </x:c>
      <x:c r="L105" s="17" t="str">
        <x:v>分层区组</x:v>
      </x:c>
      <x:c r="M105" s="17" t="str">
        <x:v>检测盲态</x:v>
      </x:c>
      <x:c r="N105" s="17" t="str">
        <x:v>计划</x:v>
      </x:c>
    </x:row>
    <x:row r="106">
      <x:c r="A106" s="17" t="str">
        <x:v>B02-V01-S01-B1</x:v>
      </x:c>
      <x:c r="B106" s="17" t="str">
        <x:v>B02</x:v>
      </x:c>
      <x:c r="C106" s="17" t="str">
        <x:v>V01</x:v>
      </x:c>
      <x:c r="D106" s="17" t="str">
        <x:v>S01</x:v>
      </x:c>
      <x:c r="E106" s="17" t="n">
        <x:v>1</x:v>
      </x:c>
      <x:c r="F106" s="17" t="str">
        <x:v>T01</x:v>
      </x:c>
      <x:c r="G106" s="17" t="str">
        <x:v>0 mT对照</x:v>
      </x:c>
      <x:c r="H106" s="17" t="n">
        <x:v>15</x:v>
      </x:c>
      <x:c r="I106" s="17" t="n">
        <x:v>12</x:v>
      </x:c>
      <x:c r="J106" s="17" t="n">
        <x:v>2</x:v>
      </x:c>
      <x:c r="K106" s="17" t="n">
        <x:v>14</x:v>
      </x:c>
      <x:c r="L106" s="17" t="str">
        <x:v>分层区组</x:v>
      </x:c>
      <x:c r="M106" s="17" t="str">
        <x:v>检测盲态</x:v>
      </x:c>
      <x:c r="N106" s="17" t="str">
        <x:v>计划</x:v>
      </x:c>
    </x:row>
    <x:row r="107">
      <x:c r="A107" s="17" t="str">
        <x:v>B02-V01-S01-B1</x:v>
      </x:c>
      <x:c r="B107" s="17" t="str">
        <x:v>B02</x:v>
      </x:c>
      <x:c r="C107" s="17" t="str">
        <x:v>V01</x:v>
      </x:c>
      <x:c r="D107" s="17" t="str">
        <x:v>S01</x:v>
      </x:c>
      <x:c r="E107" s="17" t="n">
        <x:v>1</x:v>
      </x:c>
      <x:c r="F107" s="17" t="str">
        <x:v>T02</x:v>
      </x:c>
      <x:c r="G107" s="17" t="str">
        <x:v>5 mT连续</x:v>
      </x:c>
      <x:c r="H107" s="17" t="n">
        <x:v>0</x:v>
      </x:c>
      <x:c r="I107" s="17" t="n">
        <x:v>12</x:v>
      </x:c>
      <x:c r="J107" s="17" t="n">
        <x:v>2</x:v>
      </x:c>
      <x:c r="K107" s="17" t="n">
        <x:v>14</x:v>
      </x:c>
      <x:c r="L107" s="17" t="str">
        <x:v>分层区组</x:v>
      </x:c>
      <x:c r="M107" s="17" t="str">
        <x:v>检测盲态</x:v>
      </x:c>
      <x:c r="N107" s="17" t="str">
        <x:v>计划</x:v>
      </x:c>
    </x:row>
    <x:row r="108">
      <x:c r="A108" s="17" t="str">
        <x:v>B02-V01-S01-B1</x:v>
      </x:c>
      <x:c r="B108" s="17" t="str">
        <x:v>B02</x:v>
      </x:c>
      <x:c r="C108" s="17" t="str">
        <x:v>V01</x:v>
      </x:c>
      <x:c r="D108" s="17" t="str">
        <x:v>S01</x:v>
      </x:c>
      <x:c r="E108" s="17" t="n">
        <x:v>1</x:v>
      </x:c>
      <x:c r="F108" s="17" t="str">
        <x:v>T02</x:v>
      </x:c>
      <x:c r="G108" s="17" t="str">
        <x:v>5 mT连续</x:v>
      </x:c>
      <x:c r="H108" s="17" t="n">
        <x:v>3</x:v>
      </x:c>
      <x:c r="I108" s="17" t="n">
        <x:v>12</x:v>
      </x:c>
      <x:c r="J108" s="17" t="n">
        <x:v>2</x:v>
      </x:c>
      <x:c r="K108" s="17" t="n">
        <x:v>14</x:v>
      </x:c>
      <x:c r="L108" s="17" t="str">
        <x:v>分层区组</x:v>
      </x:c>
      <x:c r="M108" s="17" t="str">
        <x:v>检测盲态</x:v>
      </x:c>
      <x:c r="N108" s="17" t="str">
        <x:v>计划</x:v>
      </x:c>
    </x:row>
    <x:row r="109">
      <x:c r="A109" s="17" t="str">
        <x:v>B02-V01-S01-B1</x:v>
      </x:c>
      <x:c r="B109" s="17" t="str">
        <x:v>B02</x:v>
      </x:c>
      <x:c r="C109" s="17" t="str">
        <x:v>V01</x:v>
      </x:c>
      <x:c r="D109" s="17" t="str">
        <x:v>S01</x:v>
      </x:c>
      <x:c r="E109" s="17" t="n">
        <x:v>1</x:v>
      </x:c>
      <x:c r="F109" s="17" t="str">
        <x:v>T02</x:v>
      </x:c>
      <x:c r="G109" s="17" t="str">
        <x:v>5 mT连续</x:v>
      </x:c>
      <x:c r="H109" s="17" t="n">
        <x:v>6</x:v>
      </x:c>
      <x:c r="I109" s="17" t="n">
        <x:v>12</x:v>
      </x:c>
      <x:c r="J109" s="17" t="n">
        <x:v>2</x:v>
      </x:c>
      <x:c r="K109" s="17" t="n">
        <x:v>14</x:v>
      </x:c>
      <x:c r="L109" s="17" t="str">
        <x:v>分层区组</x:v>
      </x:c>
      <x:c r="M109" s="17" t="str">
        <x:v>检测盲态</x:v>
      </x:c>
      <x:c r="N109" s="17" t="str">
        <x:v>计划</x:v>
      </x:c>
    </x:row>
    <x:row r="110">
      <x:c r="A110" s="17" t="str">
        <x:v>B02-V01-S01-B1</x:v>
      </x:c>
      <x:c r="B110" s="17" t="str">
        <x:v>B02</x:v>
      </x:c>
      <x:c r="C110" s="17" t="str">
        <x:v>V01</x:v>
      </x:c>
      <x:c r="D110" s="17" t="str">
        <x:v>S01</x:v>
      </x:c>
      <x:c r="E110" s="17" t="n">
        <x:v>1</x:v>
      </x:c>
      <x:c r="F110" s="17" t="str">
        <x:v>T02</x:v>
      </x:c>
      <x:c r="G110" s="17" t="str">
        <x:v>5 mT连续</x:v>
      </x:c>
      <x:c r="H110" s="17" t="n">
        <x:v>9</x:v>
      </x:c>
      <x:c r="I110" s="17" t="n">
        <x:v>12</x:v>
      </x:c>
      <x:c r="J110" s="17" t="n">
        <x:v>2</x:v>
      </x:c>
      <x:c r="K110" s="17" t="n">
        <x:v>14</x:v>
      </x:c>
      <x:c r="L110" s="17" t="str">
        <x:v>分层区组</x:v>
      </x:c>
      <x:c r="M110" s="17" t="str">
        <x:v>检测盲态</x:v>
      </x:c>
      <x:c r="N110" s="17" t="str">
        <x:v>计划</x:v>
      </x:c>
    </x:row>
    <x:row r="111">
      <x:c r="A111" s="17" t="str">
        <x:v>B02-V01-S01-B1</x:v>
      </x:c>
      <x:c r="B111" s="17" t="str">
        <x:v>B02</x:v>
      </x:c>
      <x:c r="C111" s="17" t="str">
        <x:v>V01</x:v>
      </x:c>
      <x:c r="D111" s="17" t="str">
        <x:v>S01</x:v>
      </x:c>
      <x:c r="E111" s="17" t="n">
        <x:v>1</x:v>
      </x:c>
      <x:c r="F111" s="17" t="str">
        <x:v>T02</x:v>
      </x:c>
      <x:c r="G111" s="17" t="str">
        <x:v>5 mT连续</x:v>
      </x:c>
      <x:c r="H111" s="17" t="n">
        <x:v>12</x:v>
      </x:c>
      <x:c r="I111" s="17" t="n">
        <x:v>12</x:v>
      </x:c>
      <x:c r="J111" s="17" t="n">
        <x:v>2</x:v>
      </x:c>
      <x:c r="K111" s="17" t="n">
        <x:v>14</x:v>
      </x:c>
      <x:c r="L111" s="17" t="str">
        <x:v>分层区组</x:v>
      </x:c>
      <x:c r="M111" s="17" t="str">
        <x:v>检测盲态</x:v>
      </x:c>
      <x:c r="N111" s="17" t="str">
        <x:v>计划</x:v>
      </x:c>
    </x:row>
    <x:row r="112">
      <x:c r="A112" s="17" t="str">
        <x:v>B02-V01-S01-B1</x:v>
      </x:c>
      <x:c r="B112" s="17" t="str">
        <x:v>B02</x:v>
      </x:c>
      <x:c r="C112" s="17" t="str">
        <x:v>V01</x:v>
      </x:c>
      <x:c r="D112" s="17" t="str">
        <x:v>S01</x:v>
      </x:c>
      <x:c r="E112" s="17" t="n">
        <x:v>1</x:v>
      </x:c>
      <x:c r="F112" s="17" t="str">
        <x:v>T02</x:v>
      </x:c>
      <x:c r="G112" s="17" t="str">
        <x:v>5 mT连续</x:v>
      </x:c>
      <x:c r="H112" s="17" t="n">
        <x:v>15</x:v>
      </x:c>
      <x:c r="I112" s="17" t="n">
        <x:v>12</x:v>
      </x:c>
      <x:c r="J112" s="17" t="n">
        <x:v>2</x:v>
      </x:c>
      <x:c r="K112" s="17" t="n">
        <x:v>14</x:v>
      </x:c>
      <x:c r="L112" s="17" t="str">
        <x:v>分层区组</x:v>
      </x:c>
      <x:c r="M112" s="17" t="str">
        <x:v>检测盲态</x:v>
      </x:c>
      <x:c r="N112" s="17" t="str">
        <x:v>计划</x:v>
      </x:c>
    </x:row>
    <x:row r="113">
      <x:c r="A113" s="17" t="str">
        <x:v>B02-V01-S01-B2</x:v>
      </x:c>
      <x:c r="B113" s="17" t="str">
        <x:v>B02</x:v>
      </x:c>
      <x:c r="C113" s="17" t="str">
        <x:v>V01</x:v>
      </x:c>
      <x:c r="D113" s="17" t="str">
        <x:v>S01</x:v>
      </x:c>
      <x:c r="E113" s="17" t="n">
        <x:v>2</x:v>
      </x:c>
      <x:c r="F113" s="17" t="str">
        <x:v>T01</x:v>
      </x:c>
      <x:c r="G113" s="17" t="str">
        <x:v>0 mT对照</x:v>
      </x:c>
      <x:c r="H113" s="17" t="n">
        <x:v>0</x:v>
      </x:c>
      <x:c r="I113" s="17" t="n">
        <x:v>12</x:v>
      </x:c>
      <x:c r="J113" s="17" t="n">
        <x:v>2</x:v>
      </x:c>
      <x:c r="K113" s="17" t="n">
        <x:v>14</x:v>
      </x:c>
      <x:c r="L113" s="17" t="str">
        <x:v>分层区组</x:v>
      </x:c>
      <x:c r="M113" s="17" t="str">
        <x:v>检测盲态</x:v>
      </x:c>
      <x:c r="N113" s="17" t="str">
        <x:v>计划</x:v>
      </x:c>
    </x:row>
    <x:row r="114">
      <x:c r="A114" s="17" t="str">
        <x:v>B02-V01-S01-B2</x:v>
      </x:c>
      <x:c r="B114" s="17" t="str">
        <x:v>B02</x:v>
      </x:c>
      <x:c r="C114" s="17" t="str">
        <x:v>V01</x:v>
      </x:c>
      <x:c r="D114" s="17" t="str">
        <x:v>S01</x:v>
      </x:c>
      <x:c r="E114" s="17" t="n">
        <x:v>2</x:v>
      </x:c>
      <x:c r="F114" s="17" t="str">
        <x:v>T01</x:v>
      </x:c>
      <x:c r="G114" s="17" t="str">
        <x:v>0 mT对照</x:v>
      </x:c>
      <x:c r="H114" s="17" t="n">
        <x:v>3</x:v>
      </x:c>
      <x:c r="I114" s="17" t="n">
        <x:v>12</x:v>
      </x:c>
      <x:c r="J114" s="17" t="n">
        <x:v>2</x:v>
      </x:c>
      <x:c r="K114" s="17" t="n">
        <x:v>14</x:v>
      </x:c>
      <x:c r="L114" s="17" t="str">
        <x:v>分层区组</x:v>
      </x:c>
      <x:c r="M114" s="17" t="str">
        <x:v>检测盲态</x:v>
      </x:c>
      <x:c r="N114" s="17" t="str">
        <x:v>计划</x:v>
      </x:c>
    </x:row>
    <x:row r="115">
      <x:c r="A115" s="17" t="str">
        <x:v>B02-V01-S01-B2</x:v>
      </x:c>
      <x:c r="B115" s="17" t="str">
        <x:v>B02</x:v>
      </x:c>
      <x:c r="C115" s="17" t="str">
        <x:v>V01</x:v>
      </x:c>
      <x:c r="D115" s="17" t="str">
        <x:v>S01</x:v>
      </x:c>
      <x:c r="E115" s="17" t="n">
        <x:v>2</x:v>
      </x:c>
      <x:c r="F115" s="17" t="str">
        <x:v>T01</x:v>
      </x:c>
      <x:c r="G115" s="17" t="str">
        <x:v>0 mT对照</x:v>
      </x:c>
      <x:c r="H115" s="17" t="n">
        <x:v>6</x:v>
      </x:c>
      <x:c r="I115" s="17" t="n">
        <x:v>12</x:v>
      </x:c>
      <x:c r="J115" s="17" t="n">
        <x:v>2</x:v>
      </x:c>
      <x:c r="K115" s="17" t="n">
        <x:v>14</x:v>
      </x:c>
      <x:c r="L115" s="17" t="str">
        <x:v>分层区组</x:v>
      </x:c>
      <x:c r="M115" s="17" t="str">
        <x:v>检测盲态</x:v>
      </x:c>
      <x:c r="N115" s="17" t="str">
        <x:v>计划</x:v>
      </x:c>
    </x:row>
    <x:row r="116">
      <x:c r="A116" s="17" t="str">
        <x:v>B02-V01-S01-B2</x:v>
      </x:c>
      <x:c r="B116" s="17" t="str">
        <x:v>B02</x:v>
      </x:c>
      <x:c r="C116" s="17" t="str">
        <x:v>V01</x:v>
      </x:c>
      <x:c r="D116" s="17" t="str">
        <x:v>S01</x:v>
      </x:c>
      <x:c r="E116" s="17" t="n">
        <x:v>2</x:v>
      </x:c>
      <x:c r="F116" s="17" t="str">
        <x:v>T01</x:v>
      </x:c>
      <x:c r="G116" s="17" t="str">
        <x:v>0 mT对照</x:v>
      </x:c>
      <x:c r="H116" s="17" t="n">
        <x:v>9</x:v>
      </x:c>
      <x:c r="I116" s="17" t="n">
        <x:v>12</x:v>
      </x:c>
      <x:c r="J116" s="17" t="n">
        <x:v>2</x:v>
      </x:c>
      <x:c r="K116" s="17" t="n">
        <x:v>14</x:v>
      </x:c>
      <x:c r="L116" s="17" t="str">
        <x:v>分层区组</x:v>
      </x:c>
      <x:c r="M116" s="17" t="str">
        <x:v>检测盲态</x:v>
      </x:c>
      <x:c r="N116" s="17" t="str">
        <x:v>计划</x:v>
      </x:c>
    </x:row>
    <x:row r="117">
      <x:c r="A117" s="17" t="str">
        <x:v>B02-V01-S01-B2</x:v>
      </x:c>
      <x:c r="B117" s="17" t="str">
        <x:v>B02</x:v>
      </x:c>
      <x:c r="C117" s="17" t="str">
        <x:v>V01</x:v>
      </x:c>
      <x:c r="D117" s="17" t="str">
        <x:v>S01</x:v>
      </x:c>
      <x:c r="E117" s="17" t="n">
        <x:v>2</x:v>
      </x:c>
      <x:c r="F117" s="17" t="str">
        <x:v>T01</x:v>
      </x:c>
      <x:c r="G117" s="17" t="str">
        <x:v>0 mT对照</x:v>
      </x:c>
      <x:c r="H117" s="17" t="n">
        <x:v>12</x:v>
      </x:c>
      <x:c r="I117" s="17" t="n">
        <x:v>12</x:v>
      </x:c>
      <x:c r="J117" s="17" t="n">
        <x:v>2</x:v>
      </x:c>
      <x:c r="K117" s="17" t="n">
        <x:v>14</x:v>
      </x:c>
      <x:c r="L117" s="17" t="str">
        <x:v>分层区组</x:v>
      </x:c>
      <x:c r="M117" s="17" t="str">
        <x:v>检测盲态</x:v>
      </x:c>
      <x:c r="N117" s="17" t="str">
        <x:v>计划</x:v>
      </x:c>
    </x:row>
    <x:row r="118">
      <x:c r="A118" s="17" t="str">
        <x:v>B02-V01-S01-B2</x:v>
      </x:c>
      <x:c r="B118" s="17" t="str">
        <x:v>B02</x:v>
      </x:c>
      <x:c r="C118" s="17" t="str">
        <x:v>V01</x:v>
      </x:c>
      <x:c r="D118" s="17" t="str">
        <x:v>S01</x:v>
      </x:c>
      <x:c r="E118" s="17" t="n">
        <x:v>2</x:v>
      </x:c>
      <x:c r="F118" s="17" t="str">
        <x:v>T01</x:v>
      </x:c>
      <x:c r="G118" s="17" t="str">
        <x:v>0 mT对照</x:v>
      </x:c>
      <x:c r="H118" s="17" t="n">
        <x:v>15</x:v>
      </x:c>
      <x:c r="I118" s="17" t="n">
        <x:v>12</x:v>
      </x:c>
      <x:c r="J118" s="17" t="n">
        <x:v>2</x:v>
      </x:c>
      <x:c r="K118" s="17" t="n">
        <x:v>14</x:v>
      </x:c>
      <x:c r="L118" s="17" t="str">
        <x:v>分层区组</x:v>
      </x:c>
      <x:c r="M118" s="17" t="str">
        <x:v>检测盲态</x:v>
      </x:c>
      <x:c r="N118" s="17" t="str">
        <x:v>计划</x:v>
      </x:c>
    </x:row>
    <x:row r="119">
      <x:c r="A119" s="17" t="str">
        <x:v>B02-V01-S01-B2</x:v>
      </x:c>
      <x:c r="B119" s="17" t="str">
        <x:v>B02</x:v>
      </x:c>
      <x:c r="C119" s="17" t="str">
        <x:v>V01</x:v>
      </x:c>
      <x:c r="D119" s="17" t="str">
        <x:v>S01</x:v>
      </x:c>
      <x:c r="E119" s="17" t="n">
        <x:v>2</x:v>
      </x:c>
      <x:c r="F119" s="17" t="str">
        <x:v>T02</x:v>
      </x:c>
      <x:c r="G119" s="17" t="str">
        <x:v>5 mT连续</x:v>
      </x:c>
      <x:c r="H119" s="17" t="n">
        <x:v>0</x:v>
      </x:c>
      <x:c r="I119" s="17" t="n">
        <x:v>12</x:v>
      </x:c>
      <x:c r="J119" s="17" t="n">
        <x:v>2</x:v>
      </x:c>
      <x:c r="K119" s="17" t="n">
        <x:v>14</x:v>
      </x:c>
      <x:c r="L119" s="17" t="str">
        <x:v>分层区组</x:v>
      </x:c>
      <x:c r="M119" s="17" t="str">
        <x:v>检测盲态</x:v>
      </x:c>
      <x:c r="N119" s="17" t="str">
        <x:v>计划</x:v>
      </x:c>
    </x:row>
    <x:row r="120">
      <x:c r="A120" s="17" t="str">
        <x:v>B02-V01-S01-B2</x:v>
      </x:c>
      <x:c r="B120" s="17" t="str">
        <x:v>B02</x:v>
      </x:c>
      <x:c r="C120" s="17" t="str">
        <x:v>V01</x:v>
      </x:c>
      <x:c r="D120" s="17" t="str">
        <x:v>S01</x:v>
      </x:c>
      <x:c r="E120" s="17" t="n">
        <x:v>2</x:v>
      </x:c>
      <x:c r="F120" s="17" t="str">
        <x:v>T02</x:v>
      </x:c>
      <x:c r="G120" s="17" t="str">
        <x:v>5 mT连续</x:v>
      </x:c>
      <x:c r="H120" s="17" t="n">
        <x:v>3</x:v>
      </x:c>
      <x:c r="I120" s="17" t="n">
        <x:v>12</x:v>
      </x:c>
      <x:c r="J120" s="17" t="n">
        <x:v>2</x:v>
      </x:c>
      <x:c r="K120" s="17" t="n">
        <x:v>14</x:v>
      </x:c>
      <x:c r="L120" s="17" t="str">
        <x:v>分层区组</x:v>
      </x:c>
      <x:c r="M120" s="17" t="str">
        <x:v>检测盲态</x:v>
      </x:c>
      <x:c r="N120" s="17" t="str">
        <x:v>计划</x:v>
      </x:c>
    </x:row>
    <x:row r="121">
      <x:c r="A121" s="17" t="str">
        <x:v>B02-V01-S01-B2</x:v>
      </x:c>
      <x:c r="B121" s="17" t="str">
        <x:v>B02</x:v>
      </x:c>
      <x:c r="C121" s="17" t="str">
        <x:v>V01</x:v>
      </x:c>
      <x:c r="D121" s="17" t="str">
        <x:v>S01</x:v>
      </x:c>
      <x:c r="E121" s="17" t="n">
        <x:v>2</x:v>
      </x:c>
      <x:c r="F121" s="17" t="str">
        <x:v>T02</x:v>
      </x:c>
      <x:c r="G121" s="17" t="str">
        <x:v>5 mT连续</x:v>
      </x:c>
      <x:c r="H121" s="17" t="n">
        <x:v>6</x:v>
      </x:c>
      <x:c r="I121" s="17" t="n">
        <x:v>12</x:v>
      </x:c>
      <x:c r="J121" s="17" t="n">
        <x:v>2</x:v>
      </x:c>
      <x:c r="K121" s="17" t="n">
        <x:v>14</x:v>
      </x:c>
      <x:c r="L121" s="17" t="str">
        <x:v>分层区组</x:v>
      </x:c>
      <x:c r="M121" s="17" t="str">
        <x:v>检测盲态</x:v>
      </x:c>
      <x:c r="N121" s="17" t="str">
        <x:v>计划</x:v>
      </x:c>
    </x:row>
    <x:row r="122">
      <x:c r="A122" s="17" t="str">
        <x:v>B02-V01-S01-B2</x:v>
      </x:c>
      <x:c r="B122" s="17" t="str">
        <x:v>B02</x:v>
      </x:c>
      <x:c r="C122" s="17" t="str">
        <x:v>V01</x:v>
      </x:c>
      <x:c r="D122" s="17" t="str">
        <x:v>S01</x:v>
      </x:c>
      <x:c r="E122" s="17" t="n">
        <x:v>2</x:v>
      </x:c>
      <x:c r="F122" s="17" t="str">
        <x:v>T02</x:v>
      </x:c>
      <x:c r="G122" s="17" t="str">
        <x:v>5 mT连续</x:v>
      </x:c>
      <x:c r="H122" s="17" t="n">
        <x:v>9</x:v>
      </x:c>
      <x:c r="I122" s="17" t="n">
        <x:v>12</x:v>
      </x:c>
      <x:c r="J122" s="17" t="n">
        <x:v>2</x:v>
      </x:c>
      <x:c r="K122" s="17" t="n">
        <x:v>14</x:v>
      </x:c>
      <x:c r="L122" s="17" t="str">
        <x:v>分层区组</x:v>
      </x:c>
      <x:c r="M122" s="17" t="str">
        <x:v>检测盲态</x:v>
      </x:c>
      <x:c r="N122" s="17" t="str">
        <x:v>计划</x:v>
      </x:c>
    </x:row>
    <x:row r="123">
      <x:c r="A123" s="17" t="str">
        <x:v>B02-V01-S01-B2</x:v>
      </x:c>
      <x:c r="B123" s="17" t="str">
        <x:v>B02</x:v>
      </x:c>
      <x:c r="C123" s="17" t="str">
        <x:v>V01</x:v>
      </x:c>
      <x:c r="D123" s="17" t="str">
        <x:v>S01</x:v>
      </x:c>
      <x:c r="E123" s="17" t="n">
        <x:v>2</x:v>
      </x:c>
      <x:c r="F123" s="17" t="str">
        <x:v>T02</x:v>
      </x:c>
      <x:c r="G123" s="17" t="str">
        <x:v>5 mT连续</x:v>
      </x:c>
      <x:c r="H123" s="17" t="n">
        <x:v>12</x:v>
      </x:c>
      <x:c r="I123" s="17" t="n">
        <x:v>12</x:v>
      </x:c>
      <x:c r="J123" s="17" t="n">
        <x:v>2</x:v>
      </x:c>
      <x:c r="K123" s="17" t="n">
        <x:v>14</x:v>
      </x:c>
      <x:c r="L123" s="17" t="str">
        <x:v>分层区组</x:v>
      </x:c>
      <x:c r="M123" s="17" t="str">
        <x:v>检测盲态</x:v>
      </x:c>
      <x:c r="N123" s="17" t="str">
        <x:v>计划</x:v>
      </x:c>
    </x:row>
    <x:row r="124">
      <x:c r="A124" s="17" t="str">
        <x:v>B02-V01-S01-B2</x:v>
      </x:c>
      <x:c r="B124" s="17" t="str">
        <x:v>B02</x:v>
      </x:c>
      <x:c r="C124" s="17" t="str">
        <x:v>V01</x:v>
      </x:c>
      <x:c r="D124" s="17" t="str">
        <x:v>S01</x:v>
      </x:c>
      <x:c r="E124" s="17" t="n">
        <x:v>2</x:v>
      </x:c>
      <x:c r="F124" s="17" t="str">
        <x:v>T02</x:v>
      </x:c>
      <x:c r="G124" s="17" t="str">
        <x:v>5 mT连续</x:v>
      </x:c>
      <x:c r="H124" s="17" t="n">
        <x:v>15</x:v>
      </x:c>
      <x:c r="I124" s="17" t="n">
        <x:v>12</x:v>
      </x:c>
      <x:c r="J124" s="17" t="n">
        <x:v>2</x:v>
      </x:c>
      <x:c r="K124" s="17" t="n">
        <x:v>14</x:v>
      </x:c>
      <x:c r="L124" s="17" t="str">
        <x:v>分层区组</x:v>
      </x:c>
      <x:c r="M124" s="17" t="str">
        <x:v>检测盲态</x:v>
      </x:c>
      <x:c r="N124" s="17" t="str">
        <x:v>计划</x:v>
      </x:c>
    </x:row>
    <x:row r="125">
      <x:c r="A125" s="17" t="str">
        <x:v>B02-V01-S02-B1</x:v>
      </x:c>
      <x:c r="B125" s="17" t="str">
        <x:v>B02</x:v>
      </x:c>
      <x:c r="C125" s="17" t="str">
        <x:v>V01</x:v>
      </x:c>
      <x:c r="D125" s="17" t="str">
        <x:v>S02</x:v>
      </x:c>
      <x:c r="E125" s="17" t="n">
        <x:v>1</x:v>
      </x:c>
      <x:c r="F125" s="17" t="str">
        <x:v>T01</x:v>
      </x:c>
      <x:c r="G125" s="17" t="str">
        <x:v>0 mT对照</x:v>
      </x:c>
      <x:c r="H125" s="17" t="n">
        <x:v>0</x:v>
      </x:c>
      <x:c r="I125" s="17" t="n">
        <x:v>12</x:v>
      </x:c>
      <x:c r="J125" s="17" t="n">
        <x:v>2</x:v>
      </x:c>
      <x:c r="K125" s="17" t="n">
        <x:v>14</x:v>
      </x:c>
      <x:c r="L125" s="17" t="str">
        <x:v>分层区组</x:v>
      </x:c>
      <x:c r="M125" s="17" t="str">
        <x:v>检测盲态</x:v>
      </x:c>
      <x:c r="N125" s="17" t="str">
        <x:v>计划</x:v>
      </x:c>
    </x:row>
    <x:row r="126">
      <x:c r="A126" s="17" t="str">
        <x:v>B02-V01-S02-B1</x:v>
      </x:c>
      <x:c r="B126" s="17" t="str">
        <x:v>B02</x:v>
      </x:c>
      <x:c r="C126" s="17" t="str">
        <x:v>V01</x:v>
      </x:c>
      <x:c r="D126" s="17" t="str">
        <x:v>S02</x:v>
      </x:c>
      <x:c r="E126" s="17" t="n">
        <x:v>1</x:v>
      </x:c>
      <x:c r="F126" s="17" t="str">
        <x:v>T01</x:v>
      </x:c>
      <x:c r="G126" s="17" t="str">
        <x:v>0 mT对照</x:v>
      </x:c>
      <x:c r="H126" s="17" t="n">
        <x:v>3</x:v>
      </x:c>
      <x:c r="I126" s="17" t="n">
        <x:v>12</x:v>
      </x:c>
      <x:c r="J126" s="17" t="n">
        <x:v>2</x:v>
      </x:c>
      <x:c r="K126" s="17" t="n">
        <x:v>14</x:v>
      </x:c>
      <x:c r="L126" s="17" t="str">
        <x:v>分层区组</x:v>
      </x:c>
      <x:c r="M126" s="17" t="str">
        <x:v>检测盲态</x:v>
      </x:c>
      <x:c r="N126" s="17" t="str">
        <x:v>计划</x:v>
      </x:c>
    </x:row>
    <x:row r="127">
      <x:c r="A127" s="17" t="str">
        <x:v>B02-V01-S02-B1</x:v>
      </x:c>
      <x:c r="B127" s="17" t="str">
        <x:v>B02</x:v>
      </x:c>
      <x:c r="C127" s="17" t="str">
        <x:v>V01</x:v>
      </x:c>
      <x:c r="D127" s="17" t="str">
        <x:v>S02</x:v>
      </x:c>
      <x:c r="E127" s="17" t="n">
        <x:v>1</x:v>
      </x:c>
      <x:c r="F127" s="17" t="str">
        <x:v>T01</x:v>
      </x:c>
      <x:c r="G127" s="17" t="str">
        <x:v>0 mT对照</x:v>
      </x:c>
      <x:c r="H127" s="17" t="n">
        <x:v>6</x:v>
      </x:c>
      <x:c r="I127" s="17" t="n">
        <x:v>12</x:v>
      </x:c>
      <x:c r="J127" s="17" t="n">
        <x:v>2</x:v>
      </x:c>
      <x:c r="K127" s="17" t="n">
        <x:v>14</x:v>
      </x:c>
      <x:c r="L127" s="17" t="str">
        <x:v>分层区组</x:v>
      </x:c>
      <x:c r="M127" s="17" t="str">
        <x:v>检测盲态</x:v>
      </x:c>
      <x:c r="N127" s="17" t="str">
        <x:v>计划</x:v>
      </x:c>
    </x:row>
    <x:row r="128">
      <x:c r="A128" s="17" t="str">
        <x:v>B02-V01-S02-B1</x:v>
      </x:c>
      <x:c r="B128" s="17" t="str">
        <x:v>B02</x:v>
      </x:c>
      <x:c r="C128" s="17" t="str">
        <x:v>V01</x:v>
      </x:c>
      <x:c r="D128" s="17" t="str">
        <x:v>S02</x:v>
      </x:c>
      <x:c r="E128" s="17" t="n">
        <x:v>1</x:v>
      </x:c>
      <x:c r="F128" s="17" t="str">
        <x:v>T01</x:v>
      </x:c>
      <x:c r="G128" s="17" t="str">
        <x:v>0 mT对照</x:v>
      </x:c>
      <x:c r="H128" s="17" t="n">
        <x:v>9</x:v>
      </x:c>
      <x:c r="I128" s="17" t="n">
        <x:v>12</x:v>
      </x:c>
      <x:c r="J128" s="17" t="n">
        <x:v>2</x:v>
      </x:c>
      <x:c r="K128" s="17" t="n">
        <x:v>14</x:v>
      </x:c>
      <x:c r="L128" s="17" t="str">
        <x:v>分层区组</x:v>
      </x:c>
      <x:c r="M128" s="17" t="str">
        <x:v>检测盲态</x:v>
      </x:c>
      <x:c r="N128" s="17" t="str">
        <x:v>计划</x:v>
      </x:c>
    </x:row>
    <x:row r="129">
      <x:c r="A129" s="17" t="str">
        <x:v>B02-V01-S02-B1</x:v>
      </x:c>
      <x:c r="B129" s="17" t="str">
        <x:v>B02</x:v>
      </x:c>
      <x:c r="C129" s="17" t="str">
        <x:v>V01</x:v>
      </x:c>
      <x:c r="D129" s="17" t="str">
        <x:v>S02</x:v>
      </x:c>
      <x:c r="E129" s="17" t="n">
        <x:v>1</x:v>
      </x:c>
      <x:c r="F129" s="17" t="str">
        <x:v>T01</x:v>
      </x:c>
      <x:c r="G129" s="17" t="str">
        <x:v>0 mT对照</x:v>
      </x:c>
      <x:c r="H129" s="17" t="n">
        <x:v>12</x:v>
      </x:c>
      <x:c r="I129" s="17" t="n">
        <x:v>12</x:v>
      </x:c>
      <x:c r="J129" s="17" t="n">
        <x:v>2</x:v>
      </x:c>
      <x:c r="K129" s="17" t="n">
        <x:v>14</x:v>
      </x:c>
      <x:c r="L129" s="17" t="str">
        <x:v>分层区组</x:v>
      </x:c>
      <x:c r="M129" s="17" t="str">
        <x:v>检测盲态</x:v>
      </x:c>
      <x:c r="N129" s="17" t="str">
        <x:v>计划</x:v>
      </x:c>
    </x:row>
    <x:row r="130">
      <x:c r="A130" s="17" t="str">
        <x:v>B02-V01-S02-B1</x:v>
      </x:c>
      <x:c r="B130" s="17" t="str">
        <x:v>B02</x:v>
      </x:c>
      <x:c r="C130" s="17" t="str">
        <x:v>V01</x:v>
      </x:c>
      <x:c r="D130" s="17" t="str">
        <x:v>S02</x:v>
      </x:c>
      <x:c r="E130" s="17" t="n">
        <x:v>1</x:v>
      </x:c>
      <x:c r="F130" s="17" t="str">
        <x:v>T01</x:v>
      </x:c>
      <x:c r="G130" s="17" t="str">
        <x:v>0 mT对照</x:v>
      </x:c>
      <x:c r="H130" s="17" t="n">
        <x:v>15</x:v>
      </x:c>
      <x:c r="I130" s="17" t="n">
        <x:v>12</x:v>
      </x:c>
      <x:c r="J130" s="17" t="n">
        <x:v>2</x:v>
      </x:c>
      <x:c r="K130" s="17" t="n">
        <x:v>14</x:v>
      </x:c>
      <x:c r="L130" s="17" t="str">
        <x:v>分层区组</x:v>
      </x:c>
      <x:c r="M130" s="17" t="str">
        <x:v>检测盲态</x:v>
      </x:c>
      <x:c r="N130" s="17" t="str">
        <x:v>计划</x:v>
      </x:c>
    </x:row>
    <x:row r="131">
      <x:c r="A131" s="17" t="str">
        <x:v>B02-V01-S02-B1</x:v>
      </x:c>
      <x:c r="B131" s="17" t="str">
        <x:v>B02</x:v>
      </x:c>
      <x:c r="C131" s="17" t="str">
        <x:v>V01</x:v>
      </x:c>
      <x:c r="D131" s="17" t="str">
        <x:v>S02</x:v>
      </x:c>
      <x:c r="E131" s="17" t="n">
        <x:v>1</x:v>
      </x:c>
      <x:c r="F131" s="17" t="str">
        <x:v>T02</x:v>
      </x:c>
      <x:c r="G131" s="17" t="str">
        <x:v>5 mT连续</x:v>
      </x:c>
      <x:c r="H131" s="17" t="n">
        <x:v>0</x:v>
      </x:c>
      <x:c r="I131" s="17" t="n">
        <x:v>12</x:v>
      </x:c>
      <x:c r="J131" s="17" t="n">
        <x:v>2</x:v>
      </x:c>
      <x:c r="K131" s="17" t="n">
        <x:v>14</x:v>
      </x:c>
      <x:c r="L131" s="17" t="str">
        <x:v>分层区组</x:v>
      </x:c>
      <x:c r="M131" s="17" t="str">
        <x:v>检测盲态</x:v>
      </x:c>
      <x:c r="N131" s="17" t="str">
        <x:v>计划</x:v>
      </x:c>
    </x:row>
    <x:row r="132">
      <x:c r="A132" s="17" t="str">
        <x:v>B02-V01-S02-B1</x:v>
      </x:c>
      <x:c r="B132" s="17" t="str">
        <x:v>B02</x:v>
      </x:c>
      <x:c r="C132" s="17" t="str">
        <x:v>V01</x:v>
      </x:c>
      <x:c r="D132" s="17" t="str">
        <x:v>S02</x:v>
      </x:c>
      <x:c r="E132" s="17" t="n">
        <x:v>1</x:v>
      </x:c>
      <x:c r="F132" s="17" t="str">
        <x:v>T02</x:v>
      </x:c>
      <x:c r="G132" s="17" t="str">
        <x:v>5 mT连续</x:v>
      </x:c>
      <x:c r="H132" s="17" t="n">
        <x:v>3</x:v>
      </x:c>
      <x:c r="I132" s="17" t="n">
        <x:v>12</x:v>
      </x:c>
      <x:c r="J132" s="17" t="n">
        <x:v>2</x:v>
      </x:c>
      <x:c r="K132" s="17" t="n">
        <x:v>14</x:v>
      </x:c>
      <x:c r="L132" s="17" t="str">
        <x:v>分层区组</x:v>
      </x:c>
      <x:c r="M132" s="17" t="str">
        <x:v>检测盲态</x:v>
      </x:c>
      <x:c r="N132" s="17" t="str">
        <x:v>计划</x:v>
      </x:c>
    </x:row>
    <x:row r="133">
      <x:c r="A133" s="17" t="str">
        <x:v>B02-V01-S02-B1</x:v>
      </x:c>
      <x:c r="B133" s="17" t="str">
        <x:v>B02</x:v>
      </x:c>
      <x:c r="C133" s="17" t="str">
        <x:v>V01</x:v>
      </x:c>
      <x:c r="D133" s="17" t="str">
        <x:v>S02</x:v>
      </x:c>
      <x:c r="E133" s="17" t="n">
        <x:v>1</x:v>
      </x:c>
      <x:c r="F133" s="17" t="str">
        <x:v>T02</x:v>
      </x:c>
      <x:c r="G133" s="17" t="str">
        <x:v>5 mT连续</x:v>
      </x:c>
      <x:c r="H133" s="17" t="n">
        <x:v>6</x:v>
      </x:c>
      <x:c r="I133" s="17" t="n">
        <x:v>12</x:v>
      </x:c>
      <x:c r="J133" s="17" t="n">
        <x:v>2</x:v>
      </x:c>
      <x:c r="K133" s="17" t="n">
        <x:v>14</x:v>
      </x:c>
      <x:c r="L133" s="17" t="str">
        <x:v>分层区组</x:v>
      </x:c>
      <x:c r="M133" s="17" t="str">
        <x:v>检测盲态</x:v>
      </x:c>
      <x:c r="N133" s="17" t="str">
        <x:v>计划</x:v>
      </x:c>
    </x:row>
    <x:row r="134">
      <x:c r="A134" s="17" t="str">
        <x:v>B02-V01-S02-B1</x:v>
      </x:c>
      <x:c r="B134" s="17" t="str">
        <x:v>B02</x:v>
      </x:c>
      <x:c r="C134" s="17" t="str">
        <x:v>V01</x:v>
      </x:c>
      <x:c r="D134" s="17" t="str">
        <x:v>S02</x:v>
      </x:c>
      <x:c r="E134" s="17" t="n">
        <x:v>1</x:v>
      </x:c>
      <x:c r="F134" s="17" t="str">
        <x:v>T02</x:v>
      </x:c>
      <x:c r="G134" s="17" t="str">
        <x:v>5 mT连续</x:v>
      </x:c>
      <x:c r="H134" s="17" t="n">
        <x:v>9</x:v>
      </x:c>
      <x:c r="I134" s="17" t="n">
        <x:v>12</x:v>
      </x:c>
      <x:c r="J134" s="17" t="n">
        <x:v>2</x:v>
      </x:c>
      <x:c r="K134" s="17" t="n">
        <x:v>14</x:v>
      </x:c>
      <x:c r="L134" s="17" t="str">
        <x:v>分层区组</x:v>
      </x:c>
      <x:c r="M134" s="17" t="str">
        <x:v>检测盲态</x:v>
      </x:c>
      <x:c r="N134" s="17" t="str">
        <x:v>计划</x:v>
      </x:c>
    </x:row>
    <x:row r="135">
      <x:c r="A135" s="17" t="str">
        <x:v>B02-V01-S02-B1</x:v>
      </x:c>
      <x:c r="B135" s="17" t="str">
        <x:v>B02</x:v>
      </x:c>
      <x:c r="C135" s="17" t="str">
        <x:v>V01</x:v>
      </x:c>
      <x:c r="D135" s="17" t="str">
        <x:v>S02</x:v>
      </x:c>
      <x:c r="E135" s="17" t="n">
        <x:v>1</x:v>
      </x:c>
      <x:c r="F135" s="17" t="str">
        <x:v>T02</x:v>
      </x:c>
      <x:c r="G135" s="17" t="str">
        <x:v>5 mT连续</x:v>
      </x:c>
      <x:c r="H135" s="17" t="n">
        <x:v>12</x:v>
      </x:c>
      <x:c r="I135" s="17" t="n">
        <x:v>12</x:v>
      </x:c>
      <x:c r="J135" s="17" t="n">
        <x:v>2</x:v>
      </x:c>
      <x:c r="K135" s="17" t="n">
        <x:v>14</x:v>
      </x:c>
      <x:c r="L135" s="17" t="str">
        <x:v>分层区组</x:v>
      </x:c>
      <x:c r="M135" s="17" t="str">
        <x:v>检测盲态</x:v>
      </x:c>
      <x:c r="N135" s="17" t="str">
        <x:v>计划</x:v>
      </x:c>
    </x:row>
    <x:row r="136">
      <x:c r="A136" s="17" t="str">
        <x:v>B02-V01-S02-B1</x:v>
      </x:c>
      <x:c r="B136" s="17" t="str">
        <x:v>B02</x:v>
      </x:c>
      <x:c r="C136" s="17" t="str">
        <x:v>V01</x:v>
      </x:c>
      <x:c r="D136" s="17" t="str">
        <x:v>S02</x:v>
      </x:c>
      <x:c r="E136" s="17" t="n">
        <x:v>1</x:v>
      </x:c>
      <x:c r="F136" s="17" t="str">
        <x:v>T02</x:v>
      </x:c>
      <x:c r="G136" s="17" t="str">
        <x:v>5 mT连续</x:v>
      </x:c>
      <x:c r="H136" s="17" t="n">
        <x:v>15</x:v>
      </x:c>
      <x:c r="I136" s="17" t="n">
        <x:v>12</x:v>
      </x:c>
      <x:c r="J136" s="17" t="n">
        <x:v>2</x:v>
      </x:c>
      <x:c r="K136" s="17" t="n">
        <x:v>14</x:v>
      </x:c>
      <x:c r="L136" s="17" t="str">
        <x:v>分层区组</x:v>
      </x:c>
      <x:c r="M136" s="17" t="str">
        <x:v>检测盲态</x:v>
      </x:c>
      <x:c r="N136" s="17" t="str">
        <x:v>计划</x:v>
      </x:c>
    </x:row>
    <x:row r="137">
      <x:c r="A137" s="17" t="str">
        <x:v>B02-V01-S02-B2</x:v>
      </x:c>
      <x:c r="B137" s="17" t="str">
        <x:v>B02</x:v>
      </x:c>
      <x:c r="C137" s="17" t="str">
        <x:v>V01</x:v>
      </x:c>
      <x:c r="D137" s="17" t="str">
        <x:v>S02</x:v>
      </x:c>
      <x:c r="E137" s="17" t="n">
        <x:v>2</x:v>
      </x:c>
      <x:c r="F137" s="17" t="str">
        <x:v>T01</x:v>
      </x:c>
      <x:c r="G137" s="17" t="str">
        <x:v>0 mT对照</x:v>
      </x:c>
      <x:c r="H137" s="17" t="n">
        <x:v>0</x:v>
      </x:c>
      <x:c r="I137" s="17" t="n">
        <x:v>12</x:v>
      </x:c>
      <x:c r="J137" s="17" t="n">
        <x:v>2</x:v>
      </x:c>
      <x:c r="K137" s="17" t="n">
        <x:v>14</x:v>
      </x:c>
      <x:c r="L137" s="17" t="str">
        <x:v>分层区组</x:v>
      </x:c>
      <x:c r="M137" s="17" t="str">
        <x:v>检测盲态</x:v>
      </x:c>
      <x:c r="N137" s="17" t="str">
        <x:v>计划</x:v>
      </x:c>
    </x:row>
    <x:row r="138">
      <x:c r="A138" s="17" t="str">
        <x:v>B02-V01-S02-B2</x:v>
      </x:c>
      <x:c r="B138" s="17" t="str">
        <x:v>B02</x:v>
      </x:c>
      <x:c r="C138" s="17" t="str">
        <x:v>V01</x:v>
      </x:c>
      <x:c r="D138" s="17" t="str">
        <x:v>S02</x:v>
      </x:c>
      <x:c r="E138" s="17" t="n">
        <x:v>2</x:v>
      </x:c>
      <x:c r="F138" s="17" t="str">
        <x:v>T01</x:v>
      </x:c>
      <x:c r="G138" s="17" t="str">
        <x:v>0 mT对照</x:v>
      </x:c>
      <x:c r="H138" s="17" t="n">
        <x:v>3</x:v>
      </x:c>
      <x:c r="I138" s="17" t="n">
        <x:v>12</x:v>
      </x:c>
      <x:c r="J138" s="17" t="n">
        <x:v>2</x:v>
      </x:c>
      <x:c r="K138" s="17" t="n">
        <x:v>14</x:v>
      </x:c>
      <x:c r="L138" s="17" t="str">
        <x:v>分层区组</x:v>
      </x:c>
      <x:c r="M138" s="17" t="str">
        <x:v>检测盲态</x:v>
      </x:c>
      <x:c r="N138" s="17" t="str">
        <x:v>计划</x:v>
      </x:c>
    </x:row>
    <x:row r="139">
      <x:c r="A139" s="17" t="str">
        <x:v>B02-V01-S02-B2</x:v>
      </x:c>
      <x:c r="B139" s="17" t="str">
        <x:v>B02</x:v>
      </x:c>
      <x:c r="C139" s="17" t="str">
        <x:v>V01</x:v>
      </x:c>
      <x:c r="D139" s="17" t="str">
        <x:v>S02</x:v>
      </x:c>
      <x:c r="E139" s="17" t="n">
        <x:v>2</x:v>
      </x:c>
      <x:c r="F139" s="17" t="str">
        <x:v>T01</x:v>
      </x:c>
      <x:c r="G139" s="17" t="str">
        <x:v>0 mT对照</x:v>
      </x:c>
      <x:c r="H139" s="17" t="n">
        <x:v>6</x:v>
      </x:c>
      <x:c r="I139" s="17" t="n">
        <x:v>12</x:v>
      </x:c>
      <x:c r="J139" s="17" t="n">
        <x:v>2</x:v>
      </x:c>
      <x:c r="K139" s="17" t="n">
        <x:v>14</x:v>
      </x:c>
      <x:c r="L139" s="17" t="str">
        <x:v>分层区组</x:v>
      </x:c>
      <x:c r="M139" s="17" t="str">
        <x:v>检测盲态</x:v>
      </x:c>
      <x:c r="N139" s="17" t="str">
        <x:v>计划</x:v>
      </x:c>
    </x:row>
    <x:row r="140">
      <x:c r="A140" s="17" t="str">
        <x:v>B02-V01-S02-B2</x:v>
      </x:c>
      <x:c r="B140" s="17" t="str">
        <x:v>B02</x:v>
      </x:c>
      <x:c r="C140" s="17" t="str">
        <x:v>V01</x:v>
      </x:c>
      <x:c r="D140" s="17" t="str">
        <x:v>S02</x:v>
      </x:c>
      <x:c r="E140" s="17" t="n">
        <x:v>2</x:v>
      </x:c>
      <x:c r="F140" s="17" t="str">
        <x:v>T01</x:v>
      </x:c>
      <x:c r="G140" s="17" t="str">
        <x:v>0 mT对照</x:v>
      </x:c>
      <x:c r="H140" s="17" t="n">
        <x:v>9</x:v>
      </x:c>
      <x:c r="I140" s="17" t="n">
        <x:v>12</x:v>
      </x:c>
      <x:c r="J140" s="17" t="n">
        <x:v>2</x:v>
      </x:c>
      <x:c r="K140" s="17" t="n">
        <x:v>14</x:v>
      </x:c>
      <x:c r="L140" s="17" t="str">
        <x:v>分层区组</x:v>
      </x:c>
      <x:c r="M140" s="17" t="str">
        <x:v>检测盲态</x:v>
      </x:c>
      <x:c r="N140" s="17" t="str">
        <x:v>计划</x:v>
      </x:c>
    </x:row>
    <x:row r="141">
      <x:c r="A141" s="17" t="str">
        <x:v>B02-V01-S02-B2</x:v>
      </x:c>
      <x:c r="B141" s="17" t="str">
        <x:v>B02</x:v>
      </x:c>
      <x:c r="C141" s="17" t="str">
        <x:v>V01</x:v>
      </x:c>
      <x:c r="D141" s="17" t="str">
        <x:v>S02</x:v>
      </x:c>
      <x:c r="E141" s="17" t="n">
        <x:v>2</x:v>
      </x:c>
      <x:c r="F141" s="17" t="str">
        <x:v>T01</x:v>
      </x:c>
      <x:c r="G141" s="17" t="str">
        <x:v>0 mT对照</x:v>
      </x:c>
      <x:c r="H141" s="17" t="n">
        <x:v>12</x:v>
      </x:c>
      <x:c r="I141" s="17" t="n">
        <x:v>12</x:v>
      </x:c>
      <x:c r="J141" s="17" t="n">
        <x:v>2</x:v>
      </x:c>
      <x:c r="K141" s="17" t="n">
        <x:v>14</x:v>
      </x:c>
      <x:c r="L141" s="17" t="str">
        <x:v>分层区组</x:v>
      </x:c>
      <x:c r="M141" s="17" t="str">
        <x:v>检测盲态</x:v>
      </x:c>
      <x:c r="N141" s="17" t="str">
        <x:v>计划</x:v>
      </x:c>
    </x:row>
    <x:row r="142">
      <x:c r="A142" s="17" t="str">
        <x:v>B02-V01-S02-B2</x:v>
      </x:c>
      <x:c r="B142" s="17" t="str">
        <x:v>B02</x:v>
      </x:c>
      <x:c r="C142" s="17" t="str">
        <x:v>V01</x:v>
      </x:c>
      <x:c r="D142" s="17" t="str">
        <x:v>S02</x:v>
      </x:c>
      <x:c r="E142" s="17" t="n">
        <x:v>2</x:v>
      </x:c>
      <x:c r="F142" s="17" t="str">
        <x:v>T01</x:v>
      </x:c>
      <x:c r="G142" s="17" t="str">
        <x:v>0 mT对照</x:v>
      </x:c>
      <x:c r="H142" s="17" t="n">
        <x:v>15</x:v>
      </x:c>
      <x:c r="I142" s="17" t="n">
        <x:v>12</x:v>
      </x:c>
      <x:c r="J142" s="17" t="n">
        <x:v>2</x:v>
      </x:c>
      <x:c r="K142" s="17" t="n">
        <x:v>14</x:v>
      </x:c>
      <x:c r="L142" s="17" t="str">
        <x:v>分层区组</x:v>
      </x:c>
      <x:c r="M142" s="17" t="str">
        <x:v>检测盲态</x:v>
      </x:c>
      <x:c r="N142" s="17" t="str">
        <x:v>计划</x:v>
      </x:c>
    </x:row>
    <x:row r="143">
      <x:c r="A143" s="17" t="str">
        <x:v>B02-V01-S02-B2</x:v>
      </x:c>
      <x:c r="B143" s="17" t="str">
        <x:v>B02</x:v>
      </x:c>
      <x:c r="C143" s="17" t="str">
        <x:v>V01</x:v>
      </x:c>
      <x:c r="D143" s="17" t="str">
        <x:v>S02</x:v>
      </x:c>
      <x:c r="E143" s="17" t="n">
        <x:v>2</x:v>
      </x:c>
      <x:c r="F143" s="17" t="str">
        <x:v>T02</x:v>
      </x:c>
      <x:c r="G143" s="17" t="str">
        <x:v>5 mT连续</x:v>
      </x:c>
      <x:c r="H143" s="17" t="n">
        <x:v>0</x:v>
      </x:c>
      <x:c r="I143" s="17" t="n">
        <x:v>12</x:v>
      </x:c>
      <x:c r="J143" s="17" t="n">
        <x:v>2</x:v>
      </x:c>
      <x:c r="K143" s="17" t="n">
        <x:v>14</x:v>
      </x:c>
      <x:c r="L143" s="17" t="str">
        <x:v>分层区组</x:v>
      </x:c>
      <x:c r="M143" s="17" t="str">
        <x:v>检测盲态</x:v>
      </x:c>
      <x:c r="N143" s="17" t="str">
        <x:v>计划</x:v>
      </x:c>
    </x:row>
    <x:row r="144">
      <x:c r="A144" s="17" t="str">
        <x:v>B02-V01-S02-B2</x:v>
      </x:c>
      <x:c r="B144" s="17" t="str">
        <x:v>B02</x:v>
      </x:c>
      <x:c r="C144" s="17" t="str">
        <x:v>V01</x:v>
      </x:c>
      <x:c r="D144" s="17" t="str">
        <x:v>S02</x:v>
      </x:c>
      <x:c r="E144" s="17" t="n">
        <x:v>2</x:v>
      </x:c>
      <x:c r="F144" s="17" t="str">
        <x:v>T02</x:v>
      </x:c>
      <x:c r="G144" s="17" t="str">
        <x:v>5 mT连续</x:v>
      </x:c>
      <x:c r="H144" s="17" t="n">
        <x:v>3</x:v>
      </x:c>
      <x:c r="I144" s="17" t="n">
        <x:v>12</x:v>
      </x:c>
      <x:c r="J144" s="17" t="n">
        <x:v>2</x:v>
      </x:c>
      <x:c r="K144" s="17" t="n">
        <x:v>14</x:v>
      </x:c>
      <x:c r="L144" s="17" t="str">
        <x:v>分层区组</x:v>
      </x:c>
      <x:c r="M144" s="17" t="str">
        <x:v>检测盲态</x:v>
      </x:c>
      <x:c r="N144" s="17" t="str">
        <x:v>计划</x:v>
      </x:c>
    </x:row>
    <x:row r="145">
      <x:c r="A145" s="17" t="str">
        <x:v>B02-V01-S02-B2</x:v>
      </x:c>
      <x:c r="B145" s="17" t="str">
        <x:v>B02</x:v>
      </x:c>
      <x:c r="C145" s="17" t="str">
        <x:v>V01</x:v>
      </x:c>
      <x:c r="D145" s="17" t="str">
        <x:v>S02</x:v>
      </x:c>
      <x:c r="E145" s="17" t="n">
        <x:v>2</x:v>
      </x:c>
      <x:c r="F145" s="17" t="str">
        <x:v>T02</x:v>
      </x:c>
      <x:c r="G145" s="17" t="str">
        <x:v>5 mT连续</x:v>
      </x:c>
      <x:c r="H145" s="17" t="n">
        <x:v>6</x:v>
      </x:c>
      <x:c r="I145" s="17" t="n">
        <x:v>12</x:v>
      </x:c>
      <x:c r="J145" s="17" t="n">
        <x:v>2</x:v>
      </x:c>
      <x:c r="K145" s="17" t="n">
        <x:v>14</x:v>
      </x:c>
      <x:c r="L145" s="17" t="str">
        <x:v>分层区组</x:v>
      </x:c>
      <x:c r="M145" s="17" t="str">
        <x:v>检测盲态</x:v>
      </x:c>
      <x:c r="N145" s="17" t="str">
        <x:v>计划</x:v>
      </x:c>
    </x:row>
    <x:row r="146">
      <x:c r="A146" s="17" t="str">
        <x:v>B02-V01-S02-B2</x:v>
      </x:c>
      <x:c r="B146" s="17" t="str">
        <x:v>B02</x:v>
      </x:c>
      <x:c r="C146" s="17" t="str">
        <x:v>V01</x:v>
      </x:c>
      <x:c r="D146" s="17" t="str">
        <x:v>S02</x:v>
      </x:c>
      <x:c r="E146" s="17" t="n">
        <x:v>2</x:v>
      </x:c>
      <x:c r="F146" s="17" t="str">
        <x:v>T02</x:v>
      </x:c>
      <x:c r="G146" s="17" t="str">
        <x:v>5 mT连续</x:v>
      </x:c>
      <x:c r="H146" s="17" t="n">
        <x:v>9</x:v>
      </x:c>
      <x:c r="I146" s="17" t="n">
        <x:v>12</x:v>
      </x:c>
      <x:c r="J146" s="17" t="n">
        <x:v>2</x:v>
      </x:c>
      <x:c r="K146" s="17" t="n">
        <x:v>14</x:v>
      </x:c>
      <x:c r="L146" s="17" t="str">
        <x:v>分层区组</x:v>
      </x:c>
      <x:c r="M146" s="17" t="str">
        <x:v>检测盲态</x:v>
      </x:c>
      <x:c r="N146" s="17" t="str">
        <x:v>计划</x:v>
      </x:c>
    </x:row>
    <x:row r="147">
      <x:c r="A147" s="17" t="str">
        <x:v>B02-V01-S02-B2</x:v>
      </x:c>
      <x:c r="B147" s="17" t="str">
        <x:v>B02</x:v>
      </x:c>
      <x:c r="C147" s="17" t="str">
        <x:v>V01</x:v>
      </x:c>
      <x:c r="D147" s="17" t="str">
        <x:v>S02</x:v>
      </x:c>
      <x:c r="E147" s="17" t="n">
        <x:v>2</x:v>
      </x:c>
      <x:c r="F147" s="17" t="str">
        <x:v>T02</x:v>
      </x:c>
      <x:c r="G147" s="17" t="str">
        <x:v>5 mT连续</x:v>
      </x:c>
      <x:c r="H147" s="17" t="n">
        <x:v>12</x:v>
      </x:c>
      <x:c r="I147" s="17" t="n">
        <x:v>12</x:v>
      </x:c>
      <x:c r="J147" s="17" t="n">
        <x:v>2</x:v>
      </x:c>
      <x:c r="K147" s="17" t="n">
        <x:v>14</x:v>
      </x:c>
      <x:c r="L147" s="17" t="str">
        <x:v>分层区组</x:v>
      </x:c>
      <x:c r="M147" s="17" t="str">
        <x:v>检测盲态</x:v>
      </x:c>
      <x:c r="N147" s="17" t="str">
        <x:v>计划</x:v>
      </x:c>
    </x:row>
    <x:row r="148">
      <x:c r="A148" s="17" t="str">
        <x:v>B02-V01-S02-B2</x:v>
      </x:c>
      <x:c r="B148" s="17" t="str">
        <x:v>B02</x:v>
      </x:c>
      <x:c r="C148" s="17" t="str">
        <x:v>V01</x:v>
      </x:c>
      <x:c r="D148" s="17" t="str">
        <x:v>S02</x:v>
      </x:c>
      <x:c r="E148" s="17" t="n">
        <x:v>2</x:v>
      </x:c>
      <x:c r="F148" s="17" t="str">
        <x:v>T02</x:v>
      </x:c>
      <x:c r="G148" s="17" t="str">
        <x:v>5 mT连续</x:v>
      </x:c>
      <x:c r="H148" s="17" t="n">
        <x:v>15</x:v>
      </x:c>
      <x:c r="I148" s="17" t="n">
        <x:v>12</x:v>
      </x:c>
      <x:c r="J148" s="17" t="n">
        <x:v>2</x:v>
      </x:c>
      <x:c r="K148" s="17" t="n">
        <x:v>14</x:v>
      </x:c>
      <x:c r="L148" s="17" t="str">
        <x:v>分层区组</x:v>
      </x:c>
      <x:c r="M148" s="17" t="str">
        <x:v>检测盲态</x:v>
      </x:c>
      <x:c r="N148" s="17" t="str">
        <x:v>计划</x:v>
      </x:c>
    </x:row>
    <x:row r="149">
      <x:c r="A149" s="17" t="str">
        <x:v>B02-V02-S01-B1</x:v>
      </x:c>
      <x:c r="B149" s="17" t="str">
        <x:v>B02</x:v>
      </x:c>
      <x:c r="C149" s="17" t="str">
        <x:v>V02</x:v>
      </x:c>
      <x:c r="D149" s="17" t="str">
        <x:v>S01</x:v>
      </x:c>
      <x:c r="E149" s="17" t="n">
        <x:v>1</x:v>
      </x:c>
      <x:c r="F149" s="17" t="str">
        <x:v>T01</x:v>
      </x:c>
      <x:c r="G149" s="17" t="str">
        <x:v>0 mT对照</x:v>
      </x:c>
      <x:c r="H149" s="17" t="n">
        <x:v>0</x:v>
      </x:c>
      <x:c r="I149" s="17" t="n">
        <x:v>12</x:v>
      </x:c>
      <x:c r="J149" s="17" t="n">
        <x:v>2</x:v>
      </x:c>
      <x:c r="K149" s="17" t="n">
        <x:v>14</x:v>
      </x:c>
      <x:c r="L149" s="17" t="str">
        <x:v>分层区组</x:v>
      </x:c>
      <x:c r="M149" s="17" t="str">
        <x:v>检测盲态</x:v>
      </x:c>
      <x:c r="N149" s="17" t="str">
        <x:v>计划</x:v>
      </x:c>
    </x:row>
    <x:row r="150">
      <x:c r="A150" s="17" t="str">
        <x:v>B02-V02-S01-B1</x:v>
      </x:c>
      <x:c r="B150" s="17" t="str">
        <x:v>B02</x:v>
      </x:c>
      <x:c r="C150" s="17" t="str">
        <x:v>V02</x:v>
      </x:c>
      <x:c r="D150" s="17" t="str">
        <x:v>S01</x:v>
      </x:c>
      <x:c r="E150" s="17" t="n">
        <x:v>1</x:v>
      </x:c>
      <x:c r="F150" s="17" t="str">
        <x:v>T01</x:v>
      </x:c>
      <x:c r="G150" s="17" t="str">
        <x:v>0 mT对照</x:v>
      </x:c>
      <x:c r="H150" s="17" t="n">
        <x:v>3</x:v>
      </x:c>
      <x:c r="I150" s="17" t="n">
        <x:v>12</x:v>
      </x:c>
      <x:c r="J150" s="17" t="n">
        <x:v>2</x:v>
      </x:c>
      <x:c r="K150" s="17" t="n">
        <x:v>14</x:v>
      </x:c>
      <x:c r="L150" s="17" t="str">
        <x:v>分层区组</x:v>
      </x:c>
      <x:c r="M150" s="17" t="str">
        <x:v>检测盲态</x:v>
      </x:c>
      <x:c r="N150" s="17" t="str">
        <x:v>计划</x:v>
      </x:c>
    </x:row>
    <x:row r="151">
      <x:c r="A151" s="17" t="str">
        <x:v>B02-V02-S01-B1</x:v>
      </x:c>
      <x:c r="B151" s="17" t="str">
        <x:v>B02</x:v>
      </x:c>
      <x:c r="C151" s="17" t="str">
        <x:v>V02</x:v>
      </x:c>
      <x:c r="D151" s="17" t="str">
        <x:v>S01</x:v>
      </x:c>
      <x:c r="E151" s="17" t="n">
        <x:v>1</x:v>
      </x:c>
      <x:c r="F151" s="17" t="str">
        <x:v>T01</x:v>
      </x:c>
      <x:c r="G151" s="17" t="str">
        <x:v>0 mT对照</x:v>
      </x:c>
      <x:c r="H151" s="17" t="n">
        <x:v>6</x:v>
      </x:c>
      <x:c r="I151" s="17" t="n">
        <x:v>12</x:v>
      </x:c>
      <x:c r="J151" s="17" t="n">
        <x:v>2</x:v>
      </x:c>
      <x:c r="K151" s="17" t="n">
        <x:v>14</x:v>
      </x:c>
      <x:c r="L151" s="17" t="str">
        <x:v>分层区组</x:v>
      </x:c>
      <x:c r="M151" s="17" t="str">
        <x:v>检测盲态</x:v>
      </x:c>
      <x:c r="N151" s="17" t="str">
        <x:v>计划</x:v>
      </x:c>
    </x:row>
    <x:row r="152">
      <x:c r="A152" s="17" t="str">
        <x:v>B02-V02-S01-B1</x:v>
      </x:c>
      <x:c r="B152" s="17" t="str">
        <x:v>B02</x:v>
      </x:c>
      <x:c r="C152" s="17" t="str">
        <x:v>V02</x:v>
      </x:c>
      <x:c r="D152" s="17" t="str">
        <x:v>S01</x:v>
      </x:c>
      <x:c r="E152" s="17" t="n">
        <x:v>1</x:v>
      </x:c>
      <x:c r="F152" s="17" t="str">
        <x:v>T01</x:v>
      </x:c>
      <x:c r="G152" s="17" t="str">
        <x:v>0 mT对照</x:v>
      </x:c>
      <x:c r="H152" s="17" t="n">
        <x:v>9</x:v>
      </x:c>
      <x:c r="I152" s="17" t="n">
        <x:v>12</x:v>
      </x:c>
      <x:c r="J152" s="17" t="n">
        <x:v>2</x:v>
      </x:c>
      <x:c r="K152" s="17" t="n">
        <x:v>14</x:v>
      </x:c>
      <x:c r="L152" s="17" t="str">
        <x:v>分层区组</x:v>
      </x:c>
      <x:c r="M152" s="17" t="str">
        <x:v>检测盲态</x:v>
      </x:c>
      <x:c r="N152" s="17" t="str">
        <x:v>计划</x:v>
      </x:c>
    </x:row>
    <x:row r="153">
      <x:c r="A153" s="17" t="str">
        <x:v>B02-V02-S01-B1</x:v>
      </x:c>
      <x:c r="B153" s="17" t="str">
        <x:v>B02</x:v>
      </x:c>
      <x:c r="C153" s="17" t="str">
        <x:v>V02</x:v>
      </x:c>
      <x:c r="D153" s="17" t="str">
        <x:v>S01</x:v>
      </x:c>
      <x:c r="E153" s="17" t="n">
        <x:v>1</x:v>
      </x:c>
      <x:c r="F153" s="17" t="str">
        <x:v>T01</x:v>
      </x:c>
      <x:c r="G153" s="17" t="str">
        <x:v>0 mT对照</x:v>
      </x:c>
      <x:c r="H153" s="17" t="n">
        <x:v>12</x:v>
      </x:c>
      <x:c r="I153" s="17" t="n">
        <x:v>12</x:v>
      </x:c>
      <x:c r="J153" s="17" t="n">
        <x:v>2</x:v>
      </x:c>
      <x:c r="K153" s="17" t="n">
        <x:v>14</x:v>
      </x:c>
      <x:c r="L153" s="17" t="str">
        <x:v>分层区组</x:v>
      </x:c>
      <x:c r="M153" s="17" t="str">
        <x:v>检测盲态</x:v>
      </x:c>
      <x:c r="N153" s="17" t="str">
        <x:v>计划</x:v>
      </x:c>
    </x:row>
    <x:row r="154">
      <x:c r="A154" s="17" t="str">
        <x:v>B02-V02-S01-B1</x:v>
      </x:c>
      <x:c r="B154" s="17" t="str">
        <x:v>B02</x:v>
      </x:c>
      <x:c r="C154" s="17" t="str">
        <x:v>V02</x:v>
      </x:c>
      <x:c r="D154" s="17" t="str">
        <x:v>S01</x:v>
      </x:c>
      <x:c r="E154" s="17" t="n">
        <x:v>1</x:v>
      </x:c>
      <x:c r="F154" s="17" t="str">
        <x:v>T01</x:v>
      </x:c>
      <x:c r="G154" s="17" t="str">
        <x:v>0 mT对照</x:v>
      </x:c>
      <x:c r="H154" s="17" t="n">
        <x:v>15</x:v>
      </x:c>
      <x:c r="I154" s="17" t="n">
        <x:v>12</x:v>
      </x:c>
      <x:c r="J154" s="17" t="n">
        <x:v>2</x:v>
      </x:c>
      <x:c r="K154" s="17" t="n">
        <x:v>14</x:v>
      </x:c>
      <x:c r="L154" s="17" t="str">
        <x:v>分层区组</x:v>
      </x:c>
      <x:c r="M154" s="17" t="str">
        <x:v>检测盲态</x:v>
      </x:c>
      <x:c r="N154" s="17" t="str">
        <x:v>计划</x:v>
      </x:c>
    </x:row>
    <x:row r="155">
      <x:c r="A155" s="17" t="str">
        <x:v>B02-V02-S01-B1</x:v>
      </x:c>
      <x:c r="B155" s="17" t="str">
        <x:v>B02</x:v>
      </x:c>
      <x:c r="C155" s="17" t="str">
        <x:v>V02</x:v>
      </x:c>
      <x:c r="D155" s="17" t="str">
        <x:v>S01</x:v>
      </x:c>
      <x:c r="E155" s="17" t="n">
        <x:v>1</x:v>
      </x:c>
      <x:c r="F155" s="17" t="str">
        <x:v>T02</x:v>
      </x:c>
      <x:c r="G155" s="17" t="str">
        <x:v>5 mT连续</x:v>
      </x:c>
      <x:c r="H155" s="17" t="n">
        <x:v>0</x:v>
      </x:c>
      <x:c r="I155" s="17" t="n">
        <x:v>12</x:v>
      </x:c>
      <x:c r="J155" s="17" t="n">
        <x:v>2</x:v>
      </x:c>
      <x:c r="K155" s="17" t="n">
        <x:v>14</x:v>
      </x:c>
      <x:c r="L155" s="17" t="str">
        <x:v>分层区组</x:v>
      </x:c>
      <x:c r="M155" s="17" t="str">
        <x:v>检测盲态</x:v>
      </x:c>
      <x:c r="N155" s="17" t="str">
        <x:v>计划</x:v>
      </x:c>
    </x:row>
    <x:row r="156">
      <x:c r="A156" s="17" t="str">
        <x:v>B02-V02-S01-B1</x:v>
      </x:c>
      <x:c r="B156" s="17" t="str">
        <x:v>B02</x:v>
      </x:c>
      <x:c r="C156" s="17" t="str">
        <x:v>V02</x:v>
      </x:c>
      <x:c r="D156" s="17" t="str">
        <x:v>S01</x:v>
      </x:c>
      <x:c r="E156" s="17" t="n">
        <x:v>1</x:v>
      </x:c>
      <x:c r="F156" s="17" t="str">
        <x:v>T02</x:v>
      </x:c>
      <x:c r="G156" s="17" t="str">
        <x:v>5 mT连续</x:v>
      </x:c>
      <x:c r="H156" s="17" t="n">
        <x:v>3</x:v>
      </x:c>
      <x:c r="I156" s="17" t="n">
        <x:v>12</x:v>
      </x:c>
      <x:c r="J156" s="17" t="n">
        <x:v>2</x:v>
      </x:c>
      <x:c r="K156" s="17" t="n">
        <x:v>14</x:v>
      </x:c>
      <x:c r="L156" s="17" t="str">
        <x:v>分层区组</x:v>
      </x:c>
      <x:c r="M156" s="17" t="str">
        <x:v>检测盲态</x:v>
      </x:c>
      <x:c r="N156" s="17" t="str">
        <x:v>计划</x:v>
      </x:c>
    </x:row>
    <x:row r="157">
      <x:c r="A157" s="17" t="str">
        <x:v>B02-V02-S01-B1</x:v>
      </x:c>
      <x:c r="B157" s="17" t="str">
        <x:v>B02</x:v>
      </x:c>
      <x:c r="C157" s="17" t="str">
        <x:v>V02</x:v>
      </x:c>
      <x:c r="D157" s="17" t="str">
        <x:v>S01</x:v>
      </x:c>
      <x:c r="E157" s="17" t="n">
        <x:v>1</x:v>
      </x:c>
      <x:c r="F157" s="17" t="str">
        <x:v>T02</x:v>
      </x:c>
      <x:c r="G157" s="17" t="str">
        <x:v>5 mT连续</x:v>
      </x:c>
      <x:c r="H157" s="17" t="n">
        <x:v>6</x:v>
      </x:c>
      <x:c r="I157" s="17" t="n">
        <x:v>12</x:v>
      </x:c>
      <x:c r="J157" s="17" t="n">
        <x:v>2</x:v>
      </x:c>
      <x:c r="K157" s="17" t="n">
        <x:v>14</x:v>
      </x:c>
      <x:c r="L157" s="17" t="str">
        <x:v>分层区组</x:v>
      </x:c>
      <x:c r="M157" s="17" t="str">
        <x:v>检测盲态</x:v>
      </x:c>
      <x:c r="N157" s="17" t="str">
        <x:v>计划</x:v>
      </x:c>
    </x:row>
    <x:row r="158">
      <x:c r="A158" s="17" t="str">
        <x:v>B02-V02-S01-B1</x:v>
      </x:c>
      <x:c r="B158" s="17" t="str">
        <x:v>B02</x:v>
      </x:c>
      <x:c r="C158" s="17" t="str">
        <x:v>V02</x:v>
      </x:c>
      <x:c r="D158" s="17" t="str">
        <x:v>S01</x:v>
      </x:c>
      <x:c r="E158" s="17" t="n">
        <x:v>1</x:v>
      </x:c>
      <x:c r="F158" s="17" t="str">
        <x:v>T02</x:v>
      </x:c>
      <x:c r="G158" s="17" t="str">
        <x:v>5 mT连续</x:v>
      </x:c>
      <x:c r="H158" s="17" t="n">
        <x:v>9</x:v>
      </x:c>
      <x:c r="I158" s="17" t="n">
        <x:v>12</x:v>
      </x:c>
      <x:c r="J158" s="17" t="n">
        <x:v>2</x:v>
      </x:c>
      <x:c r="K158" s="17" t="n">
        <x:v>14</x:v>
      </x:c>
      <x:c r="L158" s="17" t="str">
        <x:v>分层区组</x:v>
      </x:c>
      <x:c r="M158" s="17" t="str">
        <x:v>检测盲态</x:v>
      </x:c>
      <x:c r="N158" s="17" t="str">
        <x:v>计划</x:v>
      </x:c>
    </x:row>
    <x:row r="159">
      <x:c r="A159" s="17" t="str">
        <x:v>B02-V02-S01-B1</x:v>
      </x:c>
      <x:c r="B159" s="17" t="str">
        <x:v>B02</x:v>
      </x:c>
      <x:c r="C159" s="17" t="str">
        <x:v>V02</x:v>
      </x:c>
      <x:c r="D159" s="17" t="str">
        <x:v>S01</x:v>
      </x:c>
      <x:c r="E159" s="17" t="n">
        <x:v>1</x:v>
      </x:c>
      <x:c r="F159" s="17" t="str">
        <x:v>T02</x:v>
      </x:c>
      <x:c r="G159" s="17" t="str">
        <x:v>5 mT连续</x:v>
      </x:c>
      <x:c r="H159" s="17" t="n">
        <x:v>12</x:v>
      </x:c>
      <x:c r="I159" s="17" t="n">
        <x:v>12</x:v>
      </x:c>
      <x:c r="J159" s="17" t="n">
        <x:v>2</x:v>
      </x:c>
      <x:c r="K159" s="17" t="n">
        <x:v>14</x:v>
      </x:c>
      <x:c r="L159" s="17" t="str">
        <x:v>分层区组</x:v>
      </x:c>
      <x:c r="M159" s="17" t="str">
        <x:v>检测盲态</x:v>
      </x:c>
      <x:c r="N159" s="17" t="str">
        <x:v>计划</x:v>
      </x:c>
    </x:row>
    <x:row r="160">
      <x:c r="A160" s="17" t="str">
        <x:v>B02-V02-S01-B1</x:v>
      </x:c>
      <x:c r="B160" s="17" t="str">
        <x:v>B02</x:v>
      </x:c>
      <x:c r="C160" s="17" t="str">
        <x:v>V02</x:v>
      </x:c>
      <x:c r="D160" s="17" t="str">
        <x:v>S01</x:v>
      </x:c>
      <x:c r="E160" s="17" t="n">
        <x:v>1</x:v>
      </x:c>
      <x:c r="F160" s="17" t="str">
        <x:v>T02</x:v>
      </x:c>
      <x:c r="G160" s="17" t="str">
        <x:v>5 mT连续</x:v>
      </x:c>
      <x:c r="H160" s="17" t="n">
        <x:v>15</x:v>
      </x:c>
      <x:c r="I160" s="17" t="n">
        <x:v>12</x:v>
      </x:c>
      <x:c r="J160" s="17" t="n">
        <x:v>2</x:v>
      </x:c>
      <x:c r="K160" s="17" t="n">
        <x:v>14</x:v>
      </x:c>
      <x:c r="L160" s="17" t="str">
        <x:v>分层区组</x:v>
      </x:c>
      <x:c r="M160" s="17" t="str">
        <x:v>检测盲态</x:v>
      </x:c>
      <x:c r="N160" s="17" t="str">
        <x:v>计划</x:v>
      </x:c>
    </x:row>
    <x:row r="161">
      <x:c r="A161" s="17" t="str">
        <x:v>B02-V02-S01-B2</x:v>
      </x:c>
      <x:c r="B161" s="17" t="str">
        <x:v>B02</x:v>
      </x:c>
      <x:c r="C161" s="17" t="str">
        <x:v>V02</x:v>
      </x:c>
      <x:c r="D161" s="17" t="str">
        <x:v>S01</x:v>
      </x:c>
      <x:c r="E161" s="17" t="n">
        <x:v>2</x:v>
      </x:c>
      <x:c r="F161" s="17" t="str">
        <x:v>T01</x:v>
      </x:c>
      <x:c r="G161" s="17" t="str">
        <x:v>0 mT对照</x:v>
      </x:c>
      <x:c r="H161" s="17" t="n">
        <x:v>0</x:v>
      </x:c>
      <x:c r="I161" s="17" t="n">
        <x:v>12</x:v>
      </x:c>
      <x:c r="J161" s="17" t="n">
        <x:v>2</x:v>
      </x:c>
      <x:c r="K161" s="17" t="n">
        <x:v>14</x:v>
      </x:c>
      <x:c r="L161" s="17" t="str">
        <x:v>分层区组</x:v>
      </x:c>
      <x:c r="M161" s="17" t="str">
        <x:v>检测盲态</x:v>
      </x:c>
      <x:c r="N161" s="17" t="str">
        <x:v>计划</x:v>
      </x:c>
    </x:row>
    <x:row r="162">
      <x:c r="A162" s="17" t="str">
        <x:v>B02-V02-S01-B2</x:v>
      </x:c>
      <x:c r="B162" s="17" t="str">
        <x:v>B02</x:v>
      </x:c>
      <x:c r="C162" s="17" t="str">
        <x:v>V02</x:v>
      </x:c>
      <x:c r="D162" s="17" t="str">
        <x:v>S01</x:v>
      </x:c>
      <x:c r="E162" s="17" t="n">
        <x:v>2</x:v>
      </x:c>
      <x:c r="F162" s="17" t="str">
        <x:v>T01</x:v>
      </x:c>
      <x:c r="G162" s="17" t="str">
        <x:v>0 mT对照</x:v>
      </x:c>
      <x:c r="H162" s="17" t="n">
        <x:v>3</x:v>
      </x:c>
      <x:c r="I162" s="17" t="n">
        <x:v>12</x:v>
      </x:c>
      <x:c r="J162" s="17" t="n">
        <x:v>2</x:v>
      </x:c>
      <x:c r="K162" s="17" t="n">
        <x:v>14</x:v>
      </x:c>
      <x:c r="L162" s="17" t="str">
        <x:v>分层区组</x:v>
      </x:c>
      <x:c r="M162" s="17" t="str">
        <x:v>检测盲态</x:v>
      </x:c>
      <x:c r="N162" s="17" t="str">
        <x:v>计划</x:v>
      </x:c>
    </x:row>
    <x:row r="163">
      <x:c r="A163" s="17" t="str">
        <x:v>B02-V02-S01-B2</x:v>
      </x:c>
      <x:c r="B163" s="17" t="str">
        <x:v>B02</x:v>
      </x:c>
      <x:c r="C163" s="17" t="str">
        <x:v>V02</x:v>
      </x:c>
      <x:c r="D163" s="17" t="str">
        <x:v>S01</x:v>
      </x:c>
      <x:c r="E163" s="17" t="n">
        <x:v>2</x:v>
      </x:c>
      <x:c r="F163" s="17" t="str">
        <x:v>T01</x:v>
      </x:c>
      <x:c r="G163" s="17" t="str">
        <x:v>0 mT对照</x:v>
      </x:c>
      <x:c r="H163" s="17" t="n">
        <x:v>6</x:v>
      </x:c>
      <x:c r="I163" s="17" t="n">
        <x:v>12</x:v>
      </x:c>
      <x:c r="J163" s="17" t="n">
        <x:v>2</x:v>
      </x:c>
      <x:c r="K163" s="17" t="n">
        <x:v>14</x:v>
      </x:c>
      <x:c r="L163" s="17" t="str">
        <x:v>分层区组</x:v>
      </x:c>
      <x:c r="M163" s="17" t="str">
        <x:v>检测盲态</x:v>
      </x:c>
      <x:c r="N163" s="17" t="str">
        <x:v>计划</x:v>
      </x:c>
    </x:row>
    <x:row r="164">
      <x:c r="A164" s="17" t="str">
        <x:v>B02-V02-S01-B2</x:v>
      </x:c>
      <x:c r="B164" s="17" t="str">
        <x:v>B02</x:v>
      </x:c>
      <x:c r="C164" s="17" t="str">
        <x:v>V02</x:v>
      </x:c>
      <x:c r="D164" s="17" t="str">
        <x:v>S01</x:v>
      </x:c>
      <x:c r="E164" s="17" t="n">
        <x:v>2</x:v>
      </x:c>
      <x:c r="F164" s="17" t="str">
        <x:v>T01</x:v>
      </x:c>
      <x:c r="G164" s="17" t="str">
        <x:v>0 mT对照</x:v>
      </x:c>
      <x:c r="H164" s="17" t="n">
        <x:v>9</x:v>
      </x:c>
      <x:c r="I164" s="17" t="n">
        <x:v>12</x:v>
      </x:c>
      <x:c r="J164" s="17" t="n">
        <x:v>2</x:v>
      </x:c>
      <x:c r="K164" s="17" t="n">
        <x:v>14</x:v>
      </x:c>
      <x:c r="L164" s="17" t="str">
        <x:v>分层区组</x:v>
      </x:c>
      <x:c r="M164" s="17" t="str">
        <x:v>检测盲态</x:v>
      </x:c>
      <x:c r="N164" s="17" t="str">
        <x:v>计划</x:v>
      </x:c>
    </x:row>
    <x:row r="165">
      <x:c r="A165" s="17" t="str">
        <x:v>B02-V02-S01-B2</x:v>
      </x:c>
      <x:c r="B165" s="17" t="str">
        <x:v>B02</x:v>
      </x:c>
      <x:c r="C165" s="17" t="str">
        <x:v>V02</x:v>
      </x:c>
      <x:c r="D165" s="17" t="str">
        <x:v>S01</x:v>
      </x:c>
      <x:c r="E165" s="17" t="n">
        <x:v>2</x:v>
      </x:c>
      <x:c r="F165" s="17" t="str">
        <x:v>T01</x:v>
      </x:c>
      <x:c r="G165" s="17" t="str">
        <x:v>0 mT对照</x:v>
      </x:c>
      <x:c r="H165" s="17" t="n">
        <x:v>12</x:v>
      </x:c>
      <x:c r="I165" s="17" t="n">
        <x:v>12</x:v>
      </x:c>
      <x:c r="J165" s="17" t="n">
        <x:v>2</x:v>
      </x:c>
      <x:c r="K165" s="17" t="n">
        <x:v>14</x:v>
      </x:c>
      <x:c r="L165" s="17" t="str">
        <x:v>分层区组</x:v>
      </x:c>
      <x:c r="M165" s="17" t="str">
        <x:v>检测盲态</x:v>
      </x:c>
      <x:c r="N165" s="17" t="str">
        <x:v>计划</x:v>
      </x:c>
    </x:row>
    <x:row r="166">
      <x:c r="A166" s="17" t="str">
        <x:v>B02-V02-S01-B2</x:v>
      </x:c>
      <x:c r="B166" s="17" t="str">
        <x:v>B02</x:v>
      </x:c>
      <x:c r="C166" s="17" t="str">
        <x:v>V02</x:v>
      </x:c>
      <x:c r="D166" s="17" t="str">
        <x:v>S01</x:v>
      </x:c>
      <x:c r="E166" s="17" t="n">
        <x:v>2</x:v>
      </x:c>
      <x:c r="F166" s="17" t="str">
        <x:v>T01</x:v>
      </x:c>
      <x:c r="G166" s="17" t="str">
        <x:v>0 mT对照</x:v>
      </x:c>
      <x:c r="H166" s="17" t="n">
        <x:v>15</x:v>
      </x:c>
      <x:c r="I166" s="17" t="n">
        <x:v>12</x:v>
      </x:c>
      <x:c r="J166" s="17" t="n">
        <x:v>2</x:v>
      </x:c>
      <x:c r="K166" s="17" t="n">
        <x:v>14</x:v>
      </x:c>
      <x:c r="L166" s="17" t="str">
        <x:v>分层区组</x:v>
      </x:c>
      <x:c r="M166" s="17" t="str">
        <x:v>检测盲态</x:v>
      </x:c>
      <x:c r="N166" s="17" t="str">
        <x:v>计划</x:v>
      </x:c>
    </x:row>
    <x:row r="167">
      <x:c r="A167" s="17" t="str">
        <x:v>B02-V02-S01-B2</x:v>
      </x:c>
      <x:c r="B167" s="17" t="str">
        <x:v>B02</x:v>
      </x:c>
      <x:c r="C167" s="17" t="str">
        <x:v>V02</x:v>
      </x:c>
      <x:c r="D167" s="17" t="str">
        <x:v>S01</x:v>
      </x:c>
      <x:c r="E167" s="17" t="n">
        <x:v>2</x:v>
      </x:c>
      <x:c r="F167" s="17" t="str">
        <x:v>T02</x:v>
      </x:c>
      <x:c r="G167" s="17" t="str">
        <x:v>5 mT连续</x:v>
      </x:c>
      <x:c r="H167" s="17" t="n">
        <x:v>0</x:v>
      </x:c>
      <x:c r="I167" s="17" t="n">
        <x:v>12</x:v>
      </x:c>
      <x:c r="J167" s="17" t="n">
        <x:v>2</x:v>
      </x:c>
      <x:c r="K167" s="17" t="n">
        <x:v>14</x:v>
      </x:c>
      <x:c r="L167" s="17" t="str">
        <x:v>分层区组</x:v>
      </x:c>
      <x:c r="M167" s="17" t="str">
        <x:v>检测盲态</x:v>
      </x:c>
      <x:c r="N167" s="17" t="str">
        <x:v>计划</x:v>
      </x:c>
    </x:row>
    <x:row r="168">
      <x:c r="A168" s="17" t="str">
        <x:v>B02-V02-S01-B2</x:v>
      </x:c>
      <x:c r="B168" s="17" t="str">
        <x:v>B02</x:v>
      </x:c>
      <x:c r="C168" s="17" t="str">
        <x:v>V02</x:v>
      </x:c>
      <x:c r="D168" s="17" t="str">
        <x:v>S01</x:v>
      </x:c>
      <x:c r="E168" s="17" t="n">
        <x:v>2</x:v>
      </x:c>
      <x:c r="F168" s="17" t="str">
        <x:v>T02</x:v>
      </x:c>
      <x:c r="G168" s="17" t="str">
        <x:v>5 mT连续</x:v>
      </x:c>
      <x:c r="H168" s="17" t="n">
        <x:v>3</x:v>
      </x:c>
      <x:c r="I168" s="17" t="n">
        <x:v>12</x:v>
      </x:c>
      <x:c r="J168" s="17" t="n">
        <x:v>2</x:v>
      </x:c>
      <x:c r="K168" s="17" t="n">
        <x:v>14</x:v>
      </x:c>
      <x:c r="L168" s="17" t="str">
        <x:v>分层区组</x:v>
      </x:c>
      <x:c r="M168" s="17" t="str">
        <x:v>检测盲态</x:v>
      </x:c>
      <x:c r="N168" s="17" t="str">
        <x:v>计划</x:v>
      </x:c>
    </x:row>
    <x:row r="169">
      <x:c r="A169" s="17" t="str">
        <x:v>B02-V02-S01-B2</x:v>
      </x:c>
      <x:c r="B169" s="17" t="str">
        <x:v>B02</x:v>
      </x:c>
      <x:c r="C169" s="17" t="str">
        <x:v>V02</x:v>
      </x:c>
      <x:c r="D169" s="17" t="str">
        <x:v>S01</x:v>
      </x:c>
      <x:c r="E169" s="17" t="n">
        <x:v>2</x:v>
      </x:c>
      <x:c r="F169" s="17" t="str">
        <x:v>T02</x:v>
      </x:c>
      <x:c r="G169" s="17" t="str">
        <x:v>5 mT连续</x:v>
      </x:c>
      <x:c r="H169" s="17" t="n">
        <x:v>6</x:v>
      </x:c>
      <x:c r="I169" s="17" t="n">
        <x:v>12</x:v>
      </x:c>
      <x:c r="J169" s="17" t="n">
        <x:v>2</x:v>
      </x:c>
      <x:c r="K169" s="17" t="n">
        <x:v>14</x:v>
      </x:c>
      <x:c r="L169" s="17" t="str">
        <x:v>分层区组</x:v>
      </x:c>
      <x:c r="M169" s="17" t="str">
        <x:v>检测盲态</x:v>
      </x:c>
      <x:c r="N169" s="17" t="str">
        <x:v>计划</x:v>
      </x:c>
    </x:row>
    <x:row r="170">
      <x:c r="A170" s="17" t="str">
        <x:v>B02-V02-S01-B2</x:v>
      </x:c>
      <x:c r="B170" s="17" t="str">
        <x:v>B02</x:v>
      </x:c>
      <x:c r="C170" s="17" t="str">
        <x:v>V02</x:v>
      </x:c>
      <x:c r="D170" s="17" t="str">
        <x:v>S01</x:v>
      </x:c>
      <x:c r="E170" s="17" t="n">
        <x:v>2</x:v>
      </x:c>
      <x:c r="F170" s="17" t="str">
        <x:v>T02</x:v>
      </x:c>
      <x:c r="G170" s="17" t="str">
        <x:v>5 mT连续</x:v>
      </x:c>
      <x:c r="H170" s="17" t="n">
        <x:v>9</x:v>
      </x:c>
      <x:c r="I170" s="17" t="n">
        <x:v>12</x:v>
      </x:c>
      <x:c r="J170" s="17" t="n">
        <x:v>2</x:v>
      </x:c>
      <x:c r="K170" s="17" t="n">
        <x:v>14</x:v>
      </x:c>
      <x:c r="L170" s="17" t="str">
        <x:v>分层区组</x:v>
      </x:c>
      <x:c r="M170" s="17" t="str">
        <x:v>检测盲态</x:v>
      </x:c>
      <x:c r="N170" s="17" t="str">
        <x:v>计划</x:v>
      </x:c>
    </x:row>
    <x:row r="171">
      <x:c r="A171" s="17" t="str">
        <x:v>B02-V02-S01-B2</x:v>
      </x:c>
      <x:c r="B171" s="17" t="str">
        <x:v>B02</x:v>
      </x:c>
      <x:c r="C171" s="17" t="str">
        <x:v>V02</x:v>
      </x:c>
      <x:c r="D171" s="17" t="str">
        <x:v>S01</x:v>
      </x:c>
      <x:c r="E171" s="17" t="n">
        <x:v>2</x:v>
      </x:c>
      <x:c r="F171" s="17" t="str">
        <x:v>T02</x:v>
      </x:c>
      <x:c r="G171" s="17" t="str">
        <x:v>5 mT连续</x:v>
      </x:c>
      <x:c r="H171" s="17" t="n">
        <x:v>12</x:v>
      </x:c>
      <x:c r="I171" s="17" t="n">
        <x:v>12</x:v>
      </x:c>
      <x:c r="J171" s="17" t="n">
        <x:v>2</x:v>
      </x:c>
      <x:c r="K171" s="17" t="n">
        <x:v>14</x:v>
      </x:c>
      <x:c r="L171" s="17" t="str">
        <x:v>分层区组</x:v>
      </x:c>
      <x:c r="M171" s="17" t="str">
        <x:v>检测盲态</x:v>
      </x:c>
      <x:c r="N171" s="17" t="str">
        <x:v>计划</x:v>
      </x:c>
    </x:row>
    <x:row r="172">
      <x:c r="A172" s="17" t="str">
        <x:v>B02-V02-S01-B2</x:v>
      </x:c>
      <x:c r="B172" s="17" t="str">
        <x:v>B02</x:v>
      </x:c>
      <x:c r="C172" s="17" t="str">
        <x:v>V02</x:v>
      </x:c>
      <x:c r="D172" s="17" t="str">
        <x:v>S01</x:v>
      </x:c>
      <x:c r="E172" s="17" t="n">
        <x:v>2</x:v>
      </x:c>
      <x:c r="F172" s="17" t="str">
        <x:v>T02</x:v>
      </x:c>
      <x:c r="G172" s="17" t="str">
        <x:v>5 mT连续</x:v>
      </x:c>
      <x:c r="H172" s="17" t="n">
        <x:v>15</x:v>
      </x:c>
      <x:c r="I172" s="17" t="n">
        <x:v>12</x:v>
      </x:c>
      <x:c r="J172" s="17" t="n">
        <x:v>2</x:v>
      </x:c>
      <x:c r="K172" s="17" t="n">
        <x:v>14</x:v>
      </x:c>
      <x:c r="L172" s="17" t="str">
        <x:v>分层区组</x:v>
      </x:c>
      <x:c r="M172" s="17" t="str">
        <x:v>检测盲态</x:v>
      </x:c>
      <x:c r="N172" s="17" t="str">
        <x:v>计划</x:v>
      </x:c>
    </x:row>
    <x:row r="173">
      <x:c r="A173" s="17" t="str">
        <x:v>B02-V02-S02-B1</x:v>
      </x:c>
      <x:c r="B173" s="17" t="str">
        <x:v>B02</x:v>
      </x:c>
      <x:c r="C173" s="17" t="str">
        <x:v>V02</x:v>
      </x:c>
      <x:c r="D173" s="17" t="str">
        <x:v>S02</x:v>
      </x:c>
      <x:c r="E173" s="17" t="n">
        <x:v>1</x:v>
      </x:c>
      <x:c r="F173" s="17" t="str">
        <x:v>T01</x:v>
      </x:c>
      <x:c r="G173" s="17" t="str">
        <x:v>0 mT对照</x:v>
      </x:c>
      <x:c r="H173" s="17" t="n">
        <x:v>0</x:v>
      </x:c>
      <x:c r="I173" s="17" t="n">
        <x:v>12</x:v>
      </x:c>
      <x:c r="J173" s="17" t="n">
        <x:v>2</x:v>
      </x:c>
      <x:c r="K173" s="17" t="n">
        <x:v>14</x:v>
      </x:c>
      <x:c r="L173" s="17" t="str">
        <x:v>分层区组</x:v>
      </x:c>
      <x:c r="M173" s="17" t="str">
        <x:v>检测盲态</x:v>
      </x:c>
      <x:c r="N173" s="17" t="str">
        <x:v>计划</x:v>
      </x:c>
    </x:row>
    <x:row r="174">
      <x:c r="A174" s="17" t="str">
        <x:v>B02-V02-S02-B1</x:v>
      </x:c>
      <x:c r="B174" s="17" t="str">
        <x:v>B02</x:v>
      </x:c>
      <x:c r="C174" s="17" t="str">
        <x:v>V02</x:v>
      </x:c>
      <x:c r="D174" s="17" t="str">
        <x:v>S02</x:v>
      </x:c>
      <x:c r="E174" s="17" t="n">
        <x:v>1</x:v>
      </x:c>
      <x:c r="F174" s="17" t="str">
        <x:v>T01</x:v>
      </x:c>
      <x:c r="G174" s="17" t="str">
        <x:v>0 mT对照</x:v>
      </x:c>
      <x:c r="H174" s="17" t="n">
        <x:v>3</x:v>
      </x:c>
      <x:c r="I174" s="17" t="n">
        <x:v>12</x:v>
      </x:c>
      <x:c r="J174" s="17" t="n">
        <x:v>2</x:v>
      </x:c>
      <x:c r="K174" s="17" t="n">
        <x:v>14</x:v>
      </x:c>
      <x:c r="L174" s="17" t="str">
        <x:v>分层区组</x:v>
      </x:c>
      <x:c r="M174" s="17" t="str">
        <x:v>检测盲态</x:v>
      </x:c>
      <x:c r="N174" s="17" t="str">
        <x:v>计划</x:v>
      </x:c>
    </x:row>
    <x:row r="175">
      <x:c r="A175" s="17" t="str">
        <x:v>B02-V02-S02-B1</x:v>
      </x:c>
      <x:c r="B175" s="17" t="str">
        <x:v>B02</x:v>
      </x:c>
      <x:c r="C175" s="17" t="str">
        <x:v>V02</x:v>
      </x:c>
      <x:c r="D175" s="17" t="str">
        <x:v>S02</x:v>
      </x:c>
      <x:c r="E175" s="17" t="n">
        <x:v>1</x:v>
      </x:c>
      <x:c r="F175" s="17" t="str">
        <x:v>T01</x:v>
      </x:c>
      <x:c r="G175" s="17" t="str">
        <x:v>0 mT对照</x:v>
      </x:c>
      <x:c r="H175" s="17" t="n">
        <x:v>6</x:v>
      </x:c>
      <x:c r="I175" s="17" t="n">
        <x:v>12</x:v>
      </x:c>
      <x:c r="J175" s="17" t="n">
        <x:v>2</x:v>
      </x:c>
      <x:c r="K175" s="17" t="n">
        <x:v>14</x:v>
      </x:c>
      <x:c r="L175" s="17" t="str">
        <x:v>分层区组</x:v>
      </x:c>
      <x:c r="M175" s="17" t="str">
        <x:v>检测盲态</x:v>
      </x:c>
      <x:c r="N175" s="17" t="str">
        <x:v>计划</x:v>
      </x:c>
    </x:row>
    <x:row r="176">
      <x:c r="A176" s="17" t="str">
        <x:v>B02-V02-S02-B1</x:v>
      </x:c>
      <x:c r="B176" s="17" t="str">
        <x:v>B02</x:v>
      </x:c>
      <x:c r="C176" s="17" t="str">
        <x:v>V02</x:v>
      </x:c>
      <x:c r="D176" s="17" t="str">
        <x:v>S02</x:v>
      </x:c>
      <x:c r="E176" s="17" t="n">
        <x:v>1</x:v>
      </x:c>
      <x:c r="F176" s="17" t="str">
        <x:v>T01</x:v>
      </x:c>
      <x:c r="G176" s="17" t="str">
        <x:v>0 mT对照</x:v>
      </x:c>
      <x:c r="H176" s="17" t="n">
        <x:v>9</x:v>
      </x:c>
      <x:c r="I176" s="17" t="n">
        <x:v>12</x:v>
      </x:c>
      <x:c r="J176" s="17" t="n">
        <x:v>2</x:v>
      </x:c>
      <x:c r="K176" s="17" t="n">
        <x:v>14</x:v>
      </x:c>
      <x:c r="L176" s="17" t="str">
        <x:v>分层区组</x:v>
      </x:c>
      <x:c r="M176" s="17" t="str">
        <x:v>检测盲态</x:v>
      </x:c>
      <x:c r="N176" s="17" t="str">
        <x:v>计划</x:v>
      </x:c>
    </x:row>
    <x:row r="177">
      <x:c r="A177" s="17" t="str">
        <x:v>B02-V02-S02-B1</x:v>
      </x:c>
      <x:c r="B177" s="17" t="str">
        <x:v>B02</x:v>
      </x:c>
      <x:c r="C177" s="17" t="str">
        <x:v>V02</x:v>
      </x:c>
      <x:c r="D177" s="17" t="str">
        <x:v>S02</x:v>
      </x:c>
      <x:c r="E177" s="17" t="n">
        <x:v>1</x:v>
      </x:c>
      <x:c r="F177" s="17" t="str">
        <x:v>T01</x:v>
      </x:c>
      <x:c r="G177" s="17" t="str">
        <x:v>0 mT对照</x:v>
      </x:c>
      <x:c r="H177" s="17" t="n">
        <x:v>12</x:v>
      </x:c>
      <x:c r="I177" s="17" t="n">
        <x:v>12</x:v>
      </x:c>
      <x:c r="J177" s="17" t="n">
        <x:v>2</x:v>
      </x:c>
      <x:c r="K177" s="17" t="n">
        <x:v>14</x:v>
      </x:c>
      <x:c r="L177" s="17" t="str">
        <x:v>分层区组</x:v>
      </x:c>
      <x:c r="M177" s="17" t="str">
        <x:v>检测盲态</x:v>
      </x:c>
      <x:c r="N177" s="17" t="str">
        <x:v>计划</x:v>
      </x:c>
    </x:row>
    <x:row r="178">
      <x:c r="A178" s="17" t="str">
        <x:v>B02-V02-S02-B1</x:v>
      </x:c>
      <x:c r="B178" s="17" t="str">
        <x:v>B02</x:v>
      </x:c>
      <x:c r="C178" s="17" t="str">
        <x:v>V02</x:v>
      </x:c>
      <x:c r="D178" s="17" t="str">
        <x:v>S02</x:v>
      </x:c>
      <x:c r="E178" s="17" t="n">
        <x:v>1</x:v>
      </x:c>
      <x:c r="F178" s="17" t="str">
        <x:v>T01</x:v>
      </x:c>
      <x:c r="G178" s="17" t="str">
        <x:v>0 mT对照</x:v>
      </x:c>
      <x:c r="H178" s="17" t="n">
        <x:v>15</x:v>
      </x:c>
      <x:c r="I178" s="17" t="n">
        <x:v>12</x:v>
      </x:c>
      <x:c r="J178" s="17" t="n">
        <x:v>2</x:v>
      </x:c>
      <x:c r="K178" s="17" t="n">
        <x:v>14</x:v>
      </x:c>
      <x:c r="L178" s="17" t="str">
        <x:v>分层区组</x:v>
      </x:c>
      <x:c r="M178" s="17" t="str">
        <x:v>检测盲态</x:v>
      </x:c>
      <x:c r="N178" s="17" t="str">
        <x:v>计划</x:v>
      </x:c>
    </x:row>
    <x:row r="179">
      <x:c r="A179" s="17" t="str">
        <x:v>B02-V02-S02-B1</x:v>
      </x:c>
      <x:c r="B179" s="17" t="str">
        <x:v>B02</x:v>
      </x:c>
      <x:c r="C179" s="17" t="str">
        <x:v>V02</x:v>
      </x:c>
      <x:c r="D179" s="17" t="str">
        <x:v>S02</x:v>
      </x:c>
      <x:c r="E179" s="17" t="n">
        <x:v>1</x:v>
      </x:c>
      <x:c r="F179" s="17" t="str">
        <x:v>T02</x:v>
      </x:c>
      <x:c r="G179" s="17" t="str">
        <x:v>5 mT连续</x:v>
      </x:c>
      <x:c r="H179" s="17" t="n">
        <x:v>0</x:v>
      </x:c>
      <x:c r="I179" s="17" t="n">
        <x:v>12</x:v>
      </x:c>
      <x:c r="J179" s="17" t="n">
        <x:v>2</x:v>
      </x:c>
      <x:c r="K179" s="17" t="n">
        <x:v>14</x:v>
      </x:c>
      <x:c r="L179" s="17" t="str">
        <x:v>分层区组</x:v>
      </x:c>
      <x:c r="M179" s="17" t="str">
        <x:v>检测盲态</x:v>
      </x:c>
      <x:c r="N179" s="17" t="str">
        <x:v>计划</x:v>
      </x:c>
    </x:row>
    <x:row r="180">
      <x:c r="A180" s="17" t="str">
        <x:v>B02-V02-S02-B1</x:v>
      </x:c>
      <x:c r="B180" s="17" t="str">
        <x:v>B02</x:v>
      </x:c>
      <x:c r="C180" s="17" t="str">
        <x:v>V02</x:v>
      </x:c>
      <x:c r="D180" s="17" t="str">
        <x:v>S02</x:v>
      </x:c>
      <x:c r="E180" s="17" t="n">
        <x:v>1</x:v>
      </x:c>
      <x:c r="F180" s="17" t="str">
        <x:v>T02</x:v>
      </x:c>
      <x:c r="G180" s="17" t="str">
        <x:v>5 mT连续</x:v>
      </x:c>
      <x:c r="H180" s="17" t="n">
        <x:v>3</x:v>
      </x:c>
      <x:c r="I180" s="17" t="n">
        <x:v>12</x:v>
      </x:c>
      <x:c r="J180" s="17" t="n">
        <x:v>2</x:v>
      </x:c>
      <x:c r="K180" s="17" t="n">
        <x:v>14</x:v>
      </x:c>
      <x:c r="L180" s="17" t="str">
        <x:v>分层区组</x:v>
      </x:c>
      <x:c r="M180" s="17" t="str">
        <x:v>检测盲态</x:v>
      </x:c>
      <x:c r="N180" s="17" t="str">
        <x:v>计划</x:v>
      </x:c>
    </x:row>
    <x:row r="181">
      <x:c r="A181" s="17" t="str">
        <x:v>B02-V02-S02-B1</x:v>
      </x:c>
      <x:c r="B181" s="17" t="str">
        <x:v>B02</x:v>
      </x:c>
      <x:c r="C181" s="17" t="str">
        <x:v>V02</x:v>
      </x:c>
      <x:c r="D181" s="17" t="str">
        <x:v>S02</x:v>
      </x:c>
      <x:c r="E181" s="17" t="n">
        <x:v>1</x:v>
      </x:c>
      <x:c r="F181" s="17" t="str">
        <x:v>T02</x:v>
      </x:c>
      <x:c r="G181" s="17" t="str">
        <x:v>5 mT连续</x:v>
      </x:c>
      <x:c r="H181" s="17" t="n">
        <x:v>6</x:v>
      </x:c>
      <x:c r="I181" s="17" t="n">
        <x:v>12</x:v>
      </x:c>
      <x:c r="J181" s="17" t="n">
        <x:v>2</x:v>
      </x:c>
      <x:c r="K181" s="17" t="n">
        <x:v>14</x:v>
      </x:c>
      <x:c r="L181" s="17" t="str">
        <x:v>分层区组</x:v>
      </x:c>
      <x:c r="M181" s="17" t="str">
        <x:v>检测盲态</x:v>
      </x:c>
      <x:c r="N181" s="17" t="str">
        <x:v>计划</x:v>
      </x:c>
    </x:row>
    <x:row r="182">
      <x:c r="A182" s="17" t="str">
        <x:v>B02-V02-S02-B1</x:v>
      </x:c>
      <x:c r="B182" s="17" t="str">
        <x:v>B02</x:v>
      </x:c>
      <x:c r="C182" s="17" t="str">
        <x:v>V02</x:v>
      </x:c>
      <x:c r="D182" s="17" t="str">
        <x:v>S02</x:v>
      </x:c>
      <x:c r="E182" s="17" t="n">
        <x:v>1</x:v>
      </x:c>
      <x:c r="F182" s="17" t="str">
        <x:v>T02</x:v>
      </x:c>
      <x:c r="G182" s="17" t="str">
        <x:v>5 mT连续</x:v>
      </x:c>
      <x:c r="H182" s="17" t="n">
        <x:v>9</x:v>
      </x:c>
      <x:c r="I182" s="17" t="n">
        <x:v>12</x:v>
      </x:c>
      <x:c r="J182" s="17" t="n">
        <x:v>2</x:v>
      </x:c>
      <x:c r="K182" s="17" t="n">
        <x:v>14</x:v>
      </x:c>
      <x:c r="L182" s="17" t="str">
        <x:v>分层区组</x:v>
      </x:c>
      <x:c r="M182" s="17" t="str">
        <x:v>检测盲态</x:v>
      </x:c>
      <x:c r="N182" s="17" t="str">
        <x:v>计划</x:v>
      </x:c>
    </x:row>
    <x:row r="183">
      <x:c r="A183" s="17" t="str">
        <x:v>B02-V02-S02-B1</x:v>
      </x:c>
      <x:c r="B183" s="17" t="str">
        <x:v>B02</x:v>
      </x:c>
      <x:c r="C183" s="17" t="str">
        <x:v>V02</x:v>
      </x:c>
      <x:c r="D183" s="17" t="str">
        <x:v>S02</x:v>
      </x:c>
      <x:c r="E183" s="17" t="n">
        <x:v>1</x:v>
      </x:c>
      <x:c r="F183" s="17" t="str">
        <x:v>T02</x:v>
      </x:c>
      <x:c r="G183" s="17" t="str">
        <x:v>5 mT连续</x:v>
      </x:c>
      <x:c r="H183" s="17" t="n">
        <x:v>12</x:v>
      </x:c>
      <x:c r="I183" s="17" t="n">
        <x:v>12</x:v>
      </x:c>
      <x:c r="J183" s="17" t="n">
        <x:v>2</x:v>
      </x:c>
      <x:c r="K183" s="17" t="n">
        <x:v>14</x:v>
      </x:c>
      <x:c r="L183" s="17" t="str">
        <x:v>分层区组</x:v>
      </x:c>
      <x:c r="M183" s="17" t="str">
        <x:v>检测盲态</x:v>
      </x:c>
      <x:c r="N183" s="17" t="str">
        <x:v>计划</x:v>
      </x:c>
    </x:row>
    <x:row r="184">
      <x:c r="A184" s="17" t="str">
        <x:v>B02-V02-S02-B1</x:v>
      </x:c>
      <x:c r="B184" s="17" t="str">
        <x:v>B02</x:v>
      </x:c>
      <x:c r="C184" s="17" t="str">
        <x:v>V02</x:v>
      </x:c>
      <x:c r="D184" s="17" t="str">
        <x:v>S02</x:v>
      </x:c>
      <x:c r="E184" s="17" t="n">
        <x:v>1</x:v>
      </x:c>
      <x:c r="F184" s="17" t="str">
        <x:v>T02</x:v>
      </x:c>
      <x:c r="G184" s="17" t="str">
        <x:v>5 mT连续</x:v>
      </x:c>
      <x:c r="H184" s="17" t="n">
        <x:v>15</x:v>
      </x:c>
      <x:c r="I184" s="17" t="n">
        <x:v>12</x:v>
      </x:c>
      <x:c r="J184" s="17" t="n">
        <x:v>2</x:v>
      </x:c>
      <x:c r="K184" s="17" t="n">
        <x:v>14</x:v>
      </x:c>
      <x:c r="L184" s="17" t="str">
        <x:v>分层区组</x:v>
      </x:c>
      <x:c r="M184" s="17" t="str">
        <x:v>检测盲态</x:v>
      </x:c>
      <x:c r="N184" s="17" t="str">
        <x:v>计划</x:v>
      </x:c>
    </x:row>
    <x:row r="185">
      <x:c r="A185" s="17" t="str">
        <x:v>B02-V02-S02-B2</x:v>
      </x:c>
      <x:c r="B185" s="17" t="str">
        <x:v>B02</x:v>
      </x:c>
      <x:c r="C185" s="17" t="str">
        <x:v>V02</x:v>
      </x:c>
      <x:c r="D185" s="17" t="str">
        <x:v>S02</x:v>
      </x:c>
      <x:c r="E185" s="17" t="n">
        <x:v>2</x:v>
      </x:c>
      <x:c r="F185" s="17" t="str">
        <x:v>T01</x:v>
      </x:c>
      <x:c r="G185" s="17" t="str">
        <x:v>0 mT对照</x:v>
      </x:c>
      <x:c r="H185" s="17" t="n">
        <x:v>0</x:v>
      </x:c>
      <x:c r="I185" s="17" t="n">
        <x:v>12</x:v>
      </x:c>
      <x:c r="J185" s="17" t="n">
        <x:v>2</x:v>
      </x:c>
      <x:c r="K185" s="17" t="n">
        <x:v>14</x:v>
      </x:c>
      <x:c r="L185" s="17" t="str">
        <x:v>分层区组</x:v>
      </x:c>
      <x:c r="M185" s="17" t="str">
        <x:v>检测盲态</x:v>
      </x:c>
      <x:c r="N185" s="17" t="str">
        <x:v>计划</x:v>
      </x:c>
    </x:row>
    <x:row r="186">
      <x:c r="A186" s="17" t="str">
        <x:v>B02-V02-S02-B2</x:v>
      </x:c>
      <x:c r="B186" s="17" t="str">
        <x:v>B02</x:v>
      </x:c>
      <x:c r="C186" s="17" t="str">
        <x:v>V02</x:v>
      </x:c>
      <x:c r="D186" s="17" t="str">
        <x:v>S02</x:v>
      </x:c>
      <x:c r="E186" s="17" t="n">
        <x:v>2</x:v>
      </x:c>
      <x:c r="F186" s="17" t="str">
        <x:v>T01</x:v>
      </x:c>
      <x:c r="G186" s="17" t="str">
        <x:v>0 mT对照</x:v>
      </x:c>
      <x:c r="H186" s="17" t="n">
        <x:v>3</x:v>
      </x:c>
      <x:c r="I186" s="17" t="n">
        <x:v>12</x:v>
      </x:c>
      <x:c r="J186" s="17" t="n">
        <x:v>2</x:v>
      </x:c>
      <x:c r="K186" s="17" t="n">
        <x:v>14</x:v>
      </x:c>
      <x:c r="L186" s="17" t="str">
        <x:v>分层区组</x:v>
      </x:c>
      <x:c r="M186" s="17" t="str">
        <x:v>检测盲态</x:v>
      </x:c>
      <x:c r="N186" s="17" t="str">
        <x:v>计划</x:v>
      </x:c>
    </x:row>
    <x:row r="187">
      <x:c r="A187" s="17" t="str">
        <x:v>B02-V02-S02-B2</x:v>
      </x:c>
      <x:c r="B187" s="17" t="str">
        <x:v>B02</x:v>
      </x:c>
      <x:c r="C187" s="17" t="str">
        <x:v>V02</x:v>
      </x:c>
      <x:c r="D187" s="17" t="str">
        <x:v>S02</x:v>
      </x:c>
      <x:c r="E187" s="17" t="n">
        <x:v>2</x:v>
      </x:c>
      <x:c r="F187" s="17" t="str">
        <x:v>T01</x:v>
      </x:c>
      <x:c r="G187" s="17" t="str">
        <x:v>0 mT对照</x:v>
      </x:c>
      <x:c r="H187" s="17" t="n">
        <x:v>6</x:v>
      </x:c>
      <x:c r="I187" s="17" t="n">
        <x:v>12</x:v>
      </x:c>
      <x:c r="J187" s="17" t="n">
        <x:v>2</x:v>
      </x:c>
      <x:c r="K187" s="17" t="n">
        <x:v>14</x:v>
      </x:c>
      <x:c r="L187" s="17" t="str">
        <x:v>分层区组</x:v>
      </x:c>
      <x:c r="M187" s="17" t="str">
        <x:v>检测盲态</x:v>
      </x:c>
      <x:c r="N187" s="17" t="str">
        <x:v>计划</x:v>
      </x:c>
    </x:row>
    <x:row r="188">
      <x:c r="A188" s="17" t="str">
        <x:v>B02-V02-S02-B2</x:v>
      </x:c>
      <x:c r="B188" s="17" t="str">
        <x:v>B02</x:v>
      </x:c>
      <x:c r="C188" s="17" t="str">
        <x:v>V02</x:v>
      </x:c>
      <x:c r="D188" s="17" t="str">
        <x:v>S02</x:v>
      </x:c>
      <x:c r="E188" s="17" t="n">
        <x:v>2</x:v>
      </x:c>
      <x:c r="F188" s="17" t="str">
        <x:v>T01</x:v>
      </x:c>
      <x:c r="G188" s="17" t="str">
        <x:v>0 mT对照</x:v>
      </x:c>
      <x:c r="H188" s="17" t="n">
        <x:v>9</x:v>
      </x:c>
      <x:c r="I188" s="17" t="n">
        <x:v>12</x:v>
      </x:c>
      <x:c r="J188" s="17" t="n">
        <x:v>2</x:v>
      </x:c>
      <x:c r="K188" s="17" t="n">
        <x:v>14</x:v>
      </x:c>
      <x:c r="L188" s="17" t="str">
        <x:v>分层区组</x:v>
      </x:c>
      <x:c r="M188" s="17" t="str">
        <x:v>检测盲态</x:v>
      </x:c>
      <x:c r="N188" s="17" t="str">
        <x:v>计划</x:v>
      </x:c>
    </x:row>
    <x:row r="189">
      <x:c r="A189" s="17" t="str">
        <x:v>B02-V02-S02-B2</x:v>
      </x:c>
      <x:c r="B189" s="17" t="str">
        <x:v>B02</x:v>
      </x:c>
      <x:c r="C189" s="17" t="str">
        <x:v>V02</x:v>
      </x:c>
      <x:c r="D189" s="17" t="str">
        <x:v>S02</x:v>
      </x:c>
      <x:c r="E189" s="17" t="n">
        <x:v>2</x:v>
      </x:c>
      <x:c r="F189" s="17" t="str">
        <x:v>T01</x:v>
      </x:c>
      <x:c r="G189" s="17" t="str">
        <x:v>0 mT对照</x:v>
      </x:c>
      <x:c r="H189" s="17" t="n">
        <x:v>12</x:v>
      </x:c>
      <x:c r="I189" s="17" t="n">
        <x:v>12</x:v>
      </x:c>
      <x:c r="J189" s="17" t="n">
        <x:v>2</x:v>
      </x:c>
      <x:c r="K189" s="17" t="n">
        <x:v>14</x:v>
      </x:c>
      <x:c r="L189" s="17" t="str">
        <x:v>分层区组</x:v>
      </x:c>
      <x:c r="M189" s="17" t="str">
        <x:v>检测盲态</x:v>
      </x:c>
      <x:c r="N189" s="17" t="str">
        <x:v>计划</x:v>
      </x:c>
    </x:row>
    <x:row r="190">
      <x:c r="A190" s="17" t="str">
        <x:v>B02-V02-S02-B2</x:v>
      </x:c>
      <x:c r="B190" s="17" t="str">
        <x:v>B02</x:v>
      </x:c>
      <x:c r="C190" s="17" t="str">
        <x:v>V02</x:v>
      </x:c>
      <x:c r="D190" s="17" t="str">
        <x:v>S02</x:v>
      </x:c>
      <x:c r="E190" s="17" t="n">
        <x:v>2</x:v>
      </x:c>
      <x:c r="F190" s="17" t="str">
        <x:v>T01</x:v>
      </x:c>
      <x:c r="G190" s="17" t="str">
        <x:v>0 mT对照</x:v>
      </x:c>
      <x:c r="H190" s="17" t="n">
        <x:v>15</x:v>
      </x:c>
      <x:c r="I190" s="17" t="n">
        <x:v>12</x:v>
      </x:c>
      <x:c r="J190" s="17" t="n">
        <x:v>2</x:v>
      </x:c>
      <x:c r="K190" s="17" t="n">
        <x:v>14</x:v>
      </x:c>
      <x:c r="L190" s="17" t="str">
        <x:v>分层区组</x:v>
      </x:c>
      <x:c r="M190" s="17" t="str">
        <x:v>检测盲态</x:v>
      </x:c>
      <x:c r="N190" s="17" t="str">
        <x:v>计划</x:v>
      </x:c>
    </x:row>
    <x:row r="191">
      <x:c r="A191" s="17" t="str">
        <x:v>B02-V02-S02-B2</x:v>
      </x:c>
      <x:c r="B191" s="17" t="str">
        <x:v>B02</x:v>
      </x:c>
      <x:c r="C191" s="17" t="str">
        <x:v>V02</x:v>
      </x:c>
      <x:c r="D191" s="17" t="str">
        <x:v>S02</x:v>
      </x:c>
      <x:c r="E191" s="17" t="n">
        <x:v>2</x:v>
      </x:c>
      <x:c r="F191" s="17" t="str">
        <x:v>T02</x:v>
      </x:c>
      <x:c r="G191" s="17" t="str">
        <x:v>5 mT连续</x:v>
      </x:c>
      <x:c r="H191" s="17" t="n">
        <x:v>0</x:v>
      </x:c>
      <x:c r="I191" s="17" t="n">
        <x:v>12</x:v>
      </x:c>
      <x:c r="J191" s="17" t="n">
        <x:v>2</x:v>
      </x:c>
      <x:c r="K191" s="17" t="n">
        <x:v>14</x:v>
      </x:c>
      <x:c r="L191" s="17" t="str">
        <x:v>分层区组</x:v>
      </x:c>
      <x:c r="M191" s="17" t="str">
        <x:v>检测盲态</x:v>
      </x:c>
      <x:c r="N191" s="17" t="str">
        <x:v>计划</x:v>
      </x:c>
    </x:row>
    <x:row r="192">
      <x:c r="A192" s="17" t="str">
        <x:v>B02-V02-S02-B2</x:v>
      </x:c>
      <x:c r="B192" s="17" t="str">
        <x:v>B02</x:v>
      </x:c>
      <x:c r="C192" s="17" t="str">
        <x:v>V02</x:v>
      </x:c>
      <x:c r="D192" s="17" t="str">
        <x:v>S02</x:v>
      </x:c>
      <x:c r="E192" s="17" t="n">
        <x:v>2</x:v>
      </x:c>
      <x:c r="F192" s="17" t="str">
        <x:v>T02</x:v>
      </x:c>
      <x:c r="G192" s="17" t="str">
        <x:v>5 mT连续</x:v>
      </x:c>
      <x:c r="H192" s="17" t="n">
        <x:v>3</x:v>
      </x:c>
      <x:c r="I192" s="17" t="n">
        <x:v>12</x:v>
      </x:c>
      <x:c r="J192" s="17" t="n">
        <x:v>2</x:v>
      </x:c>
      <x:c r="K192" s="17" t="n">
        <x:v>14</x:v>
      </x:c>
      <x:c r="L192" s="17" t="str">
        <x:v>分层区组</x:v>
      </x:c>
      <x:c r="M192" s="17" t="str">
        <x:v>检测盲态</x:v>
      </x:c>
      <x:c r="N192" s="17" t="str">
        <x:v>计划</x:v>
      </x:c>
    </x:row>
    <x:row r="193">
      <x:c r="A193" s="17" t="str">
        <x:v>B02-V02-S02-B2</x:v>
      </x:c>
      <x:c r="B193" s="17" t="str">
        <x:v>B02</x:v>
      </x:c>
      <x:c r="C193" s="17" t="str">
        <x:v>V02</x:v>
      </x:c>
      <x:c r="D193" s="17" t="str">
        <x:v>S02</x:v>
      </x:c>
      <x:c r="E193" s="17" t="n">
        <x:v>2</x:v>
      </x:c>
      <x:c r="F193" s="17" t="str">
        <x:v>T02</x:v>
      </x:c>
      <x:c r="G193" s="17" t="str">
        <x:v>5 mT连续</x:v>
      </x:c>
      <x:c r="H193" s="17" t="n">
        <x:v>6</x:v>
      </x:c>
      <x:c r="I193" s="17" t="n">
        <x:v>12</x:v>
      </x:c>
      <x:c r="J193" s="17" t="n">
        <x:v>2</x:v>
      </x:c>
      <x:c r="K193" s="17" t="n">
        <x:v>14</x:v>
      </x:c>
      <x:c r="L193" s="17" t="str">
        <x:v>分层区组</x:v>
      </x:c>
      <x:c r="M193" s="17" t="str">
        <x:v>检测盲态</x:v>
      </x:c>
      <x:c r="N193" s="17" t="str">
        <x:v>计划</x:v>
      </x:c>
    </x:row>
    <x:row r="194">
      <x:c r="A194" s="17" t="str">
        <x:v>B02-V02-S02-B2</x:v>
      </x:c>
      <x:c r="B194" s="17" t="str">
        <x:v>B02</x:v>
      </x:c>
      <x:c r="C194" s="17" t="str">
        <x:v>V02</x:v>
      </x:c>
      <x:c r="D194" s="17" t="str">
        <x:v>S02</x:v>
      </x:c>
      <x:c r="E194" s="17" t="n">
        <x:v>2</x:v>
      </x:c>
      <x:c r="F194" s="17" t="str">
        <x:v>T02</x:v>
      </x:c>
      <x:c r="G194" s="17" t="str">
        <x:v>5 mT连续</x:v>
      </x:c>
      <x:c r="H194" s="17" t="n">
        <x:v>9</x:v>
      </x:c>
      <x:c r="I194" s="17" t="n">
        <x:v>12</x:v>
      </x:c>
      <x:c r="J194" s="17" t="n">
        <x:v>2</x:v>
      </x:c>
      <x:c r="K194" s="17" t="n">
        <x:v>14</x:v>
      </x:c>
      <x:c r="L194" s="17" t="str">
        <x:v>分层区组</x:v>
      </x:c>
      <x:c r="M194" s="17" t="str">
        <x:v>检测盲态</x:v>
      </x:c>
      <x:c r="N194" s="17" t="str">
        <x:v>计划</x:v>
      </x:c>
    </x:row>
    <x:row r="195">
      <x:c r="A195" s="17" t="str">
        <x:v>B02-V02-S02-B2</x:v>
      </x:c>
      <x:c r="B195" s="17" t="str">
        <x:v>B02</x:v>
      </x:c>
      <x:c r="C195" s="17" t="str">
        <x:v>V02</x:v>
      </x:c>
      <x:c r="D195" s="17" t="str">
        <x:v>S02</x:v>
      </x:c>
      <x:c r="E195" s="17" t="n">
        <x:v>2</x:v>
      </x:c>
      <x:c r="F195" s="17" t="str">
        <x:v>T02</x:v>
      </x:c>
      <x:c r="G195" s="17" t="str">
        <x:v>5 mT连续</x:v>
      </x:c>
      <x:c r="H195" s="17" t="n">
        <x:v>12</x:v>
      </x:c>
      <x:c r="I195" s="17" t="n">
        <x:v>12</x:v>
      </x:c>
      <x:c r="J195" s="17" t="n">
        <x:v>2</x:v>
      </x:c>
      <x:c r="K195" s="17" t="n">
        <x:v>14</x:v>
      </x:c>
      <x:c r="L195" s="17" t="str">
        <x:v>分层区组</x:v>
      </x:c>
      <x:c r="M195" s="17" t="str">
        <x:v>检测盲态</x:v>
      </x:c>
      <x:c r="N195" s="17" t="str">
        <x:v>计划</x:v>
      </x:c>
    </x:row>
    <x:row r="196">
      <x:c r="A196" s="17" t="str">
        <x:v>B02-V02-S02-B2</x:v>
      </x:c>
      <x:c r="B196" s="17" t="str">
        <x:v>B02</x:v>
      </x:c>
      <x:c r="C196" s="17" t="str">
        <x:v>V02</x:v>
      </x:c>
      <x:c r="D196" s="17" t="str">
        <x:v>S02</x:v>
      </x:c>
      <x:c r="E196" s="17" t="n">
        <x:v>2</x:v>
      </x:c>
      <x:c r="F196" s="17" t="str">
        <x:v>T02</x:v>
      </x:c>
      <x:c r="G196" s="17" t="str">
        <x:v>5 mT连续</x:v>
      </x:c>
      <x:c r="H196" s="17" t="n">
        <x:v>15</x:v>
      </x:c>
      <x:c r="I196" s="17" t="n">
        <x:v>12</x:v>
      </x:c>
      <x:c r="J196" s="17" t="n">
        <x:v>2</x:v>
      </x:c>
      <x:c r="K196" s="17" t="n">
        <x:v>14</x:v>
      </x:c>
      <x:c r="L196" s="17" t="str">
        <x:v>分层区组</x:v>
      </x:c>
      <x:c r="M196" s="17" t="str">
        <x:v>检测盲态</x:v>
      </x:c>
      <x:c r="N196" s="17" t="str">
        <x:v>计划</x:v>
      </x:c>
    </x:row>
    <x:row r="197">
      <x:c r="A197" s="17" t="str">
        <x:v>B03-V01-S01-B1</x:v>
      </x:c>
      <x:c r="B197" s="17" t="str">
        <x:v>B03</x:v>
      </x:c>
      <x:c r="C197" s="17" t="str">
        <x:v>V01</x:v>
      </x:c>
      <x:c r="D197" s="17" t="str">
        <x:v>S01</x:v>
      </x:c>
      <x:c r="E197" s="17" t="n">
        <x:v>1</x:v>
      </x:c>
      <x:c r="F197" s="17" t="str">
        <x:v>T01</x:v>
      </x:c>
      <x:c r="G197" s="17" t="str">
        <x:v>0 mT对照</x:v>
      </x:c>
      <x:c r="H197" s="17" t="n">
        <x:v>0</x:v>
      </x:c>
      <x:c r="I197" s="17" t="n">
        <x:v>12</x:v>
      </x:c>
      <x:c r="J197" s="17" t="n">
        <x:v>2</x:v>
      </x:c>
      <x:c r="K197" s="17" t="n">
        <x:v>14</x:v>
      </x:c>
      <x:c r="L197" s="17" t="str">
        <x:v>分层区组</x:v>
      </x:c>
      <x:c r="M197" s="17" t="str">
        <x:v>检测盲态</x:v>
      </x:c>
      <x:c r="N197" s="17" t="str">
        <x:v>计划</x:v>
      </x:c>
    </x:row>
    <x:row r="198">
      <x:c r="A198" s="17" t="str">
        <x:v>B03-V01-S01-B1</x:v>
      </x:c>
      <x:c r="B198" s="17" t="str">
        <x:v>B03</x:v>
      </x:c>
      <x:c r="C198" s="17" t="str">
        <x:v>V01</x:v>
      </x:c>
      <x:c r="D198" s="17" t="str">
        <x:v>S01</x:v>
      </x:c>
      <x:c r="E198" s="17" t="n">
        <x:v>1</x:v>
      </x:c>
      <x:c r="F198" s="17" t="str">
        <x:v>T01</x:v>
      </x:c>
      <x:c r="G198" s="17" t="str">
        <x:v>0 mT对照</x:v>
      </x:c>
      <x:c r="H198" s="17" t="n">
        <x:v>3</x:v>
      </x:c>
      <x:c r="I198" s="17" t="n">
        <x:v>12</x:v>
      </x:c>
      <x:c r="J198" s="17" t="n">
        <x:v>2</x:v>
      </x:c>
      <x:c r="K198" s="17" t="n">
        <x:v>14</x:v>
      </x:c>
      <x:c r="L198" s="17" t="str">
        <x:v>分层区组</x:v>
      </x:c>
      <x:c r="M198" s="17" t="str">
        <x:v>检测盲态</x:v>
      </x:c>
      <x:c r="N198" s="17" t="str">
        <x:v>计划</x:v>
      </x:c>
    </x:row>
    <x:row r="199">
      <x:c r="A199" s="17" t="str">
        <x:v>B03-V01-S01-B1</x:v>
      </x:c>
      <x:c r="B199" s="17" t="str">
        <x:v>B03</x:v>
      </x:c>
      <x:c r="C199" s="17" t="str">
        <x:v>V01</x:v>
      </x:c>
      <x:c r="D199" s="17" t="str">
        <x:v>S01</x:v>
      </x:c>
      <x:c r="E199" s="17" t="n">
        <x:v>1</x:v>
      </x:c>
      <x:c r="F199" s="17" t="str">
        <x:v>T01</x:v>
      </x:c>
      <x:c r="G199" s="17" t="str">
        <x:v>0 mT对照</x:v>
      </x:c>
      <x:c r="H199" s="17" t="n">
        <x:v>6</x:v>
      </x:c>
      <x:c r="I199" s="17" t="n">
        <x:v>12</x:v>
      </x:c>
      <x:c r="J199" s="17" t="n">
        <x:v>2</x:v>
      </x:c>
      <x:c r="K199" s="17" t="n">
        <x:v>14</x:v>
      </x:c>
      <x:c r="L199" s="17" t="str">
        <x:v>分层区组</x:v>
      </x:c>
      <x:c r="M199" s="17" t="str">
        <x:v>检测盲态</x:v>
      </x:c>
      <x:c r="N199" s="17" t="str">
        <x:v>计划</x:v>
      </x:c>
    </x:row>
    <x:row r="200">
      <x:c r="A200" s="17" t="str">
        <x:v>B03-V01-S01-B1</x:v>
      </x:c>
      <x:c r="B200" s="17" t="str">
        <x:v>B03</x:v>
      </x:c>
      <x:c r="C200" s="17" t="str">
        <x:v>V01</x:v>
      </x:c>
      <x:c r="D200" s="17" t="str">
        <x:v>S01</x:v>
      </x:c>
      <x:c r="E200" s="17" t="n">
        <x:v>1</x:v>
      </x:c>
      <x:c r="F200" s="17" t="str">
        <x:v>T01</x:v>
      </x:c>
      <x:c r="G200" s="17" t="str">
        <x:v>0 mT对照</x:v>
      </x:c>
      <x:c r="H200" s="17" t="n">
        <x:v>9</x:v>
      </x:c>
      <x:c r="I200" s="17" t="n">
        <x:v>12</x:v>
      </x:c>
      <x:c r="J200" s="17" t="n">
        <x:v>2</x:v>
      </x:c>
      <x:c r="K200" s="17" t="n">
        <x:v>14</x:v>
      </x:c>
      <x:c r="L200" s="17" t="str">
        <x:v>分层区组</x:v>
      </x:c>
      <x:c r="M200" s="17" t="str">
        <x:v>检测盲态</x:v>
      </x:c>
      <x:c r="N200" s="17" t="str">
        <x:v>计划</x:v>
      </x:c>
    </x:row>
    <x:row r="201">
      <x:c r="A201" s="17" t="str">
        <x:v>B03-V01-S01-B1</x:v>
      </x:c>
      <x:c r="B201" s="17" t="str">
        <x:v>B03</x:v>
      </x:c>
      <x:c r="C201" s="17" t="str">
        <x:v>V01</x:v>
      </x:c>
      <x:c r="D201" s="17" t="str">
        <x:v>S01</x:v>
      </x:c>
      <x:c r="E201" s="17" t="n">
        <x:v>1</x:v>
      </x:c>
      <x:c r="F201" s="17" t="str">
        <x:v>T01</x:v>
      </x:c>
      <x:c r="G201" s="17" t="str">
        <x:v>0 mT对照</x:v>
      </x:c>
      <x:c r="H201" s="17" t="n">
        <x:v>12</x:v>
      </x:c>
      <x:c r="I201" s="17" t="n">
        <x:v>12</x:v>
      </x:c>
      <x:c r="J201" s="17" t="n">
        <x:v>2</x:v>
      </x:c>
      <x:c r="K201" s="17" t="n">
        <x:v>14</x:v>
      </x:c>
      <x:c r="L201" s="17" t="str">
        <x:v>分层区组</x:v>
      </x:c>
      <x:c r="M201" s="17" t="str">
        <x:v>检测盲态</x:v>
      </x:c>
      <x:c r="N201" s="17" t="str">
        <x:v>计划</x:v>
      </x:c>
    </x:row>
    <x:row r="202">
      <x:c r="A202" s="17" t="str">
        <x:v>B03-V01-S01-B1</x:v>
      </x:c>
      <x:c r="B202" s="17" t="str">
        <x:v>B03</x:v>
      </x:c>
      <x:c r="C202" s="17" t="str">
        <x:v>V01</x:v>
      </x:c>
      <x:c r="D202" s="17" t="str">
        <x:v>S01</x:v>
      </x:c>
      <x:c r="E202" s="17" t="n">
        <x:v>1</x:v>
      </x:c>
      <x:c r="F202" s="17" t="str">
        <x:v>T01</x:v>
      </x:c>
      <x:c r="G202" s="17" t="str">
        <x:v>0 mT对照</x:v>
      </x:c>
      <x:c r="H202" s="17" t="n">
        <x:v>15</x:v>
      </x:c>
      <x:c r="I202" s="17" t="n">
        <x:v>12</x:v>
      </x:c>
      <x:c r="J202" s="17" t="n">
        <x:v>2</x:v>
      </x:c>
      <x:c r="K202" s="17" t="n">
        <x:v>14</x:v>
      </x:c>
      <x:c r="L202" s="17" t="str">
        <x:v>分层区组</x:v>
      </x:c>
      <x:c r="M202" s="17" t="str">
        <x:v>检测盲态</x:v>
      </x:c>
      <x:c r="N202" s="17" t="str">
        <x:v>计划</x:v>
      </x:c>
    </x:row>
    <x:row r="203">
      <x:c r="A203" s="17" t="str">
        <x:v>B03-V01-S01-B1</x:v>
      </x:c>
      <x:c r="B203" s="17" t="str">
        <x:v>B03</x:v>
      </x:c>
      <x:c r="C203" s="17" t="str">
        <x:v>V01</x:v>
      </x:c>
      <x:c r="D203" s="17" t="str">
        <x:v>S01</x:v>
      </x:c>
      <x:c r="E203" s="17" t="n">
        <x:v>1</x:v>
      </x:c>
      <x:c r="F203" s="17" t="str">
        <x:v>T02</x:v>
      </x:c>
      <x:c r="G203" s="17" t="str">
        <x:v>5 mT连续</x:v>
      </x:c>
      <x:c r="H203" s="17" t="n">
        <x:v>0</x:v>
      </x:c>
      <x:c r="I203" s="17" t="n">
        <x:v>12</x:v>
      </x:c>
      <x:c r="J203" s="17" t="n">
        <x:v>2</x:v>
      </x:c>
      <x:c r="K203" s="17" t="n">
        <x:v>14</x:v>
      </x:c>
      <x:c r="L203" s="17" t="str">
        <x:v>分层区组</x:v>
      </x:c>
      <x:c r="M203" s="17" t="str">
        <x:v>检测盲态</x:v>
      </x:c>
      <x:c r="N203" s="17" t="str">
        <x:v>计划</x:v>
      </x:c>
    </x:row>
    <x:row r="204">
      <x:c r="A204" s="17" t="str">
        <x:v>B03-V01-S01-B1</x:v>
      </x:c>
      <x:c r="B204" s="17" t="str">
        <x:v>B03</x:v>
      </x:c>
      <x:c r="C204" s="17" t="str">
        <x:v>V01</x:v>
      </x:c>
      <x:c r="D204" s="17" t="str">
        <x:v>S01</x:v>
      </x:c>
      <x:c r="E204" s="17" t="n">
        <x:v>1</x:v>
      </x:c>
      <x:c r="F204" s="17" t="str">
        <x:v>T02</x:v>
      </x:c>
      <x:c r="G204" s="17" t="str">
        <x:v>5 mT连续</x:v>
      </x:c>
      <x:c r="H204" s="17" t="n">
        <x:v>3</x:v>
      </x:c>
      <x:c r="I204" s="17" t="n">
        <x:v>12</x:v>
      </x:c>
      <x:c r="J204" s="17" t="n">
        <x:v>2</x:v>
      </x:c>
      <x:c r="K204" s="17" t="n">
        <x:v>14</x:v>
      </x:c>
      <x:c r="L204" s="17" t="str">
        <x:v>分层区组</x:v>
      </x:c>
      <x:c r="M204" s="17" t="str">
        <x:v>检测盲态</x:v>
      </x:c>
      <x:c r="N204" s="17" t="str">
        <x:v>计划</x:v>
      </x:c>
    </x:row>
    <x:row r="205">
      <x:c r="A205" s="17" t="str">
        <x:v>B03-V01-S01-B1</x:v>
      </x:c>
      <x:c r="B205" s="17" t="str">
        <x:v>B03</x:v>
      </x:c>
      <x:c r="C205" s="17" t="str">
        <x:v>V01</x:v>
      </x:c>
      <x:c r="D205" s="17" t="str">
        <x:v>S01</x:v>
      </x:c>
      <x:c r="E205" s="17" t="n">
        <x:v>1</x:v>
      </x:c>
      <x:c r="F205" s="17" t="str">
        <x:v>T02</x:v>
      </x:c>
      <x:c r="G205" s="17" t="str">
        <x:v>5 mT连续</x:v>
      </x:c>
      <x:c r="H205" s="17" t="n">
        <x:v>6</x:v>
      </x:c>
      <x:c r="I205" s="17" t="n">
        <x:v>12</x:v>
      </x:c>
      <x:c r="J205" s="17" t="n">
        <x:v>2</x:v>
      </x:c>
      <x:c r="K205" s="17" t="n">
        <x:v>14</x:v>
      </x:c>
      <x:c r="L205" s="17" t="str">
        <x:v>分层区组</x:v>
      </x:c>
      <x:c r="M205" s="17" t="str">
        <x:v>检测盲态</x:v>
      </x:c>
      <x:c r="N205" s="17" t="str">
        <x:v>计划</x:v>
      </x:c>
    </x:row>
    <x:row r="206">
      <x:c r="A206" s="17" t="str">
        <x:v>B03-V01-S01-B1</x:v>
      </x:c>
      <x:c r="B206" s="17" t="str">
        <x:v>B03</x:v>
      </x:c>
      <x:c r="C206" s="17" t="str">
        <x:v>V01</x:v>
      </x:c>
      <x:c r="D206" s="17" t="str">
        <x:v>S01</x:v>
      </x:c>
      <x:c r="E206" s="17" t="n">
        <x:v>1</x:v>
      </x:c>
      <x:c r="F206" s="17" t="str">
        <x:v>T02</x:v>
      </x:c>
      <x:c r="G206" s="17" t="str">
        <x:v>5 mT连续</x:v>
      </x:c>
      <x:c r="H206" s="17" t="n">
        <x:v>9</x:v>
      </x:c>
      <x:c r="I206" s="17" t="n">
        <x:v>12</x:v>
      </x:c>
      <x:c r="J206" s="17" t="n">
        <x:v>2</x:v>
      </x:c>
      <x:c r="K206" s="17" t="n">
        <x:v>14</x:v>
      </x:c>
      <x:c r="L206" s="17" t="str">
        <x:v>分层区组</x:v>
      </x:c>
      <x:c r="M206" s="17" t="str">
        <x:v>检测盲态</x:v>
      </x:c>
      <x:c r="N206" s="17" t="str">
        <x:v>计划</x:v>
      </x:c>
    </x:row>
    <x:row r="207">
      <x:c r="A207" s="17" t="str">
        <x:v>B03-V01-S01-B1</x:v>
      </x:c>
      <x:c r="B207" s="17" t="str">
        <x:v>B03</x:v>
      </x:c>
      <x:c r="C207" s="17" t="str">
        <x:v>V01</x:v>
      </x:c>
      <x:c r="D207" s="17" t="str">
        <x:v>S01</x:v>
      </x:c>
      <x:c r="E207" s="17" t="n">
        <x:v>1</x:v>
      </x:c>
      <x:c r="F207" s="17" t="str">
        <x:v>T02</x:v>
      </x:c>
      <x:c r="G207" s="17" t="str">
        <x:v>5 mT连续</x:v>
      </x:c>
      <x:c r="H207" s="17" t="n">
        <x:v>12</x:v>
      </x:c>
      <x:c r="I207" s="17" t="n">
        <x:v>12</x:v>
      </x:c>
      <x:c r="J207" s="17" t="n">
        <x:v>2</x:v>
      </x:c>
      <x:c r="K207" s="17" t="n">
        <x:v>14</x:v>
      </x:c>
      <x:c r="L207" s="17" t="str">
        <x:v>分层区组</x:v>
      </x:c>
      <x:c r="M207" s="17" t="str">
        <x:v>检测盲态</x:v>
      </x:c>
      <x:c r="N207" s="17" t="str">
        <x:v>计划</x:v>
      </x:c>
    </x:row>
    <x:row r="208">
      <x:c r="A208" s="17" t="str">
        <x:v>B03-V01-S01-B1</x:v>
      </x:c>
      <x:c r="B208" s="17" t="str">
        <x:v>B03</x:v>
      </x:c>
      <x:c r="C208" s="17" t="str">
        <x:v>V01</x:v>
      </x:c>
      <x:c r="D208" s="17" t="str">
        <x:v>S01</x:v>
      </x:c>
      <x:c r="E208" s="17" t="n">
        <x:v>1</x:v>
      </x:c>
      <x:c r="F208" s="17" t="str">
        <x:v>T02</x:v>
      </x:c>
      <x:c r="G208" s="17" t="str">
        <x:v>5 mT连续</x:v>
      </x:c>
      <x:c r="H208" s="17" t="n">
        <x:v>15</x:v>
      </x:c>
      <x:c r="I208" s="17" t="n">
        <x:v>12</x:v>
      </x:c>
      <x:c r="J208" s="17" t="n">
        <x:v>2</x:v>
      </x:c>
      <x:c r="K208" s="17" t="n">
        <x:v>14</x:v>
      </x:c>
      <x:c r="L208" s="17" t="str">
        <x:v>分层区组</x:v>
      </x:c>
      <x:c r="M208" s="17" t="str">
        <x:v>检测盲态</x:v>
      </x:c>
      <x:c r="N208" s="17" t="str">
        <x:v>计划</x:v>
      </x:c>
    </x:row>
    <x:row r="209">
      <x:c r="A209" s="17" t="str">
        <x:v>B03-V01-S01-B2</x:v>
      </x:c>
      <x:c r="B209" s="17" t="str">
        <x:v>B03</x:v>
      </x:c>
      <x:c r="C209" s="17" t="str">
        <x:v>V01</x:v>
      </x:c>
      <x:c r="D209" s="17" t="str">
        <x:v>S01</x:v>
      </x:c>
      <x:c r="E209" s="17" t="n">
        <x:v>2</x:v>
      </x:c>
      <x:c r="F209" s="17" t="str">
        <x:v>T01</x:v>
      </x:c>
      <x:c r="G209" s="17" t="str">
        <x:v>0 mT对照</x:v>
      </x:c>
      <x:c r="H209" s="17" t="n">
        <x:v>0</x:v>
      </x:c>
      <x:c r="I209" s="17" t="n">
        <x:v>12</x:v>
      </x:c>
      <x:c r="J209" s="17" t="n">
        <x:v>2</x:v>
      </x:c>
      <x:c r="K209" s="17" t="n">
        <x:v>14</x:v>
      </x:c>
      <x:c r="L209" s="17" t="str">
        <x:v>分层区组</x:v>
      </x:c>
      <x:c r="M209" s="17" t="str">
        <x:v>检测盲态</x:v>
      </x:c>
      <x:c r="N209" s="17" t="str">
        <x:v>计划</x:v>
      </x:c>
    </x:row>
    <x:row r="210">
      <x:c r="A210" s="17" t="str">
        <x:v>B03-V01-S01-B2</x:v>
      </x:c>
      <x:c r="B210" s="17" t="str">
        <x:v>B03</x:v>
      </x:c>
      <x:c r="C210" s="17" t="str">
        <x:v>V01</x:v>
      </x:c>
      <x:c r="D210" s="17" t="str">
        <x:v>S01</x:v>
      </x:c>
      <x:c r="E210" s="17" t="n">
        <x:v>2</x:v>
      </x:c>
      <x:c r="F210" s="17" t="str">
        <x:v>T01</x:v>
      </x:c>
      <x:c r="G210" s="17" t="str">
        <x:v>0 mT对照</x:v>
      </x:c>
      <x:c r="H210" s="17" t="n">
        <x:v>3</x:v>
      </x:c>
      <x:c r="I210" s="17" t="n">
        <x:v>12</x:v>
      </x:c>
      <x:c r="J210" s="17" t="n">
        <x:v>2</x:v>
      </x:c>
      <x:c r="K210" s="17" t="n">
        <x:v>14</x:v>
      </x:c>
      <x:c r="L210" s="17" t="str">
        <x:v>分层区组</x:v>
      </x:c>
      <x:c r="M210" s="17" t="str">
        <x:v>检测盲态</x:v>
      </x:c>
      <x:c r="N210" s="17" t="str">
        <x:v>计划</x:v>
      </x:c>
    </x:row>
    <x:row r="211">
      <x:c r="A211" s="17" t="str">
        <x:v>B03-V01-S01-B2</x:v>
      </x:c>
      <x:c r="B211" s="17" t="str">
        <x:v>B03</x:v>
      </x:c>
      <x:c r="C211" s="17" t="str">
        <x:v>V01</x:v>
      </x:c>
      <x:c r="D211" s="17" t="str">
        <x:v>S01</x:v>
      </x:c>
      <x:c r="E211" s="17" t="n">
        <x:v>2</x:v>
      </x:c>
      <x:c r="F211" s="17" t="str">
        <x:v>T01</x:v>
      </x:c>
      <x:c r="G211" s="17" t="str">
        <x:v>0 mT对照</x:v>
      </x:c>
      <x:c r="H211" s="17" t="n">
        <x:v>6</x:v>
      </x:c>
      <x:c r="I211" s="17" t="n">
        <x:v>12</x:v>
      </x:c>
      <x:c r="J211" s="17" t="n">
        <x:v>2</x:v>
      </x:c>
      <x:c r="K211" s="17" t="n">
        <x:v>14</x:v>
      </x:c>
      <x:c r="L211" s="17" t="str">
        <x:v>分层区组</x:v>
      </x:c>
      <x:c r="M211" s="17" t="str">
        <x:v>检测盲态</x:v>
      </x:c>
      <x:c r="N211" s="17" t="str">
        <x:v>计划</x:v>
      </x:c>
    </x:row>
    <x:row r="212">
      <x:c r="A212" s="17" t="str">
        <x:v>B03-V01-S01-B2</x:v>
      </x:c>
      <x:c r="B212" s="17" t="str">
        <x:v>B03</x:v>
      </x:c>
      <x:c r="C212" s="17" t="str">
        <x:v>V01</x:v>
      </x:c>
      <x:c r="D212" s="17" t="str">
        <x:v>S01</x:v>
      </x:c>
      <x:c r="E212" s="17" t="n">
        <x:v>2</x:v>
      </x:c>
      <x:c r="F212" s="17" t="str">
        <x:v>T01</x:v>
      </x:c>
      <x:c r="G212" s="17" t="str">
        <x:v>0 mT对照</x:v>
      </x:c>
      <x:c r="H212" s="17" t="n">
        <x:v>9</x:v>
      </x:c>
      <x:c r="I212" s="17" t="n">
        <x:v>12</x:v>
      </x:c>
      <x:c r="J212" s="17" t="n">
        <x:v>2</x:v>
      </x:c>
      <x:c r="K212" s="17" t="n">
        <x:v>14</x:v>
      </x:c>
      <x:c r="L212" s="17" t="str">
        <x:v>分层区组</x:v>
      </x:c>
      <x:c r="M212" s="17" t="str">
        <x:v>检测盲态</x:v>
      </x:c>
      <x:c r="N212" s="17" t="str">
        <x:v>计划</x:v>
      </x:c>
    </x:row>
    <x:row r="213">
      <x:c r="A213" s="17" t="str">
        <x:v>B03-V01-S01-B2</x:v>
      </x:c>
      <x:c r="B213" s="17" t="str">
        <x:v>B03</x:v>
      </x:c>
      <x:c r="C213" s="17" t="str">
        <x:v>V01</x:v>
      </x:c>
      <x:c r="D213" s="17" t="str">
        <x:v>S01</x:v>
      </x:c>
      <x:c r="E213" s="17" t="n">
        <x:v>2</x:v>
      </x:c>
      <x:c r="F213" s="17" t="str">
        <x:v>T01</x:v>
      </x:c>
      <x:c r="G213" s="17" t="str">
        <x:v>0 mT对照</x:v>
      </x:c>
      <x:c r="H213" s="17" t="n">
        <x:v>12</x:v>
      </x:c>
      <x:c r="I213" s="17" t="n">
        <x:v>12</x:v>
      </x:c>
      <x:c r="J213" s="17" t="n">
        <x:v>2</x:v>
      </x:c>
      <x:c r="K213" s="17" t="n">
        <x:v>14</x:v>
      </x:c>
      <x:c r="L213" s="17" t="str">
        <x:v>分层区组</x:v>
      </x:c>
      <x:c r="M213" s="17" t="str">
        <x:v>检测盲态</x:v>
      </x:c>
      <x:c r="N213" s="17" t="str">
        <x:v>计划</x:v>
      </x:c>
    </x:row>
    <x:row r="214">
      <x:c r="A214" s="17" t="str">
        <x:v>B03-V01-S01-B2</x:v>
      </x:c>
      <x:c r="B214" s="17" t="str">
        <x:v>B03</x:v>
      </x:c>
      <x:c r="C214" s="17" t="str">
        <x:v>V01</x:v>
      </x:c>
      <x:c r="D214" s="17" t="str">
        <x:v>S01</x:v>
      </x:c>
      <x:c r="E214" s="17" t="n">
        <x:v>2</x:v>
      </x:c>
      <x:c r="F214" s="17" t="str">
        <x:v>T01</x:v>
      </x:c>
      <x:c r="G214" s="17" t="str">
        <x:v>0 mT对照</x:v>
      </x:c>
      <x:c r="H214" s="17" t="n">
        <x:v>15</x:v>
      </x:c>
      <x:c r="I214" s="17" t="n">
        <x:v>12</x:v>
      </x:c>
      <x:c r="J214" s="17" t="n">
        <x:v>2</x:v>
      </x:c>
      <x:c r="K214" s="17" t="n">
        <x:v>14</x:v>
      </x:c>
      <x:c r="L214" s="17" t="str">
        <x:v>分层区组</x:v>
      </x:c>
      <x:c r="M214" s="17" t="str">
        <x:v>检测盲态</x:v>
      </x:c>
      <x:c r="N214" s="17" t="str">
        <x:v>计划</x:v>
      </x:c>
    </x:row>
    <x:row r="215">
      <x:c r="A215" s="17" t="str">
        <x:v>B03-V01-S01-B2</x:v>
      </x:c>
      <x:c r="B215" s="17" t="str">
        <x:v>B03</x:v>
      </x:c>
      <x:c r="C215" s="17" t="str">
        <x:v>V01</x:v>
      </x:c>
      <x:c r="D215" s="17" t="str">
        <x:v>S01</x:v>
      </x:c>
      <x:c r="E215" s="17" t="n">
        <x:v>2</x:v>
      </x:c>
      <x:c r="F215" s="17" t="str">
        <x:v>T02</x:v>
      </x:c>
      <x:c r="G215" s="17" t="str">
        <x:v>5 mT连续</x:v>
      </x:c>
      <x:c r="H215" s="17" t="n">
        <x:v>0</x:v>
      </x:c>
      <x:c r="I215" s="17" t="n">
        <x:v>12</x:v>
      </x:c>
      <x:c r="J215" s="17" t="n">
        <x:v>2</x:v>
      </x:c>
      <x:c r="K215" s="17" t="n">
        <x:v>14</x:v>
      </x:c>
      <x:c r="L215" s="17" t="str">
        <x:v>分层区组</x:v>
      </x:c>
      <x:c r="M215" s="17" t="str">
        <x:v>检测盲态</x:v>
      </x:c>
      <x:c r="N215" s="17" t="str">
        <x:v>计划</x:v>
      </x:c>
    </x:row>
    <x:row r="216">
      <x:c r="A216" s="17" t="str">
        <x:v>B03-V01-S01-B2</x:v>
      </x:c>
      <x:c r="B216" s="17" t="str">
        <x:v>B03</x:v>
      </x:c>
      <x:c r="C216" s="17" t="str">
        <x:v>V01</x:v>
      </x:c>
      <x:c r="D216" s="17" t="str">
        <x:v>S01</x:v>
      </x:c>
      <x:c r="E216" s="17" t="n">
        <x:v>2</x:v>
      </x:c>
      <x:c r="F216" s="17" t="str">
        <x:v>T02</x:v>
      </x:c>
      <x:c r="G216" s="17" t="str">
        <x:v>5 mT连续</x:v>
      </x:c>
      <x:c r="H216" s="17" t="n">
        <x:v>3</x:v>
      </x:c>
      <x:c r="I216" s="17" t="n">
        <x:v>12</x:v>
      </x:c>
      <x:c r="J216" s="17" t="n">
        <x:v>2</x:v>
      </x:c>
      <x:c r="K216" s="17" t="n">
        <x:v>14</x:v>
      </x:c>
      <x:c r="L216" s="17" t="str">
        <x:v>分层区组</x:v>
      </x:c>
      <x:c r="M216" s="17" t="str">
        <x:v>检测盲态</x:v>
      </x:c>
      <x:c r="N216" s="17" t="str">
        <x:v>计划</x:v>
      </x:c>
    </x:row>
    <x:row r="217">
      <x:c r="A217" s="17" t="str">
        <x:v>B03-V01-S01-B2</x:v>
      </x:c>
      <x:c r="B217" s="17" t="str">
        <x:v>B03</x:v>
      </x:c>
      <x:c r="C217" s="17" t="str">
        <x:v>V01</x:v>
      </x:c>
      <x:c r="D217" s="17" t="str">
        <x:v>S01</x:v>
      </x:c>
      <x:c r="E217" s="17" t="n">
        <x:v>2</x:v>
      </x:c>
      <x:c r="F217" s="17" t="str">
        <x:v>T02</x:v>
      </x:c>
      <x:c r="G217" s="17" t="str">
        <x:v>5 mT连续</x:v>
      </x:c>
      <x:c r="H217" s="17" t="n">
        <x:v>6</x:v>
      </x:c>
      <x:c r="I217" s="17" t="n">
        <x:v>12</x:v>
      </x:c>
      <x:c r="J217" s="17" t="n">
        <x:v>2</x:v>
      </x:c>
      <x:c r="K217" s="17" t="n">
        <x:v>14</x:v>
      </x:c>
      <x:c r="L217" s="17" t="str">
        <x:v>分层区组</x:v>
      </x:c>
      <x:c r="M217" s="17" t="str">
        <x:v>检测盲态</x:v>
      </x:c>
      <x:c r="N217" s="17" t="str">
        <x:v>计划</x:v>
      </x:c>
    </x:row>
    <x:row r="218">
      <x:c r="A218" s="17" t="str">
        <x:v>B03-V01-S01-B2</x:v>
      </x:c>
      <x:c r="B218" s="17" t="str">
        <x:v>B03</x:v>
      </x:c>
      <x:c r="C218" s="17" t="str">
        <x:v>V01</x:v>
      </x:c>
      <x:c r="D218" s="17" t="str">
        <x:v>S01</x:v>
      </x:c>
      <x:c r="E218" s="17" t="n">
        <x:v>2</x:v>
      </x:c>
      <x:c r="F218" s="17" t="str">
        <x:v>T02</x:v>
      </x:c>
      <x:c r="G218" s="17" t="str">
        <x:v>5 mT连续</x:v>
      </x:c>
      <x:c r="H218" s="17" t="n">
        <x:v>9</x:v>
      </x:c>
      <x:c r="I218" s="17" t="n">
        <x:v>12</x:v>
      </x:c>
      <x:c r="J218" s="17" t="n">
        <x:v>2</x:v>
      </x:c>
      <x:c r="K218" s="17" t="n">
        <x:v>14</x:v>
      </x:c>
      <x:c r="L218" s="17" t="str">
        <x:v>分层区组</x:v>
      </x:c>
      <x:c r="M218" s="17" t="str">
        <x:v>检测盲态</x:v>
      </x:c>
      <x:c r="N218" s="17" t="str">
        <x:v>计划</x:v>
      </x:c>
    </x:row>
    <x:row r="219">
      <x:c r="A219" s="17" t="str">
        <x:v>B03-V01-S01-B2</x:v>
      </x:c>
      <x:c r="B219" s="17" t="str">
        <x:v>B03</x:v>
      </x:c>
      <x:c r="C219" s="17" t="str">
        <x:v>V01</x:v>
      </x:c>
      <x:c r="D219" s="17" t="str">
        <x:v>S01</x:v>
      </x:c>
      <x:c r="E219" s="17" t="n">
        <x:v>2</x:v>
      </x:c>
      <x:c r="F219" s="17" t="str">
        <x:v>T02</x:v>
      </x:c>
      <x:c r="G219" s="17" t="str">
        <x:v>5 mT连续</x:v>
      </x:c>
      <x:c r="H219" s="17" t="n">
        <x:v>12</x:v>
      </x:c>
      <x:c r="I219" s="17" t="n">
        <x:v>12</x:v>
      </x:c>
      <x:c r="J219" s="17" t="n">
        <x:v>2</x:v>
      </x:c>
      <x:c r="K219" s="17" t="n">
        <x:v>14</x:v>
      </x:c>
      <x:c r="L219" s="17" t="str">
        <x:v>分层区组</x:v>
      </x:c>
      <x:c r="M219" s="17" t="str">
        <x:v>检测盲态</x:v>
      </x:c>
      <x:c r="N219" s="17" t="str">
        <x:v>计划</x:v>
      </x:c>
    </x:row>
    <x:row r="220">
      <x:c r="A220" s="17" t="str">
        <x:v>B03-V01-S01-B2</x:v>
      </x:c>
      <x:c r="B220" s="17" t="str">
        <x:v>B03</x:v>
      </x:c>
      <x:c r="C220" s="17" t="str">
        <x:v>V01</x:v>
      </x:c>
      <x:c r="D220" s="17" t="str">
        <x:v>S01</x:v>
      </x:c>
      <x:c r="E220" s="17" t="n">
        <x:v>2</x:v>
      </x:c>
      <x:c r="F220" s="17" t="str">
        <x:v>T02</x:v>
      </x:c>
      <x:c r="G220" s="17" t="str">
        <x:v>5 mT连续</x:v>
      </x:c>
      <x:c r="H220" s="17" t="n">
        <x:v>15</x:v>
      </x:c>
      <x:c r="I220" s="17" t="n">
        <x:v>12</x:v>
      </x:c>
      <x:c r="J220" s="17" t="n">
        <x:v>2</x:v>
      </x:c>
      <x:c r="K220" s="17" t="n">
        <x:v>14</x:v>
      </x:c>
      <x:c r="L220" s="17" t="str">
        <x:v>分层区组</x:v>
      </x:c>
      <x:c r="M220" s="17" t="str">
        <x:v>检测盲态</x:v>
      </x:c>
      <x:c r="N220" s="17" t="str">
        <x:v>计划</x:v>
      </x:c>
    </x:row>
    <x:row r="221">
      <x:c r="A221" s="17" t="str">
        <x:v>B03-V01-S02-B1</x:v>
      </x:c>
      <x:c r="B221" s="17" t="str">
        <x:v>B03</x:v>
      </x:c>
      <x:c r="C221" s="17" t="str">
        <x:v>V01</x:v>
      </x:c>
      <x:c r="D221" s="17" t="str">
        <x:v>S02</x:v>
      </x:c>
      <x:c r="E221" s="17" t="n">
        <x:v>1</x:v>
      </x:c>
      <x:c r="F221" s="17" t="str">
        <x:v>T01</x:v>
      </x:c>
      <x:c r="G221" s="17" t="str">
        <x:v>0 mT对照</x:v>
      </x:c>
      <x:c r="H221" s="17" t="n">
        <x:v>0</x:v>
      </x:c>
      <x:c r="I221" s="17" t="n">
        <x:v>12</x:v>
      </x:c>
      <x:c r="J221" s="17" t="n">
        <x:v>2</x:v>
      </x:c>
      <x:c r="K221" s="17" t="n">
        <x:v>14</x:v>
      </x:c>
      <x:c r="L221" s="17" t="str">
        <x:v>分层区组</x:v>
      </x:c>
      <x:c r="M221" s="17" t="str">
        <x:v>检测盲态</x:v>
      </x:c>
      <x:c r="N221" s="17" t="str">
        <x:v>计划</x:v>
      </x:c>
    </x:row>
    <x:row r="222">
      <x:c r="A222" s="17" t="str">
        <x:v>B03-V01-S02-B1</x:v>
      </x:c>
      <x:c r="B222" s="17" t="str">
        <x:v>B03</x:v>
      </x:c>
      <x:c r="C222" s="17" t="str">
        <x:v>V01</x:v>
      </x:c>
      <x:c r="D222" s="17" t="str">
        <x:v>S02</x:v>
      </x:c>
      <x:c r="E222" s="17" t="n">
        <x:v>1</x:v>
      </x:c>
      <x:c r="F222" s="17" t="str">
        <x:v>T01</x:v>
      </x:c>
      <x:c r="G222" s="17" t="str">
        <x:v>0 mT对照</x:v>
      </x:c>
      <x:c r="H222" s="17" t="n">
        <x:v>3</x:v>
      </x:c>
      <x:c r="I222" s="17" t="n">
        <x:v>12</x:v>
      </x:c>
      <x:c r="J222" s="17" t="n">
        <x:v>2</x:v>
      </x:c>
      <x:c r="K222" s="17" t="n">
        <x:v>14</x:v>
      </x:c>
      <x:c r="L222" s="17" t="str">
        <x:v>分层区组</x:v>
      </x:c>
      <x:c r="M222" s="17" t="str">
        <x:v>检测盲态</x:v>
      </x:c>
      <x:c r="N222" s="17" t="str">
        <x:v>计划</x:v>
      </x:c>
    </x:row>
    <x:row r="223">
      <x:c r="A223" s="17" t="str">
        <x:v>B03-V01-S02-B1</x:v>
      </x:c>
      <x:c r="B223" s="17" t="str">
        <x:v>B03</x:v>
      </x:c>
      <x:c r="C223" s="17" t="str">
        <x:v>V01</x:v>
      </x:c>
      <x:c r="D223" s="17" t="str">
        <x:v>S02</x:v>
      </x:c>
      <x:c r="E223" s="17" t="n">
        <x:v>1</x:v>
      </x:c>
      <x:c r="F223" s="17" t="str">
        <x:v>T01</x:v>
      </x:c>
      <x:c r="G223" s="17" t="str">
        <x:v>0 mT对照</x:v>
      </x:c>
      <x:c r="H223" s="17" t="n">
        <x:v>6</x:v>
      </x:c>
      <x:c r="I223" s="17" t="n">
        <x:v>12</x:v>
      </x:c>
      <x:c r="J223" s="17" t="n">
        <x:v>2</x:v>
      </x:c>
      <x:c r="K223" s="17" t="n">
        <x:v>14</x:v>
      </x:c>
      <x:c r="L223" s="17" t="str">
        <x:v>分层区组</x:v>
      </x:c>
      <x:c r="M223" s="17" t="str">
        <x:v>检测盲态</x:v>
      </x:c>
      <x:c r="N223" s="17" t="str">
        <x:v>计划</x:v>
      </x:c>
    </x:row>
    <x:row r="224">
      <x:c r="A224" s="17" t="str">
        <x:v>B03-V01-S02-B1</x:v>
      </x:c>
      <x:c r="B224" s="17" t="str">
        <x:v>B03</x:v>
      </x:c>
      <x:c r="C224" s="17" t="str">
        <x:v>V01</x:v>
      </x:c>
      <x:c r="D224" s="17" t="str">
        <x:v>S02</x:v>
      </x:c>
      <x:c r="E224" s="17" t="n">
        <x:v>1</x:v>
      </x:c>
      <x:c r="F224" s="17" t="str">
        <x:v>T01</x:v>
      </x:c>
      <x:c r="G224" s="17" t="str">
        <x:v>0 mT对照</x:v>
      </x:c>
      <x:c r="H224" s="17" t="n">
        <x:v>9</x:v>
      </x:c>
      <x:c r="I224" s="17" t="n">
        <x:v>12</x:v>
      </x:c>
      <x:c r="J224" s="17" t="n">
        <x:v>2</x:v>
      </x:c>
      <x:c r="K224" s="17" t="n">
        <x:v>14</x:v>
      </x:c>
      <x:c r="L224" s="17" t="str">
        <x:v>分层区组</x:v>
      </x:c>
      <x:c r="M224" s="17" t="str">
        <x:v>检测盲态</x:v>
      </x:c>
      <x:c r="N224" s="17" t="str">
        <x:v>计划</x:v>
      </x:c>
    </x:row>
    <x:row r="225">
      <x:c r="A225" s="17" t="str">
        <x:v>B03-V01-S02-B1</x:v>
      </x:c>
      <x:c r="B225" s="17" t="str">
        <x:v>B03</x:v>
      </x:c>
      <x:c r="C225" s="17" t="str">
        <x:v>V01</x:v>
      </x:c>
      <x:c r="D225" s="17" t="str">
        <x:v>S02</x:v>
      </x:c>
      <x:c r="E225" s="17" t="n">
        <x:v>1</x:v>
      </x:c>
      <x:c r="F225" s="17" t="str">
        <x:v>T01</x:v>
      </x:c>
      <x:c r="G225" s="17" t="str">
        <x:v>0 mT对照</x:v>
      </x:c>
      <x:c r="H225" s="17" t="n">
        <x:v>12</x:v>
      </x:c>
      <x:c r="I225" s="17" t="n">
        <x:v>12</x:v>
      </x:c>
      <x:c r="J225" s="17" t="n">
        <x:v>2</x:v>
      </x:c>
      <x:c r="K225" s="17" t="n">
        <x:v>14</x:v>
      </x:c>
      <x:c r="L225" s="17" t="str">
        <x:v>分层区组</x:v>
      </x:c>
      <x:c r="M225" s="17" t="str">
        <x:v>检测盲态</x:v>
      </x:c>
      <x:c r="N225" s="17" t="str">
        <x:v>计划</x:v>
      </x:c>
    </x:row>
    <x:row r="226">
      <x:c r="A226" s="17" t="str">
        <x:v>B03-V01-S02-B1</x:v>
      </x:c>
      <x:c r="B226" s="17" t="str">
        <x:v>B03</x:v>
      </x:c>
      <x:c r="C226" s="17" t="str">
        <x:v>V01</x:v>
      </x:c>
      <x:c r="D226" s="17" t="str">
        <x:v>S02</x:v>
      </x:c>
      <x:c r="E226" s="17" t="n">
        <x:v>1</x:v>
      </x:c>
      <x:c r="F226" s="17" t="str">
        <x:v>T01</x:v>
      </x:c>
      <x:c r="G226" s="17" t="str">
        <x:v>0 mT对照</x:v>
      </x:c>
      <x:c r="H226" s="17" t="n">
        <x:v>15</x:v>
      </x:c>
      <x:c r="I226" s="17" t="n">
        <x:v>12</x:v>
      </x:c>
      <x:c r="J226" s="17" t="n">
        <x:v>2</x:v>
      </x:c>
      <x:c r="K226" s="17" t="n">
        <x:v>14</x:v>
      </x:c>
      <x:c r="L226" s="17" t="str">
        <x:v>分层区组</x:v>
      </x:c>
      <x:c r="M226" s="17" t="str">
        <x:v>检测盲态</x:v>
      </x:c>
      <x:c r="N226" s="17" t="str">
        <x:v>计划</x:v>
      </x:c>
    </x:row>
    <x:row r="227">
      <x:c r="A227" s="17" t="str">
        <x:v>B03-V01-S02-B1</x:v>
      </x:c>
      <x:c r="B227" s="17" t="str">
        <x:v>B03</x:v>
      </x:c>
      <x:c r="C227" s="17" t="str">
        <x:v>V01</x:v>
      </x:c>
      <x:c r="D227" s="17" t="str">
        <x:v>S02</x:v>
      </x:c>
      <x:c r="E227" s="17" t="n">
        <x:v>1</x:v>
      </x:c>
      <x:c r="F227" s="17" t="str">
        <x:v>T02</x:v>
      </x:c>
      <x:c r="G227" s="17" t="str">
        <x:v>5 mT连续</x:v>
      </x:c>
      <x:c r="H227" s="17" t="n">
        <x:v>0</x:v>
      </x:c>
      <x:c r="I227" s="17" t="n">
        <x:v>12</x:v>
      </x:c>
      <x:c r="J227" s="17" t="n">
        <x:v>2</x:v>
      </x:c>
      <x:c r="K227" s="17" t="n">
        <x:v>14</x:v>
      </x:c>
      <x:c r="L227" s="17" t="str">
        <x:v>分层区组</x:v>
      </x:c>
      <x:c r="M227" s="17" t="str">
        <x:v>检测盲态</x:v>
      </x:c>
      <x:c r="N227" s="17" t="str">
        <x:v>计划</x:v>
      </x:c>
    </x:row>
    <x:row r="228">
      <x:c r="A228" s="17" t="str">
        <x:v>B03-V01-S02-B1</x:v>
      </x:c>
      <x:c r="B228" s="17" t="str">
        <x:v>B03</x:v>
      </x:c>
      <x:c r="C228" s="17" t="str">
        <x:v>V01</x:v>
      </x:c>
      <x:c r="D228" s="17" t="str">
        <x:v>S02</x:v>
      </x:c>
      <x:c r="E228" s="17" t="n">
        <x:v>1</x:v>
      </x:c>
      <x:c r="F228" s="17" t="str">
        <x:v>T02</x:v>
      </x:c>
      <x:c r="G228" s="17" t="str">
        <x:v>5 mT连续</x:v>
      </x:c>
      <x:c r="H228" s="17" t="n">
        <x:v>3</x:v>
      </x:c>
      <x:c r="I228" s="17" t="n">
        <x:v>12</x:v>
      </x:c>
      <x:c r="J228" s="17" t="n">
        <x:v>2</x:v>
      </x:c>
      <x:c r="K228" s="17" t="n">
        <x:v>14</x:v>
      </x:c>
      <x:c r="L228" s="17" t="str">
        <x:v>分层区组</x:v>
      </x:c>
      <x:c r="M228" s="17" t="str">
        <x:v>检测盲态</x:v>
      </x:c>
      <x:c r="N228" s="17" t="str">
        <x:v>计划</x:v>
      </x:c>
    </x:row>
    <x:row r="229">
      <x:c r="A229" s="17" t="str">
        <x:v>B03-V01-S02-B1</x:v>
      </x:c>
      <x:c r="B229" s="17" t="str">
        <x:v>B03</x:v>
      </x:c>
      <x:c r="C229" s="17" t="str">
        <x:v>V01</x:v>
      </x:c>
      <x:c r="D229" s="17" t="str">
        <x:v>S02</x:v>
      </x:c>
      <x:c r="E229" s="17" t="n">
        <x:v>1</x:v>
      </x:c>
      <x:c r="F229" s="17" t="str">
        <x:v>T02</x:v>
      </x:c>
      <x:c r="G229" s="17" t="str">
        <x:v>5 mT连续</x:v>
      </x:c>
      <x:c r="H229" s="17" t="n">
        <x:v>6</x:v>
      </x:c>
      <x:c r="I229" s="17" t="n">
        <x:v>12</x:v>
      </x:c>
      <x:c r="J229" s="17" t="n">
        <x:v>2</x:v>
      </x:c>
      <x:c r="K229" s="17" t="n">
        <x:v>14</x:v>
      </x:c>
      <x:c r="L229" s="17" t="str">
        <x:v>分层区组</x:v>
      </x:c>
      <x:c r="M229" s="17" t="str">
        <x:v>检测盲态</x:v>
      </x:c>
      <x:c r="N229" s="17" t="str">
        <x:v>计划</x:v>
      </x:c>
    </x:row>
    <x:row r="230">
      <x:c r="A230" s="17" t="str">
        <x:v>B03-V01-S02-B1</x:v>
      </x:c>
      <x:c r="B230" s="17" t="str">
        <x:v>B03</x:v>
      </x:c>
      <x:c r="C230" s="17" t="str">
        <x:v>V01</x:v>
      </x:c>
      <x:c r="D230" s="17" t="str">
        <x:v>S02</x:v>
      </x:c>
      <x:c r="E230" s="17" t="n">
        <x:v>1</x:v>
      </x:c>
      <x:c r="F230" s="17" t="str">
        <x:v>T02</x:v>
      </x:c>
      <x:c r="G230" s="17" t="str">
        <x:v>5 mT连续</x:v>
      </x:c>
      <x:c r="H230" s="17" t="n">
        <x:v>9</x:v>
      </x:c>
      <x:c r="I230" s="17" t="n">
        <x:v>12</x:v>
      </x:c>
      <x:c r="J230" s="17" t="n">
        <x:v>2</x:v>
      </x:c>
      <x:c r="K230" s="17" t="n">
        <x:v>14</x:v>
      </x:c>
      <x:c r="L230" s="17" t="str">
        <x:v>分层区组</x:v>
      </x:c>
      <x:c r="M230" s="17" t="str">
        <x:v>检测盲态</x:v>
      </x:c>
      <x:c r="N230" s="17" t="str">
        <x:v>计划</x:v>
      </x:c>
    </x:row>
    <x:row r="231">
      <x:c r="A231" s="17" t="str">
        <x:v>B03-V01-S02-B1</x:v>
      </x:c>
      <x:c r="B231" s="17" t="str">
        <x:v>B03</x:v>
      </x:c>
      <x:c r="C231" s="17" t="str">
        <x:v>V01</x:v>
      </x:c>
      <x:c r="D231" s="17" t="str">
        <x:v>S02</x:v>
      </x:c>
      <x:c r="E231" s="17" t="n">
        <x:v>1</x:v>
      </x:c>
      <x:c r="F231" s="17" t="str">
        <x:v>T02</x:v>
      </x:c>
      <x:c r="G231" s="17" t="str">
        <x:v>5 mT连续</x:v>
      </x:c>
      <x:c r="H231" s="17" t="n">
        <x:v>12</x:v>
      </x:c>
      <x:c r="I231" s="17" t="n">
        <x:v>12</x:v>
      </x:c>
      <x:c r="J231" s="17" t="n">
        <x:v>2</x:v>
      </x:c>
      <x:c r="K231" s="17" t="n">
        <x:v>14</x:v>
      </x:c>
      <x:c r="L231" s="17" t="str">
        <x:v>分层区组</x:v>
      </x:c>
      <x:c r="M231" s="17" t="str">
        <x:v>检测盲态</x:v>
      </x:c>
      <x:c r="N231" s="17" t="str">
        <x:v>计划</x:v>
      </x:c>
    </x:row>
    <x:row r="232">
      <x:c r="A232" s="17" t="str">
        <x:v>B03-V01-S02-B1</x:v>
      </x:c>
      <x:c r="B232" s="17" t="str">
        <x:v>B03</x:v>
      </x:c>
      <x:c r="C232" s="17" t="str">
        <x:v>V01</x:v>
      </x:c>
      <x:c r="D232" s="17" t="str">
        <x:v>S02</x:v>
      </x:c>
      <x:c r="E232" s="17" t="n">
        <x:v>1</x:v>
      </x:c>
      <x:c r="F232" s="17" t="str">
        <x:v>T02</x:v>
      </x:c>
      <x:c r="G232" s="17" t="str">
        <x:v>5 mT连续</x:v>
      </x:c>
      <x:c r="H232" s="17" t="n">
        <x:v>15</x:v>
      </x:c>
      <x:c r="I232" s="17" t="n">
        <x:v>12</x:v>
      </x:c>
      <x:c r="J232" s="17" t="n">
        <x:v>2</x:v>
      </x:c>
      <x:c r="K232" s="17" t="n">
        <x:v>14</x:v>
      </x:c>
      <x:c r="L232" s="17" t="str">
        <x:v>分层区组</x:v>
      </x:c>
      <x:c r="M232" s="17" t="str">
        <x:v>检测盲态</x:v>
      </x:c>
      <x:c r="N232" s="17" t="str">
        <x:v>计划</x:v>
      </x:c>
    </x:row>
    <x:row r="233">
      <x:c r="A233" s="17" t="str">
        <x:v>B03-V01-S02-B2</x:v>
      </x:c>
      <x:c r="B233" s="17" t="str">
        <x:v>B03</x:v>
      </x:c>
      <x:c r="C233" s="17" t="str">
        <x:v>V01</x:v>
      </x:c>
      <x:c r="D233" s="17" t="str">
        <x:v>S02</x:v>
      </x:c>
      <x:c r="E233" s="17" t="n">
        <x:v>2</x:v>
      </x:c>
      <x:c r="F233" s="17" t="str">
        <x:v>T01</x:v>
      </x:c>
      <x:c r="G233" s="17" t="str">
        <x:v>0 mT对照</x:v>
      </x:c>
      <x:c r="H233" s="17" t="n">
        <x:v>0</x:v>
      </x:c>
      <x:c r="I233" s="17" t="n">
        <x:v>12</x:v>
      </x:c>
      <x:c r="J233" s="17" t="n">
        <x:v>2</x:v>
      </x:c>
      <x:c r="K233" s="17" t="n">
        <x:v>14</x:v>
      </x:c>
      <x:c r="L233" s="17" t="str">
        <x:v>分层区组</x:v>
      </x:c>
      <x:c r="M233" s="17" t="str">
        <x:v>检测盲态</x:v>
      </x:c>
      <x:c r="N233" s="17" t="str">
        <x:v>计划</x:v>
      </x:c>
    </x:row>
    <x:row r="234">
      <x:c r="A234" s="17" t="str">
        <x:v>B03-V01-S02-B2</x:v>
      </x:c>
      <x:c r="B234" s="17" t="str">
        <x:v>B03</x:v>
      </x:c>
      <x:c r="C234" s="17" t="str">
        <x:v>V01</x:v>
      </x:c>
      <x:c r="D234" s="17" t="str">
        <x:v>S02</x:v>
      </x:c>
      <x:c r="E234" s="17" t="n">
        <x:v>2</x:v>
      </x:c>
      <x:c r="F234" s="17" t="str">
        <x:v>T01</x:v>
      </x:c>
      <x:c r="G234" s="17" t="str">
        <x:v>0 mT对照</x:v>
      </x:c>
      <x:c r="H234" s="17" t="n">
        <x:v>3</x:v>
      </x:c>
      <x:c r="I234" s="17" t="n">
        <x:v>12</x:v>
      </x:c>
      <x:c r="J234" s="17" t="n">
        <x:v>2</x:v>
      </x:c>
      <x:c r="K234" s="17" t="n">
        <x:v>14</x:v>
      </x:c>
      <x:c r="L234" s="17" t="str">
        <x:v>分层区组</x:v>
      </x:c>
      <x:c r="M234" s="17" t="str">
        <x:v>检测盲态</x:v>
      </x:c>
      <x:c r="N234" s="17" t="str">
        <x:v>计划</x:v>
      </x:c>
    </x:row>
    <x:row r="235">
      <x:c r="A235" s="17" t="str">
        <x:v>B03-V01-S02-B2</x:v>
      </x:c>
      <x:c r="B235" s="17" t="str">
        <x:v>B03</x:v>
      </x:c>
      <x:c r="C235" s="17" t="str">
        <x:v>V01</x:v>
      </x:c>
      <x:c r="D235" s="17" t="str">
        <x:v>S02</x:v>
      </x:c>
      <x:c r="E235" s="17" t="n">
        <x:v>2</x:v>
      </x:c>
      <x:c r="F235" s="17" t="str">
        <x:v>T01</x:v>
      </x:c>
      <x:c r="G235" s="17" t="str">
        <x:v>0 mT对照</x:v>
      </x:c>
      <x:c r="H235" s="17" t="n">
        <x:v>6</x:v>
      </x:c>
      <x:c r="I235" s="17" t="n">
        <x:v>12</x:v>
      </x:c>
      <x:c r="J235" s="17" t="n">
        <x:v>2</x:v>
      </x:c>
      <x:c r="K235" s="17" t="n">
        <x:v>14</x:v>
      </x:c>
      <x:c r="L235" s="17" t="str">
        <x:v>分层区组</x:v>
      </x:c>
      <x:c r="M235" s="17" t="str">
        <x:v>检测盲态</x:v>
      </x:c>
      <x:c r="N235" s="17" t="str">
        <x:v>计划</x:v>
      </x:c>
    </x:row>
    <x:row r="236">
      <x:c r="A236" s="17" t="str">
        <x:v>B03-V01-S02-B2</x:v>
      </x:c>
      <x:c r="B236" s="17" t="str">
        <x:v>B03</x:v>
      </x:c>
      <x:c r="C236" s="17" t="str">
        <x:v>V01</x:v>
      </x:c>
      <x:c r="D236" s="17" t="str">
        <x:v>S02</x:v>
      </x:c>
      <x:c r="E236" s="17" t="n">
        <x:v>2</x:v>
      </x:c>
      <x:c r="F236" s="17" t="str">
        <x:v>T01</x:v>
      </x:c>
      <x:c r="G236" s="17" t="str">
        <x:v>0 mT对照</x:v>
      </x:c>
      <x:c r="H236" s="17" t="n">
        <x:v>9</x:v>
      </x:c>
      <x:c r="I236" s="17" t="n">
        <x:v>12</x:v>
      </x:c>
      <x:c r="J236" s="17" t="n">
        <x:v>2</x:v>
      </x:c>
      <x:c r="K236" s="17" t="n">
        <x:v>14</x:v>
      </x:c>
      <x:c r="L236" s="17" t="str">
        <x:v>分层区组</x:v>
      </x:c>
      <x:c r="M236" s="17" t="str">
        <x:v>检测盲态</x:v>
      </x:c>
      <x:c r="N236" s="17" t="str">
        <x:v>计划</x:v>
      </x:c>
    </x:row>
    <x:row r="237">
      <x:c r="A237" s="17" t="str">
        <x:v>B03-V01-S02-B2</x:v>
      </x:c>
      <x:c r="B237" s="17" t="str">
        <x:v>B03</x:v>
      </x:c>
      <x:c r="C237" s="17" t="str">
        <x:v>V01</x:v>
      </x:c>
      <x:c r="D237" s="17" t="str">
        <x:v>S02</x:v>
      </x:c>
      <x:c r="E237" s="17" t="n">
        <x:v>2</x:v>
      </x:c>
      <x:c r="F237" s="17" t="str">
        <x:v>T01</x:v>
      </x:c>
      <x:c r="G237" s="17" t="str">
        <x:v>0 mT对照</x:v>
      </x:c>
      <x:c r="H237" s="17" t="n">
        <x:v>12</x:v>
      </x:c>
      <x:c r="I237" s="17" t="n">
        <x:v>12</x:v>
      </x:c>
      <x:c r="J237" s="17" t="n">
        <x:v>2</x:v>
      </x:c>
      <x:c r="K237" s="17" t="n">
        <x:v>14</x:v>
      </x:c>
      <x:c r="L237" s="17" t="str">
        <x:v>分层区组</x:v>
      </x:c>
      <x:c r="M237" s="17" t="str">
        <x:v>检测盲态</x:v>
      </x:c>
      <x:c r="N237" s="17" t="str">
        <x:v>计划</x:v>
      </x:c>
    </x:row>
    <x:row r="238">
      <x:c r="A238" s="17" t="str">
        <x:v>B03-V01-S02-B2</x:v>
      </x:c>
      <x:c r="B238" s="17" t="str">
        <x:v>B03</x:v>
      </x:c>
      <x:c r="C238" s="17" t="str">
        <x:v>V01</x:v>
      </x:c>
      <x:c r="D238" s="17" t="str">
        <x:v>S02</x:v>
      </x:c>
      <x:c r="E238" s="17" t="n">
        <x:v>2</x:v>
      </x:c>
      <x:c r="F238" s="17" t="str">
        <x:v>T01</x:v>
      </x:c>
      <x:c r="G238" s="17" t="str">
        <x:v>0 mT对照</x:v>
      </x:c>
      <x:c r="H238" s="17" t="n">
        <x:v>15</x:v>
      </x:c>
      <x:c r="I238" s="17" t="n">
        <x:v>12</x:v>
      </x:c>
      <x:c r="J238" s="17" t="n">
        <x:v>2</x:v>
      </x:c>
      <x:c r="K238" s="17" t="n">
        <x:v>14</x:v>
      </x:c>
      <x:c r="L238" s="17" t="str">
        <x:v>分层区组</x:v>
      </x:c>
      <x:c r="M238" s="17" t="str">
        <x:v>检测盲态</x:v>
      </x:c>
      <x:c r="N238" s="17" t="str">
        <x:v>计划</x:v>
      </x:c>
    </x:row>
    <x:row r="239">
      <x:c r="A239" s="17" t="str">
        <x:v>B03-V01-S02-B2</x:v>
      </x:c>
      <x:c r="B239" s="17" t="str">
        <x:v>B03</x:v>
      </x:c>
      <x:c r="C239" s="17" t="str">
        <x:v>V01</x:v>
      </x:c>
      <x:c r="D239" s="17" t="str">
        <x:v>S02</x:v>
      </x:c>
      <x:c r="E239" s="17" t="n">
        <x:v>2</x:v>
      </x:c>
      <x:c r="F239" s="17" t="str">
        <x:v>T02</x:v>
      </x:c>
      <x:c r="G239" s="17" t="str">
        <x:v>5 mT连续</x:v>
      </x:c>
      <x:c r="H239" s="17" t="n">
        <x:v>0</x:v>
      </x:c>
      <x:c r="I239" s="17" t="n">
        <x:v>12</x:v>
      </x:c>
      <x:c r="J239" s="17" t="n">
        <x:v>2</x:v>
      </x:c>
      <x:c r="K239" s="17" t="n">
        <x:v>14</x:v>
      </x:c>
      <x:c r="L239" s="17" t="str">
        <x:v>分层区组</x:v>
      </x:c>
      <x:c r="M239" s="17" t="str">
        <x:v>检测盲态</x:v>
      </x:c>
      <x:c r="N239" s="17" t="str">
        <x:v>计划</x:v>
      </x:c>
    </x:row>
    <x:row r="240">
      <x:c r="A240" s="17" t="str">
        <x:v>B03-V01-S02-B2</x:v>
      </x:c>
      <x:c r="B240" s="17" t="str">
        <x:v>B03</x:v>
      </x:c>
      <x:c r="C240" s="17" t="str">
        <x:v>V01</x:v>
      </x:c>
      <x:c r="D240" s="17" t="str">
        <x:v>S02</x:v>
      </x:c>
      <x:c r="E240" s="17" t="n">
        <x:v>2</x:v>
      </x:c>
      <x:c r="F240" s="17" t="str">
        <x:v>T02</x:v>
      </x:c>
      <x:c r="G240" s="17" t="str">
        <x:v>5 mT连续</x:v>
      </x:c>
      <x:c r="H240" s="17" t="n">
        <x:v>3</x:v>
      </x:c>
      <x:c r="I240" s="17" t="n">
        <x:v>12</x:v>
      </x:c>
      <x:c r="J240" s="17" t="n">
        <x:v>2</x:v>
      </x:c>
      <x:c r="K240" s="17" t="n">
        <x:v>14</x:v>
      </x:c>
      <x:c r="L240" s="17" t="str">
        <x:v>分层区组</x:v>
      </x:c>
      <x:c r="M240" s="17" t="str">
        <x:v>检测盲态</x:v>
      </x:c>
      <x:c r="N240" s="17" t="str">
        <x:v>计划</x:v>
      </x:c>
    </x:row>
    <x:row r="241">
      <x:c r="A241" s="17" t="str">
        <x:v>B03-V01-S02-B2</x:v>
      </x:c>
      <x:c r="B241" s="17" t="str">
        <x:v>B03</x:v>
      </x:c>
      <x:c r="C241" s="17" t="str">
        <x:v>V01</x:v>
      </x:c>
      <x:c r="D241" s="17" t="str">
        <x:v>S02</x:v>
      </x:c>
      <x:c r="E241" s="17" t="n">
        <x:v>2</x:v>
      </x:c>
      <x:c r="F241" s="17" t="str">
        <x:v>T02</x:v>
      </x:c>
      <x:c r="G241" s="17" t="str">
        <x:v>5 mT连续</x:v>
      </x:c>
      <x:c r="H241" s="17" t="n">
        <x:v>6</x:v>
      </x:c>
      <x:c r="I241" s="17" t="n">
        <x:v>12</x:v>
      </x:c>
      <x:c r="J241" s="17" t="n">
        <x:v>2</x:v>
      </x:c>
      <x:c r="K241" s="17" t="n">
        <x:v>14</x:v>
      </x:c>
      <x:c r="L241" s="17" t="str">
        <x:v>分层区组</x:v>
      </x:c>
      <x:c r="M241" s="17" t="str">
        <x:v>检测盲态</x:v>
      </x:c>
      <x:c r="N241" s="17" t="str">
        <x:v>计划</x:v>
      </x:c>
    </x:row>
    <x:row r="242">
      <x:c r="A242" s="17" t="str">
        <x:v>B03-V01-S02-B2</x:v>
      </x:c>
      <x:c r="B242" s="17" t="str">
        <x:v>B03</x:v>
      </x:c>
      <x:c r="C242" s="17" t="str">
        <x:v>V01</x:v>
      </x:c>
      <x:c r="D242" s="17" t="str">
        <x:v>S02</x:v>
      </x:c>
      <x:c r="E242" s="17" t="n">
        <x:v>2</x:v>
      </x:c>
      <x:c r="F242" s="17" t="str">
        <x:v>T02</x:v>
      </x:c>
      <x:c r="G242" s="17" t="str">
        <x:v>5 mT连续</x:v>
      </x:c>
      <x:c r="H242" s="17" t="n">
        <x:v>9</x:v>
      </x:c>
      <x:c r="I242" s="17" t="n">
        <x:v>12</x:v>
      </x:c>
      <x:c r="J242" s="17" t="n">
        <x:v>2</x:v>
      </x:c>
      <x:c r="K242" s="17" t="n">
        <x:v>14</x:v>
      </x:c>
      <x:c r="L242" s="17" t="str">
        <x:v>分层区组</x:v>
      </x:c>
      <x:c r="M242" s="17" t="str">
        <x:v>检测盲态</x:v>
      </x:c>
      <x:c r="N242" s="17" t="str">
        <x:v>计划</x:v>
      </x:c>
    </x:row>
    <x:row r="243">
      <x:c r="A243" s="17" t="str">
        <x:v>B03-V01-S02-B2</x:v>
      </x:c>
      <x:c r="B243" s="17" t="str">
        <x:v>B03</x:v>
      </x:c>
      <x:c r="C243" s="17" t="str">
        <x:v>V01</x:v>
      </x:c>
      <x:c r="D243" s="17" t="str">
        <x:v>S02</x:v>
      </x:c>
      <x:c r="E243" s="17" t="n">
        <x:v>2</x:v>
      </x:c>
      <x:c r="F243" s="17" t="str">
        <x:v>T02</x:v>
      </x:c>
      <x:c r="G243" s="17" t="str">
        <x:v>5 mT连续</x:v>
      </x:c>
      <x:c r="H243" s="17" t="n">
        <x:v>12</x:v>
      </x:c>
      <x:c r="I243" s="17" t="n">
        <x:v>12</x:v>
      </x:c>
      <x:c r="J243" s="17" t="n">
        <x:v>2</x:v>
      </x:c>
      <x:c r="K243" s="17" t="n">
        <x:v>14</x:v>
      </x:c>
      <x:c r="L243" s="17" t="str">
        <x:v>分层区组</x:v>
      </x:c>
      <x:c r="M243" s="17" t="str">
        <x:v>检测盲态</x:v>
      </x:c>
      <x:c r="N243" s="17" t="str">
        <x:v>计划</x:v>
      </x:c>
    </x:row>
    <x:row r="244">
      <x:c r="A244" s="17" t="str">
        <x:v>B03-V01-S02-B2</x:v>
      </x:c>
      <x:c r="B244" s="17" t="str">
        <x:v>B03</x:v>
      </x:c>
      <x:c r="C244" s="17" t="str">
        <x:v>V01</x:v>
      </x:c>
      <x:c r="D244" s="17" t="str">
        <x:v>S02</x:v>
      </x:c>
      <x:c r="E244" s="17" t="n">
        <x:v>2</x:v>
      </x:c>
      <x:c r="F244" s="17" t="str">
        <x:v>T02</x:v>
      </x:c>
      <x:c r="G244" s="17" t="str">
        <x:v>5 mT连续</x:v>
      </x:c>
      <x:c r="H244" s="17" t="n">
        <x:v>15</x:v>
      </x:c>
      <x:c r="I244" s="17" t="n">
        <x:v>12</x:v>
      </x:c>
      <x:c r="J244" s="17" t="n">
        <x:v>2</x:v>
      </x:c>
      <x:c r="K244" s="17" t="n">
        <x:v>14</x:v>
      </x:c>
      <x:c r="L244" s="17" t="str">
        <x:v>分层区组</x:v>
      </x:c>
      <x:c r="M244" s="17" t="str">
        <x:v>检测盲态</x:v>
      </x:c>
      <x:c r="N244" s="17" t="str">
        <x:v>计划</x:v>
      </x:c>
    </x:row>
    <x:row r="245">
      <x:c r="A245" s="17" t="str">
        <x:v>B03-V02-S01-B1</x:v>
      </x:c>
      <x:c r="B245" s="17" t="str">
        <x:v>B03</x:v>
      </x:c>
      <x:c r="C245" s="17" t="str">
        <x:v>V02</x:v>
      </x:c>
      <x:c r="D245" s="17" t="str">
        <x:v>S01</x:v>
      </x:c>
      <x:c r="E245" s="17" t="n">
        <x:v>1</x:v>
      </x:c>
      <x:c r="F245" s="17" t="str">
        <x:v>T01</x:v>
      </x:c>
      <x:c r="G245" s="17" t="str">
        <x:v>0 mT对照</x:v>
      </x:c>
      <x:c r="H245" s="17" t="n">
        <x:v>0</x:v>
      </x:c>
      <x:c r="I245" s="17" t="n">
        <x:v>12</x:v>
      </x:c>
      <x:c r="J245" s="17" t="n">
        <x:v>2</x:v>
      </x:c>
      <x:c r="K245" s="17" t="n">
        <x:v>14</x:v>
      </x:c>
      <x:c r="L245" s="17" t="str">
        <x:v>分层区组</x:v>
      </x:c>
      <x:c r="M245" s="17" t="str">
        <x:v>检测盲态</x:v>
      </x:c>
      <x:c r="N245" s="17" t="str">
        <x:v>计划</x:v>
      </x:c>
    </x:row>
    <x:row r="246">
      <x:c r="A246" s="17" t="str">
        <x:v>B03-V02-S01-B1</x:v>
      </x:c>
      <x:c r="B246" s="17" t="str">
        <x:v>B03</x:v>
      </x:c>
      <x:c r="C246" s="17" t="str">
        <x:v>V02</x:v>
      </x:c>
      <x:c r="D246" s="17" t="str">
        <x:v>S01</x:v>
      </x:c>
      <x:c r="E246" s="17" t="n">
        <x:v>1</x:v>
      </x:c>
      <x:c r="F246" s="17" t="str">
        <x:v>T01</x:v>
      </x:c>
      <x:c r="G246" s="17" t="str">
        <x:v>0 mT对照</x:v>
      </x:c>
      <x:c r="H246" s="17" t="n">
        <x:v>3</x:v>
      </x:c>
      <x:c r="I246" s="17" t="n">
        <x:v>12</x:v>
      </x:c>
      <x:c r="J246" s="17" t="n">
        <x:v>2</x:v>
      </x:c>
      <x:c r="K246" s="17" t="n">
        <x:v>14</x:v>
      </x:c>
      <x:c r="L246" s="17" t="str">
        <x:v>分层区组</x:v>
      </x:c>
      <x:c r="M246" s="17" t="str">
        <x:v>检测盲态</x:v>
      </x:c>
      <x:c r="N246" s="17" t="str">
        <x:v>计划</x:v>
      </x:c>
    </x:row>
    <x:row r="247">
      <x:c r="A247" s="17" t="str">
        <x:v>B03-V02-S01-B1</x:v>
      </x:c>
      <x:c r="B247" s="17" t="str">
        <x:v>B03</x:v>
      </x:c>
      <x:c r="C247" s="17" t="str">
        <x:v>V02</x:v>
      </x:c>
      <x:c r="D247" s="17" t="str">
        <x:v>S01</x:v>
      </x:c>
      <x:c r="E247" s="17" t="n">
        <x:v>1</x:v>
      </x:c>
      <x:c r="F247" s="17" t="str">
        <x:v>T01</x:v>
      </x:c>
      <x:c r="G247" s="17" t="str">
        <x:v>0 mT对照</x:v>
      </x:c>
      <x:c r="H247" s="17" t="n">
        <x:v>6</x:v>
      </x:c>
      <x:c r="I247" s="17" t="n">
        <x:v>12</x:v>
      </x:c>
      <x:c r="J247" s="17" t="n">
        <x:v>2</x:v>
      </x:c>
      <x:c r="K247" s="17" t="n">
        <x:v>14</x:v>
      </x:c>
      <x:c r="L247" s="17" t="str">
        <x:v>分层区组</x:v>
      </x:c>
      <x:c r="M247" s="17" t="str">
        <x:v>检测盲态</x:v>
      </x:c>
      <x:c r="N247" s="17" t="str">
        <x:v>计划</x:v>
      </x:c>
    </x:row>
    <x:row r="248">
      <x:c r="A248" s="17" t="str">
        <x:v>B03-V02-S01-B1</x:v>
      </x:c>
      <x:c r="B248" s="17" t="str">
        <x:v>B03</x:v>
      </x:c>
      <x:c r="C248" s="17" t="str">
        <x:v>V02</x:v>
      </x:c>
      <x:c r="D248" s="17" t="str">
        <x:v>S01</x:v>
      </x:c>
      <x:c r="E248" s="17" t="n">
        <x:v>1</x:v>
      </x:c>
      <x:c r="F248" s="17" t="str">
        <x:v>T01</x:v>
      </x:c>
      <x:c r="G248" s="17" t="str">
        <x:v>0 mT对照</x:v>
      </x:c>
      <x:c r="H248" s="17" t="n">
        <x:v>9</x:v>
      </x:c>
      <x:c r="I248" s="17" t="n">
        <x:v>12</x:v>
      </x:c>
      <x:c r="J248" s="17" t="n">
        <x:v>2</x:v>
      </x:c>
      <x:c r="K248" s="17" t="n">
        <x:v>14</x:v>
      </x:c>
      <x:c r="L248" s="17" t="str">
        <x:v>分层区组</x:v>
      </x:c>
      <x:c r="M248" s="17" t="str">
        <x:v>检测盲态</x:v>
      </x:c>
      <x:c r="N248" s="17" t="str">
        <x:v>计划</x:v>
      </x:c>
    </x:row>
    <x:row r="249">
      <x:c r="A249" s="17" t="str">
        <x:v>B03-V02-S01-B1</x:v>
      </x:c>
      <x:c r="B249" s="17" t="str">
        <x:v>B03</x:v>
      </x:c>
      <x:c r="C249" s="17" t="str">
        <x:v>V02</x:v>
      </x:c>
      <x:c r="D249" s="17" t="str">
        <x:v>S01</x:v>
      </x:c>
      <x:c r="E249" s="17" t="n">
        <x:v>1</x:v>
      </x:c>
      <x:c r="F249" s="17" t="str">
        <x:v>T01</x:v>
      </x:c>
      <x:c r="G249" s="17" t="str">
        <x:v>0 mT对照</x:v>
      </x:c>
      <x:c r="H249" s="17" t="n">
        <x:v>12</x:v>
      </x:c>
      <x:c r="I249" s="17" t="n">
        <x:v>12</x:v>
      </x:c>
      <x:c r="J249" s="17" t="n">
        <x:v>2</x:v>
      </x:c>
      <x:c r="K249" s="17" t="n">
        <x:v>14</x:v>
      </x:c>
      <x:c r="L249" s="17" t="str">
        <x:v>分层区组</x:v>
      </x:c>
      <x:c r="M249" s="17" t="str">
        <x:v>检测盲态</x:v>
      </x:c>
      <x:c r="N249" s="17" t="str">
        <x:v>计划</x:v>
      </x:c>
    </x:row>
    <x:row r="250">
      <x:c r="A250" s="17" t="str">
        <x:v>B03-V02-S01-B1</x:v>
      </x:c>
      <x:c r="B250" s="17" t="str">
        <x:v>B03</x:v>
      </x:c>
      <x:c r="C250" s="17" t="str">
        <x:v>V02</x:v>
      </x:c>
      <x:c r="D250" s="17" t="str">
        <x:v>S01</x:v>
      </x:c>
      <x:c r="E250" s="17" t="n">
        <x:v>1</x:v>
      </x:c>
      <x:c r="F250" s="17" t="str">
        <x:v>T01</x:v>
      </x:c>
      <x:c r="G250" s="17" t="str">
        <x:v>0 mT对照</x:v>
      </x:c>
      <x:c r="H250" s="17" t="n">
        <x:v>15</x:v>
      </x:c>
      <x:c r="I250" s="17" t="n">
        <x:v>12</x:v>
      </x:c>
      <x:c r="J250" s="17" t="n">
        <x:v>2</x:v>
      </x:c>
      <x:c r="K250" s="17" t="n">
        <x:v>14</x:v>
      </x:c>
      <x:c r="L250" s="17" t="str">
        <x:v>分层区组</x:v>
      </x:c>
      <x:c r="M250" s="17" t="str">
        <x:v>检测盲态</x:v>
      </x:c>
      <x:c r="N250" s="17" t="str">
        <x:v>计划</x:v>
      </x:c>
    </x:row>
    <x:row r="251">
      <x:c r="A251" s="17" t="str">
        <x:v>B03-V02-S01-B1</x:v>
      </x:c>
      <x:c r="B251" s="17" t="str">
        <x:v>B03</x:v>
      </x:c>
      <x:c r="C251" s="17" t="str">
        <x:v>V02</x:v>
      </x:c>
      <x:c r="D251" s="17" t="str">
        <x:v>S01</x:v>
      </x:c>
      <x:c r="E251" s="17" t="n">
        <x:v>1</x:v>
      </x:c>
      <x:c r="F251" s="17" t="str">
        <x:v>T02</x:v>
      </x:c>
      <x:c r="G251" s="17" t="str">
        <x:v>5 mT连续</x:v>
      </x:c>
      <x:c r="H251" s="17" t="n">
        <x:v>0</x:v>
      </x:c>
      <x:c r="I251" s="17" t="n">
        <x:v>12</x:v>
      </x:c>
      <x:c r="J251" s="17" t="n">
        <x:v>2</x:v>
      </x:c>
      <x:c r="K251" s="17" t="n">
        <x:v>14</x:v>
      </x:c>
      <x:c r="L251" s="17" t="str">
        <x:v>分层区组</x:v>
      </x:c>
      <x:c r="M251" s="17" t="str">
        <x:v>检测盲态</x:v>
      </x:c>
      <x:c r="N251" s="17" t="str">
        <x:v>计划</x:v>
      </x:c>
    </x:row>
    <x:row r="252">
      <x:c r="A252" s="17" t="str">
        <x:v>B03-V02-S01-B1</x:v>
      </x:c>
      <x:c r="B252" s="17" t="str">
        <x:v>B03</x:v>
      </x:c>
      <x:c r="C252" s="17" t="str">
        <x:v>V02</x:v>
      </x:c>
      <x:c r="D252" s="17" t="str">
        <x:v>S01</x:v>
      </x:c>
      <x:c r="E252" s="17" t="n">
        <x:v>1</x:v>
      </x:c>
      <x:c r="F252" s="17" t="str">
        <x:v>T02</x:v>
      </x:c>
      <x:c r="G252" s="17" t="str">
        <x:v>5 mT连续</x:v>
      </x:c>
      <x:c r="H252" s="17" t="n">
        <x:v>3</x:v>
      </x:c>
      <x:c r="I252" s="17" t="n">
        <x:v>12</x:v>
      </x:c>
      <x:c r="J252" s="17" t="n">
        <x:v>2</x:v>
      </x:c>
      <x:c r="K252" s="17" t="n">
        <x:v>14</x:v>
      </x:c>
      <x:c r="L252" s="17" t="str">
        <x:v>分层区组</x:v>
      </x:c>
      <x:c r="M252" s="17" t="str">
        <x:v>检测盲态</x:v>
      </x:c>
      <x:c r="N252" s="17" t="str">
        <x:v>计划</x:v>
      </x:c>
    </x:row>
    <x:row r="253">
      <x:c r="A253" s="17" t="str">
        <x:v>B03-V02-S01-B1</x:v>
      </x:c>
      <x:c r="B253" s="17" t="str">
        <x:v>B03</x:v>
      </x:c>
      <x:c r="C253" s="17" t="str">
        <x:v>V02</x:v>
      </x:c>
      <x:c r="D253" s="17" t="str">
        <x:v>S01</x:v>
      </x:c>
      <x:c r="E253" s="17" t="n">
        <x:v>1</x:v>
      </x:c>
      <x:c r="F253" s="17" t="str">
        <x:v>T02</x:v>
      </x:c>
      <x:c r="G253" s="17" t="str">
        <x:v>5 mT连续</x:v>
      </x:c>
      <x:c r="H253" s="17" t="n">
        <x:v>6</x:v>
      </x:c>
      <x:c r="I253" s="17" t="n">
        <x:v>12</x:v>
      </x:c>
      <x:c r="J253" s="17" t="n">
        <x:v>2</x:v>
      </x:c>
      <x:c r="K253" s="17" t="n">
        <x:v>14</x:v>
      </x:c>
      <x:c r="L253" s="17" t="str">
        <x:v>分层区组</x:v>
      </x:c>
      <x:c r="M253" s="17" t="str">
        <x:v>检测盲态</x:v>
      </x:c>
      <x:c r="N253" s="17" t="str">
        <x:v>计划</x:v>
      </x:c>
    </x:row>
    <x:row r="254">
      <x:c r="A254" s="17" t="str">
        <x:v>B03-V02-S01-B1</x:v>
      </x:c>
      <x:c r="B254" s="17" t="str">
        <x:v>B03</x:v>
      </x:c>
      <x:c r="C254" s="17" t="str">
        <x:v>V02</x:v>
      </x:c>
      <x:c r="D254" s="17" t="str">
        <x:v>S01</x:v>
      </x:c>
      <x:c r="E254" s="17" t="n">
        <x:v>1</x:v>
      </x:c>
      <x:c r="F254" s="17" t="str">
        <x:v>T02</x:v>
      </x:c>
      <x:c r="G254" s="17" t="str">
        <x:v>5 mT连续</x:v>
      </x:c>
      <x:c r="H254" s="17" t="n">
        <x:v>9</x:v>
      </x:c>
      <x:c r="I254" s="17" t="n">
        <x:v>12</x:v>
      </x:c>
      <x:c r="J254" s="17" t="n">
        <x:v>2</x:v>
      </x:c>
      <x:c r="K254" s="17" t="n">
        <x:v>14</x:v>
      </x:c>
      <x:c r="L254" s="17" t="str">
        <x:v>分层区组</x:v>
      </x:c>
      <x:c r="M254" s="17" t="str">
        <x:v>检测盲态</x:v>
      </x:c>
      <x:c r="N254" s="17" t="str">
        <x:v>计划</x:v>
      </x:c>
    </x:row>
    <x:row r="255">
      <x:c r="A255" s="17" t="str">
        <x:v>B03-V02-S01-B1</x:v>
      </x:c>
      <x:c r="B255" s="17" t="str">
        <x:v>B03</x:v>
      </x:c>
      <x:c r="C255" s="17" t="str">
        <x:v>V02</x:v>
      </x:c>
      <x:c r="D255" s="17" t="str">
        <x:v>S01</x:v>
      </x:c>
      <x:c r="E255" s="17" t="n">
        <x:v>1</x:v>
      </x:c>
      <x:c r="F255" s="17" t="str">
        <x:v>T02</x:v>
      </x:c>
      <x:c r="G255" s="17" t="str">
        <x:v>5 mT连续</x:v>
      </x:c>
      <x:c r="H255" s="17" t="n">
        <x:v>12</x:v>
      </x:c>
      <x:c r="I255" s="17" t="n">
        <x:v>12</x:v>
      </x:c>
      <x:c r="J255" s="17" t="n">
        <x:v>2</x:v>
      </x:c>
      <x:c r="K255" s="17" t="n">
        <x:v>14</x:v>
      </x:c>
      <x:c r="L255" s="17" t="str">
        <x:v>分层区组</x:v>
      </x:c>
      <x:c r="M255" s="17" t="str">
        <x:v>检测盲态</x:v>
      </x:c>
      <x:c r="N255" s="17" t="str">
        <x:v>计划</x:v>
      </x:c>
    </x:row>
    <x:row r="256">
      <x:c r="A256" s="17" t="str">
        <x:v>B03-V02-S01-B1</x:v>
      </x:c>
      <x:c r="B256" s="17" t="str">
        <x:v>B03</x:v>
      </x:c>
      <x:c r="C256" s="17" t="str">
        <x:v>V02</x:v>
      </x:c>
      <x:c r="D256" s="17" t="str">
        <x:v>S01</x:v>
      </x:c>
      <x:c r="E256" s="17" t="n">
        <x:v>1</x:v>
      </x:c>
      <x:c r="F256" s="17" t="str">
        <x:v>T02</x:v>
      </x:c>
      <x:c r="G256" s="17" t="str">
        <x:v>5 mT连续</x:v>
      </x:c>
      <x:c r="H256" s="17" t="n">
        <x:v>15</x:v>
      </x:c>
      <x:c r="I256" s="17" t="n">
        <x:v>12</x:v>
      </x:c>
      <x:c r="J256" s="17" t="n">
        <x:v>2</x:v>
      </x:c>
      <x:c r="K256" s="17" t="n">
        <x:v>14</x:v>
      </x:c>
      <x:c r="L256" s="17" t="str">
        <x:v>分层区组</x:v>
      </x:c>
      <x:c r="M256" s="17" t="str">
        <x:v>检测盲态</x:v>
      </x:c>
      <x:c r="N256" s="17" t="str">
        <x:v>计划</x:v>
      </x:c>
    </x:row>
    <x:row r="257">
      <x:c r="A257" s="17" t="str">
        <x:v>B03-V02-S01-B2</x:v>
      </x:c>
      <x:c r="B257" s="17" t="str">
        <x:v>B03</x:v>
      </x:c>
      <x:c r="C257" s="17" t="str">
        <x:v>V02</x:v>
      </x:c>
      <x:c r="D257" s="17" t="str">
        <x:v>S01</x:v>
      </x:c>
      <x:c r="E257" s="17" t="n">
        <x:v>2</x:v>
      </x:c>
      <x:c r="F257" s="17" t="str">
        <x:v>T01</x:v>
      </x:c>
      <x:c r="G257" s="17" t="str">
        <x:v>0 mT对照</x:v>
      </x:c>
      <x:c r="H257" s="17" t="n">
        <x:v>0</x:v>
      </x:c>
      <x:c r="I257" s="17" t="n">
        <x:v>12</x:v>
      </x:c>
      <x:c r="J257" s="17" t="n">
        <x:v>2</x:v>
      </x:c>
      <x:c r="K257" s="17" t="n">
        <x:v>14</x:v>
      </x:c>
      <x:c r="L257" s="17" t="str">
        <x:v>分层区组</x:v>
      </x:c>
      <x:c r="M257" s="17" t="str">
        <x:v>检测盲态</x:v>
      </x:c>
      <x:c r="N257" s="17" t="str">
        <x:v>计划</x:v>
      </x:c>
    </x:row>
    <x:row r="258">
      <x:c r="A258" s="17" t="str">
        <x:v>B03-V02-S01-B2</x:v>
      </x:c>
      <x:c r="B258" s="17" t="str">
        <x:v>B03</x:v>
      </x:c>
      <x:c r="C258" s="17" t="str">
        <x:v>V02</x:v>
      </x:c>
      <x:c r="D258" s="17" t="str">
        <x:v>S01</x:v>
      </x:c>
      <x:c r="E258" s="17" t="n">
        <x:v>2</x:v>
      </x:c>
      <x:c r="F258" s="17" t="str">
        <x:v>T01</x:v>
      </x:c>
      <x:c r="G258" s="17" t="str">
        <x:v>0 mT对照</x:v>
      </x:c>
      <x:c r="H258" s="17" t="n">
        <x:v>3</x:v>
      </x:c>
      <x:c r="I258" s="17" t="n">
        <x:v>12</x:v>
      </x:c>
      <x:c r="J258" s="17" t="n">
        <x:v>2</x:v>
      </x:c>
      <x:c r="K258" s="17" t="n">
        <x:v>14</x:v>
      </x:c>
      <x:c r="L258" s="17" t="str">
        <x:v>分层区组</x:v>
      </x:c>
      <x:c r="M258" s="17" t="str">
        <x:v>检测盲态</x:v>
      </x:c>
      <x:c r="N258" s="17" t="str">
        <x:v>计划</x:v>
      </x:c>
    </x:row>
    <x:row r="259">
      <x:c r="A259" s="17" t="str">
        <x:v>B03-V02-S01-B2</x:v>
      </x:c>
      <x:c r="B259" s="17" t="str">
        <x:v>B03</x:v>
      </x:c>
      <x:c r="C259" s="17" t="str">
        <x:v>V02</x:v>
      </x:c>
      <x:c r="D259" s="17" t="str">
        <x:v>S01</x:v>
      </x:c>
      <x:c r="E259" s="17" t="n">
        <x:v>2</x:v>
      </x:c>
      <x:c r="F259" s="17" t="str">
        <x:v>T01</x:v>
      </x:c>
      <x:c r="G259" s="17" t="str">
        <x:v>0 mT对照</x:v>
      </x:c>
      <x:c r="H259" s="17" t="n">
        <x:v>6</x:v>
      </x:c>
      <x:c r="I259" s="17" t="n">
        <x:v>12</x:v>
      </x:c>
      <x:c r="J259" s="17" t="n">
        <x:v>2</x:v>
      </x:c>
      <x:c r="K259" s="17" t="n">
        <x:v>14</x:v>
      </x:c>
      <x:c r="L259" s="17" t="str">
        <x:v>分层区组</x:v>
      </x:c>
      <x:c r="M259" s="17" t="str">
        <x:v>检测盲态</x:v>
      </x:c>
      <x:c r="N259" s="17" t="str">
        <x:v>计划</x:v>
      </x:c>
    </x:row>
    <x:row r="260">
      <x:c r="A260" s="17" t="str">
        <x:v>B03-V02-S01-B2</x:v>
      </x:c>
      <x:c r="B260" s="17" t="str">
        <x:v>B03</x:v>
      </x:c>
      <x:c r="C260" s="17" t="str">
        <x:v>V02</x:v>
      </x:c>
      <x:c r="D260" s="17" t="str">
        <x:v>S01</x:v>
      </x:c>
      <x:c r="E260" s="17" t="n">
        <x:v>2</x:v>
      </x:c>
      <x:c r="F260" s="17" t="str">
        <x:v>T01</x:v>
      </x:c>
      <x:c r="G260" s="17" t="str">
        <x:v>0 mT对照</x:v>
      </x:c>
      <x:c r="H260" s="17" t="n">
        <x:v>9</x:v>
      </x:c>
      <x:c r="I260" s="17" t="n">
        <x:v>12</x:v>
      </x:c>
      <x:c r="J260" s="17" t="n">
        <x:v>2</x:v>
      </x:c>
      <x:c r="K260" s="17" t="n">
        <x:v>14</x:v>
      </x:c>
      <x:c r="L260" s="17" t="str">
        <x:v>分层区组</x:v>
      </x:c>
      <x:c r="M260" s="17" t="str">
        <x:v>检测盲态</x:v>
      </x:c>
      <x:c r="N260" s="17" t="str">
        <x:v>计划</x:v>
      </x:c>
    </x:row>
    <x:row r="261">
      <x:c r="A261" s="17" t="str">
        <x:v>B03-V02-S01-B2</x:v>
      </x:c>
      <x:c r="B261" s="17" t="str">
        <x:v>B03</x:v>
      </x:c>
      <x:c r="C261" s="17" t="str">
        <x:v>V02</x:v>
      </x:c>
      <x:c r="D261" s="17" t="str">
        <x:v>S01</x:v>
      </x:c>
      <x:c r="E261" s="17" t="n">
        <x:v>2</x:v>
      </x:c>
      <x:c r="F261" s="17" t="str">
        <x:v>T01</x:v>
      </x:c>
      <x:c r="G261" s="17" t="str">
        <x:v>0 mT对照</x:v>
      </x:c>
      <x:c r="H261" s="17" t="n">
        <x:v>12</x:v>
      </x:c>
      <x:c r="I261" s="17" t="n">
        <x:v>12</x:v>
      </x:c>
      <x:c r="J261" s="17" t="n">
        <x:v>2</x:v>
      </x:c>
      <x:c r="K261" s="17" t="n">
        <x:v>14</x:v>
      </x:c>
      <x:c r="L261" s="17" t="str">
        <x:v>分层区组</x:v>
      </x:c>
      <x:c r="M261" s="17" t="str">
        <x:v>检测盲态</x:v>
      </x:c>
      <x:c r="N261" s="17" t="str">
        <x:v>计划</x:v>
      </x:c>
    </x:row>
    <x:row r="262">
      <x:c r="A262" s="17" t="str">
        <x:v>B03-V02-S01-B2</x:v>
      </x:c>
      <x:c r="B262" s="17" t="str">
        <x:v>B03</x:v>
      </x:c>
      <x:c r="C262" s="17" t="str">
        <x:v>V02</x:v>
      </x:c>
      <x:c r="D262" s="17" t="str">
        <x:v>S01</x:v>
      </x:c>
      <x:c r="E262" s="17" t="n">
        <x:v>2</x:v>
      </x:c>
      <x:c r="F262" s="17" t="str">
        <x:v>T01</x:v>
      </x:c>
      <x:c r="G262" s="17" t="str">
        <x:v>0 mT对照</x:v>
      </x:c>
      <x:c r="H262" s="17" t="n">
        <x:v>15</x:v>
      </x:c>
      <x:c r="I262" s="17" t="n">
        <x:v>12</x:v>
      </x:c>
      <x:c r="J262" s="17" t="n">
        <x:v>2</x:v>
      </x:c>
      <x:c r="K262" s="17" t="n">
        <x:v>14</x:v>
      </x:c>
      <x:c r="L262" s="17" t="str">
        <x:v>分层区组</x:v>
      </x:c>
      <x:c r="M262" s="17" t="str">
        <x:v>检测盲态</x:v>
      </x:c>
      <x:c r="N262" s="17" t="str">
        <x:v>计划</x:v>
      </x:c>
    </x:row>
    <x:row r="263">
      <x:c r="A263" s="17" t="str">
        <x:v>B03-V02-S01-B2</x:v>
      </x:c>
      <x:c r="B263" s="17" t="str">
        <x:v>B03</x:v>
      </x:c>
      <x:c r="C263" s="17" t="str">
        <x:v>V02</x:v>
      </x:c>
      <x:c r="D263" s="17" t="str">
        <x:v>S01</x:v>
      </x:c>
      <x:c r="E263" s="17" t="n">
        <x:v>2</x:v>
      </x:c>
      <x:c r="F263" s="17" t="str">
        <x:v>T02</x:v>
      </x:c>
      <x:c r="G263" s="17" t="str">
        <x:v>5 mT连续</x:v>
      </x:c>
      <x:c r="H263" s="17" t="n">
        <x:v>0</x:v>
      </x:c>
      <x:c r="I263" s="17" t="n">
        <x:v>12</x:v>
      </x:c>
      <x:c r="J263" s="17" t="n">
        <x:v>2</x:v>
      </x:c>
      <x:c r="K263" s="17" t="n">
        <x:v>14</x:v>
      </x:c>
      <x:c r="L263" s="17" t="str">
        <x:v>分层区组</x:v>
      </x:c>
      <x:c r="M263" s="17" t="str">
        <x:v>检测盲态</x:v>
      </x:c>
      <x:c r="N263" s="17" t="str">
        <x:v>计划</x:v>
      </x:c>
    </x:row>
    <x:row r="264">
      <x:c r="A264" s="17" t="str">
        <x:v>B03-V02-S01-B2</x:v>
      </x:c>
      <x:c r="B264" s="17" t="str">
        <x:v>B03</x:v>
      </x:c>
      <x:c r="C264" s="17" t="str">
        <x:v>V02</x:v>
      </x:c>
      <x:c r="D264" s="17" t="str">
        <x:v>S01</x:v>
      </x:c>
      <x:c r="E264" s="17" t="n">
        <x:v>2</x:v>
      </x:c>
      <x:c r="F264" s="17" t="str">
        <x:v>T02</x:v>
      </x:c>
      <x:c r="G264" s="17" t="str">
        <x:v>5 mT连续</x:v>
      </x:c>
      <x:c r="H264" s="17" t="n">
        <x:v>3</x:v>
      </x:c>
      <x:c r="I264" s="17" t="n">
        <x:v>12</x:v>
      </x:c>
      <x:c r="J264" s="17" t="n">
        <x:v>2</x:v>
      </x:c>
      <x:c r="K264" s="17" t="n">
        <x:v>14</x:v>
      </x:c>
      <x:c r="L264" s="17" t="str">
        <x:v>分层区组</x:v>
      </x:c>
      <x:c r="M264" s="17" t="str">
        <x:v>检测盲态</x:v>
      </x:c>
      <x:c r="N264" s="17" t="str">
        <x:v>计划</x:v>
      </x:c>
    </x:row>
    <x:row r="265">
      <x:c r="A265" s="17" t="str">
        <x:v>B03-V02-S01-B2</x:v>
      </x:c>
      <x:c r="B265" s="17" t="str">
        <x:v>B03</x:v>
      </x:c>
      <x:c r="C265" s="17" t="str">
        <x:v>V02</x:v>
      </x:c>
      <x:c r="D265" s="17" t="str">
        <x:v>S01</x:v>
      </x:c>
      <x:c r="E265" s="17" t="n">
        <x:v>2</x:v>
      </x:c>
      <x:c r="F265" s="17" t="str">
        <x:v>T02</x:v>
      </x:c>
      <x:c r="G265" s="17" t="str">
        <x:v>5 mT连续</x:v>
      </x:c>
      <x:c r="H265" s="17" t="n">
        <x:v>6</x:v>
      </x:c>
      <x:c r="I265" s="17" t="n">
        <x:v>12</x:v>
      </x:c>
      <x:c r="J265" s="17" t="n">
        <x:v>2</x:v>
      </x:c>
      <x:c r="K265" s="17" t="n">
        <x:v>14</x:v>
      </x:c>
      <x:c r="L265" s="17" t="str">
        <x:v>分层区组</x:v>
      </x:c>
      <x:c r="M265" s="17" t="str">
        <x:v>检测盲态</x:v>
      </x:c>
      <x:c r="N265" s="17" t="str">
        <x:v>计划</x:v>
      </x:c>
    </x:row>
    <x:row r="266">
      <x:c r="A266" s="17" t="str">
        <x:v>B03-V02-S01-B2</x:v>
      </x:c>
      <x:c r="B266" s="17" t="str">
        <x:v>B03</x:v>
      </x:c>
      <x:c r="C266" s="17" t="str">
        <x:v>V02</x:v>
      </x:c>
      <x:c r="D266" s="17" t="str">
        <x:v>S01</x:v>
      </x:c>
      <x:c r="E266" s="17" t="n">
        <x:v>2</x:v>
      </x:c>
      <x:c r="F266" s="17" t="str">
        <x:v>T02</x:v>
      </x:c>
      <x:c r="G266" s="17" t="str">
        <x:v>5 mT连续</x:v>
      </x:c>
      <x:c r="H266" s="17" t="n">
        <x:v>9</x:v>
      </x:c>
      <x:c r="I266" s="17" t="n">
        <x:v>12</x:v>
      </x:c>
      <x:c r="J266" s="17" t="n">
        <x:v>2</x:v>
      </x:c>
      <x:c r="K266" s="17" t="n">
        <x:v>14</x:v>
      </x:c>
      <x:c r="L266" s="17" t="str">
        <x:v>分层区组</x:v>
      </x:c>
      <x:c r="M266" s="17" t="str">
        <x:v>检测盲态</x:v>
      </x:c>
      <x:c r="N266" s="17" t="str">
        <x:v>计划</x:v>
      </x:c>
    </x:row>
    <x:row r="267">
      <x:c r="A267" s="17" t="str">
        <x:v>B03-V02-S01-B2</x:v>
      </x:c>
      <x:c r="B267" s="17" t="str">
        <x:v>B03</x:v>
      </x:c>
      <x:c r="C267" s="17" t="str">
        <x:v>V02</x:v>
      </x:c>
      <x:c r="D267" s="17" t="str">
        <x:v>S01</x:v>
      </x:c>
      <x:c r="E267" s="17" t="n">
        <x:v>2</x:v>
      </x:c>
      <x:c r="F267" s="17" t="str">
        <x:v>T02</x:v>
      </x:c>
      <x:c r="G267" s="17" t="str">
        <x:v>5 mT连续</x:v>
      </x:c>
      <x:c r="H267" s="17" t="n">
        <x:v>12</x:v>
      </x:c>
      <x:c r="I267" s="17" t="n">
        <x:v>12</x:v>
      </x:c>
      <x:c r="J267" s="17" t="n">
        <x:v>2</x:v>
      </x:c>
      <x:c r="K267" s="17" t="n">
        <x:v>14</x:v>
      </x:c>
      <x:c r="L267" s="17" t="str">
        <x:v>分层区组</x:v>
      </x:c>
      <x:c r="M267" s="17" t="str">
        <x:v>检测盲态</x:v>
      </x:c>
      <x:c r="N267" s="17" t="str">
        <x:v>计划</x:v>
      </x:c>
    </x:row>
    <x:row r="268">
      <x:c r="A268" s="17" t="str">
        <x:v>B03-V02-S01-B2</x:v>
      </x:c>
      <x:c r="B268" s="17" t="str">
        <x:v>B03</x:v>
      </x:c>
      <x:c r="C268" s="17" t="str">
        <x:v>V02</x:v>
      </x:c>
      <x:c r="D268" s="17" t="str">
        <x:v>S01</x:v>
      </x:c>
      <x:c r="E268" s="17" t="n">
        <x:v>2</x:v>
      </x:c>
      <x:c r="F268" s="17" t="str">
        <x:v>T02</x:v>
      </x:c>
      <x:c r="G268" s="17" t="str">
        <x:v>5 mT连续</x:v>
      </x:c>
      <x:c r="H268" s="17" t="n">
        <x:v>15</x:v>
      </x:c>
      <x:c r="I268" s="17" t="n">
        <x:v>12</x:v>
      </x:c>
      <x:c r="J268" s="17" t="n">
        <x:v>2</x:v>
      </x:c>
      <x:c r="K268" s="17" t="n">
        <x:v>14</x:v>
      </x:c>
      <x:c r="L268" s="17" t="str">
        <x:v>分层区组</x:v>
      </x:c>
      <x:c r="M268" s="17" t="str">
        <x:v>检测盲态</x:v>
      </x:c>
      <x:c r="N268" s="17" t="str">
        <x:v>计划</x:v>
      </x:c>
    </x:row>
    <x:row r="269">
      <x:c r="A269" s="17" t="str">
        <x:v>B03-V02-S02-B1</x:v>
      </x:c>
      <x:c r="B269" s="17" t="str">
        <x:v>B03</x:v>
      </x:c>
      <x:c r="C269" s="17" t="str">
        <x:v>V02</x:v>
      </x:c>
      <x:c r="D269" s="17" t="str">
        <x:v>S02</x:v>
      </x:c>
      <x:c r="E269" s="17" t="n">
        <x:v>1</x:v>
      </x:c>
      <x:c r="F269" s="17" t="str">
        <x:v>T01</x:v>
      </x:c>
      <x:c r="G269" s="17" t="str">
        <x:v>0 mT对照</x:v>
      </x:c>
      <x:c r="H269" s="17" t="n">
        <x:v>0</x:v>
      </x:c>
      <x:c r="I269" s="17" t="n">
        <x:v>12</x:v>
      </x:c>
      <x:c r="J269" s="17" t="n">
        <x:v>2</x:v>
      </x:c>
      <x:c r="K269" s="17" t="n">
        <x:v>14</x:v>
      </x:c>
      <x:c r="L269" s="17" t="str">
        <x:v>分层区组</x:v>
      </x:c>
      <x:c r="M269" s="17" t="str">
        <x:v>检测盲态</x:v>
      </x:c>
      <x:c r="N269" s="17" t="str">
        <x:v>计划</x:v>
      </x:c>
    </x:row>
    <x:row r="270">
      <x:c r="A270" s="17" t="str">
        <x:v>B03-V02-S02-B1</x:v>
      </x:c>
      <x:c r="B270" s="17" t="str">
        <x:v>B03</x:v>
      </x:c>
      <x:c r="C270" s="17" t="str">
        <x:v>V02</x:v>
      </x:c>
      <x:c r="D270" s="17" t="str">
        <x:v>S02</x:v>
      </x:c>
      <x:c r="E270" s="17" t="n">
        <x:v>1</x:v>
      </x:c>
      <x:c r="F270" s="17" t="str">
        <x:v>T01</x:v>
      </x:c>
      <x:c r="G270" s="17" t="str">
        <x:v>0 mT对照</x:v>
      </x:c>
      <x:c r="H270" s="17" t="n">
        <x:v>3</x:v>
      </x:c>
      <x:c r="I270" s="17" t="n">
        <x:v>12</x:v>
      </x:c>
      <x:c r="J270" s="17" t="n">
        <x:v>2</x:v>
      </x:c>
      <x:c r="K270" s="17" t="n">
        <x:v>14</x:v>
      </x:c>
      <x:c r="L270" s="17" t="str">
        <x:v>分层区组</x:v>
      </x:c>
      <x:c r="M270" s="17" t="str">
        <x:v>检测盲态</x:v>
      </x:c>
      <x:c r="N270" s="17" t="str">
        <x:v>计划</x:v>
      </x:c>
    </x:row>
    <x:row r="271">
      <x:c r="A271" s="17" t="str">
        <x:v>B03-V02-S02-B1</x:v>
      </x:c>
      <x:c r="B271" s="17" t="str">
        <x:v>B03</x:v>
      </x:c>
      <x:c r="C271" s="17" t="str">
        <x:v>V02</x:v>
      </x:c>
      <x:c r="D271" s="17" t="str">
        <x:v>S02</x:v>
      </x:c>
      <x:c r="E271" s="17" t="n">
        <x:v>1</x:v>
      </x:c>
      <x:c r="F271" s="17" t="str">
        <x:v>T01</x:v>
      </x:c>
      <x:c r="G271" s="17" t="str">
        <x:v>0 mT对照</x:v>
      </x:c>
      <x:c r="H271" s="17" t="n">
        <x:v>6</x:v>
      </x:c>
      <x:c r="I271" s="17" t="n">
        <x:v>12</x:v>
      </x:c>
      <x:c r="J271" s="17" t="n">
        <x:v>2</x:v>
      </x:c>
      <x:c r="K271" s="17" t="n">
        <x:v>14</x:v>
      </x:c>
      <x:c r="L271" s="17" t="str">
        <x:v>分层区组</x:v>
      </x:c>
      <x:c r="M271" s="17" t="str">
        <x:v>检测盲态</x:v>
      </x:c>
      <x:c r="N271" s="17" t="str">
        <x:v>计划</x:v>
      </x:c>
    </x:row>
    <x:row r="272">
      <x:c r="A272" s="17" t="str">
        <x:v>B03-V02-S02-B1</x:v>
      </x:c>
      <x:c r="B272" s="17" t="str">
        <x:v>B03</x:v>
      </x:c>
      <x:c r="C272" s="17" t="str">
        <x:v>V02</x:v>
      </x:c>
      <x:c r="D272" s="17" t="str">
        <x:v>S02</x:v>
      </x:c>
      <x:c r="E272" s="17" t="n">
        <x:v>1</x:v>
      </x:c>
      <x:c r="F272" s="17" t="str">
        <x:v>T01</x:v>
      </x:c>
      <x:c r="G272" s="17" t="str">
        <x:v>0 mT对照</x:v>
      </x:c>
      <x:c r="H272" s="17" t="n">
        <x:v>9</x:v>
      </x:c>
      <x:c r="I272" s="17" t="n">
        <x:v>12</x:v>
      </x:c>
      <x:c r="J272" s="17" t="n">
        <x:v>2</x:v>
      </x:c>
      <x:c r="K272" s="17" t="n">
        <x:v>14</x:v>
      </x:c>
      <x:c r="L272" s="17" t="str">
        <x:v>分层区组</x:v>
      </x:c>
      <x:c r="M272" s="17" t="str">
        <x:v>检测盲态</x:v>
      </x:c>
      <x:c r="N272" s="17" t="str">
        <x:v>计划</x:v>
      </x:c>
    </x:row>
    <x:row r="273">
      <x:c r="A273" s="17" t="str">
        <x:v>B03-V02-S02-B1</x:v>
      </x:c>
      <x:c r="B273" s="17" t="str">
        <x:v>B03</x:v>
      </x:c>
      <x:c r="C273" s="17" t="str">
        <x:v>V02</x:v>
      </x:c>
      <x:c r="D273" s="17" t="str">
        <x:v>S02</x:v>
      </x:c>
      <x:c r="E273" s="17" t="n">
        <x:v>1</x:v>
      </x:c>
      <x:c r="F273" s="17" t="str">
        <x:v>T01</x:v>
      </x:c>
      <x:c r="G273" s="17" t="str">
        <x:v>0 mT对照</x:v>
      </x:c>
      <x:c r="H273" s="17" t="n">
        <x:v>12</x:v>
      </x:c>
      <x:c r="I273" s="17" t="n">
        <x:v>12</x:v>
      </x:c>
      <x:c r="J273" s="17" t="n">
        <x:v>2</x:v>
      </x:c>
      <x:c r="K273" s="17" t="n">
        <x:v>14</x:v>
      </x:c>
      <x:c r="L273" s="17" t="str">
        <x:v>分层区组</x:v>
      </x:c>
      <x:c r="M273" s="17" t="str">
        <x:v>检测盲态</x:v>
      </x:c>
      <x:c r="N273" s="17" t="str">
        <x:v>计划</x:v>
      </x:c>
    </x:row>
    <x:row r="274">
      <x:c r="A274" s="17" t="str">
        <x:v>B03-V02-S02-B1</x:v>
      </x:c>
      <x:c r="B274" s="17" t="str">
        <x:v>B03</x:v>
      </x:c>
      <x:c r="C274" s="17" t="str">
        <x:v>V02</x:v>
      </x:c>
      <x:c r="D274" s="17" t="str">
        <x:v>S02</x:v>
      </x:c>
      <x:c r="E274" s="17" t="n">
        <x:v>1</x:v>
      </x:c>
      <x:c r="F274" s="17" t="str">
        <x:v>T01</x:v>
      </x:c>
      <x:c r="G274" s="17" t="str">
        <x:v>0 mT对照</x:v>
      </x:c>
      <x:c r="H274" s="17" t="n">
        <x:v>15</x:v>
      </x:c>
      <x:c r="I274" s="17" t="n">
        <x:v>12</x:v>
      </x:c>
      <x:c r="J274" s="17" t="n">
        <x:v>2</x:v>
      </x:c>
      <x:c r="K274" s="17" t="n">
        <x:v>14</x:v>
      </x:c>
      <x:c r="L274" s="17" t="str">
        <x:v>分层区组</x:v>
      </x:c>
      <x:c r="M274" s="17" t="str">
        <x:v>检测盲态</x:v>
      </x:c>
      <x:c r="N274" s="17" t="str">
        <x:v>计划</x:v>
      </x:c>
    </x:row>
    <x:row r="275">
      <x:c r="A275" s="17" t="str">
        <x:v>B03-V02-S02-B1</x:v>
      </x:c>
      <x:c r="B275" s="17" t="str">
        <x:v>B03</x:v>
      </x:c>
      <x:c r="C275" s="17" t="str">
        <x:v>V02</x:v>
      </x:c>
      <x:c r="D275" s="17" t="str">
        <x:v>S02</x:v>
      </x:c>
      <x:c r="E275" s="17" t="n">
        <x:v>1</x:v>
      </x:c>
      <x:c r="F275" s="17" t="str">
        <x:v>T02</x:v>
      </x:c>
      <x:c r="G275" s="17" t="str">
        <x:v>5 mT连续</x:v>
      </x:c>
      <x:c r="H275" s="17" t="n">
        <x:v>0</x:v>
      </x:c>
      <x:c r="I275" s="17" t="n">
        <x:v>12</x:v>
      </x:c>
      <x:c r="J275" s="17" t="n">
        <x:v>2</x:v>
      </x:c>
      <x:c r="K275" s="17" t="n">
        <x:v>14</x:v>
      </x:c>
      <x:c r="L275" s="17" t="str">
        <x:v>分层区组</x:v>
      </x:c>
      <x:c r="M275" s="17" t="str">
        <x:v>检测盲态</x:v>
      </x:c>
      <x:c r="N275" s="17" t="str">
        <x:v>计划</x:v>
      </x:c>
    </x:row>
    <x:row r="276">
      <x:c r="A276" s="17" t="str">
        <x:v>B03-V02-S02-B1</x:v>
      </x:c>
      <x:c r="B276" s="17" t="str">
        <x:v>B03</x:v>
      </x:c>
      <x:c r="C276" s="17" t="str">
        <x:v>V02</x:v>
      </x:c>
      <x:c r="D276" s="17" t="str">
        <x:v>S02</x:v>
      </x:c>
      <x:c r="E276" s="17" t="n">
        <x:v>1</x:v>
      </x:c>
      <x:c r="F276" s="17" t="str">
        <x:v>T02</x:v>
      </x:c>
      <x:c r="G276" s="17" t="str">
        <x:v>5 mT连续</x:v>
      </x:c>
      <x:c r="H276" s="17" t="n">
        <x:v>3</x:v>
      </x:c>
      <x:c r="I276" s="17" t="n">
        <x:v>12</x:v>
      </x:c>
      <x:c r="J276" s="17" t="n">
        <x:v>2</x:v>
      </x:c>
      <x:c r="K276" s="17" t="n">
        <x:v>14</x:v>
      </x:c>
      <x:c r="L276" s="17" t="str">
        <x:v>分层区组</x:v>
      </x:c>
      <x:c r="M276" s="17" t="str">
        <x:v>检测盲态</x:v>
      </x:c>
      <x:c r="N276" s="17" t="str">
        <x:v>计划</x:v>
      </x:c>
    </x:row>
    <x:row r="277">
      <x:c r="A277" s="17" t="str">
        <x:v>B03-V02-S02-B1</x:v>
      </x:c>
      <x:c r="B277" s="17" t="str">
        <x:v>B03</x:v>
      </x:c>
      <x:c r="C277" s="17" t="str">
        <x:v>V02</x:v>
      </x:c>
      <x:c r="D277" s="17" t="str">
        <x:v>S02</x:v>
      </x:c>
      <x:c r="E277" s="17" t="n">
        <x:v>1</x:v>
      </x:c>
      <x:c r="F277" s="17" t="str">
        <x:v>T02</x:v>
      </x:c>
      <x:c r="G277" s="17" t="str">
        <x:v>5 mT连续</x:v>
      </x:c>
      <x:c r="H277" s="17" t="n">
        <x:v>6</x:v>
      </x:c>
      <x:c r="I277" s="17" t="n">
        <x:v>12</x:v>
      </x:c>
      <x:c r="J277" s="17" t="n">
        <x:v>2</x:v>
      </x:c>
      <x:c r="K277" s="17" t="n">
        <x:v>14</x:v>
      </x:c>
      <x:c r="L277" s="17" t="str">
        <x:v>分层区组</x:v>
      </x:c>
      <x:c r="M277" s="17" t="str">
        <x:v>检测盲态</x:v>
      </x:c>
      <x:c r="N277" s="17" t="str">
        <x:v>计划</x:v>
      </x:c>
    </x:row>
    <x:row r="278">
      <x:c r="A278" s="17" t="str">
        <x:v>B03-V02-S02-B1</x:v>
      </x:c>
      <x:c r="B278" s="17" t="str">
        <x:v>B03</x:v>
      </x:c>
      <x:c r="C278" s="17" t="str">
        <x:v>V02</x:v>
      </x:c>
      <x:c r="D278" s="17" t="str">
        <x:v>S02</x:v>
      </x:c>
      <x:c r="E278" s="17" t="n">
        <x:v>1</x:v>
      </x:c>
      <x:c r="F278" s="17" t="str">
        <x:v>T02</x:v>
      </x:c>
      <x:c r="G278" s="17" t="str">
        <x:v>5 mT连续</x:v>
      </x:c>
      <x:c r="H278" s="17" t="n">
        <x:v>9</x:v>
      </x:c>
      <x:c r="I278" s="17" t="n">
        <x:v>12</x:v>
      </x:c>
      <x:c r="J278" s="17" t="n">
        <x:v>2</x:v>
      </x:c>
      <x:c r="K278" s="17" t="n">
        <x:v>14</x:v>
      </x:c>
      <x:c r="L278" s="17" t="str">
        <x:v>分层区组</x:v>
      </x:c>
      <x:c r="M278" s="17" t="str">
        <x:v>检测盲态</x:v>
      </x:c>
      <x:c r="N278" s="17" t="str">
        <x:v>计划</x:v>
      </x:c>
    </x:row>
    <x:row r="279">
      <x:c r="A279" s="17" t="str">
        <x:v>B03-V02-S02-B1</x:v>
      </x:c>
      <x:c r="B279" s="17" t="str">
        <x:v>B03</x:v>
      </x:c>
      <x:c r="C279" s="17" t="str">
        <x:v>V02</x:v>
      </x:c>
      <x:c r="D279" s="17" t="str">
        <x:v>S02</x:v>
      </x:c>
      <x:c r="E279" s="17" t="n">
        <x:v>1</x:v>
      </x:c>
      <x:c r="F279" s="17" t="str">
        <x:v>T02</x:v>
      </x:c>
      <x:c r="G279" s="17" t="str">
        <x:v>5 mT连续</x:v>
      </x:c>
      <x:c r="H279" s="17" t="n">
        <x:v>12</x:v>
      </x:c>
      <x:c r="I279" s="17" t="n">
        <x:v>12</x:v>
      </x:c>
      <x:c r="J279" s="17" t="n">
        <x:v>2</x:v>
      </x:c>
      <x:c r="K279" s="17" t="n">
        <x:v>14</x:v>
      </x:c>
      <x:c r="L279" s="17" t="str">
        <x:v>分层区组</x:v>
      </x:c>
      <x:c r="M279" s="17" t="str">
        <x:v>检测盲态</x:v>
      </x:c>
      <x:c r="N279" s="17" t="str">
        <x:v>计划</x:v>
      </x:c>
    </x:row>
    <x:row r="280">
      <x:c r="A280" s="17" t="str">
        <x:v>B03-V02-S02-B1</x:v>
      </x:c>
      <x:c r="B280" s="17" t="str">
        <x:v>B03</x:v>
      </x:c>
      <x:c r="C280" s="17" t="str">
        <x:v>V02</x:v>
      </x:c>
      <x:c r="D280" s="17" t="str">
        <x:v>S02</x:v>
      </x:c>
      <x:c r="E280" s="17" t="n">
        <x:v>1</x:v>
      </x:c>
      <x:c r="F280" s="17" t="str">
        <x:v>T02</x:v>
      </x:c>
      <x:c r="G280" s="17" t="str">
        <x:v>5 mT连续</x:v>
      </x:c>
      <x:c r="H280" s="17" t="n">
        <x:v>15</x:v>
      </x:c>
      <x:c r="I280" s="17" t="n">
        <x:v>12</x:v>
      </x:c>
      <x:c r="J280" s="17" t="n">
        <x:v>2</x:v>
      </x:c>
      <x:c r="K280" s="17" t="n">
        <x:v>14</x:v>
      </x:c>
      <x:c r="L280" s="17" t="str">
        <x:v>分层区组</x:v>
      </x:c>
      <x:c r="M280" s="17" t="str">
        <x:v>检测盲态</x:v>
      </x:c>
      <x:c r="N280" s="17" t="str">
        <x:v>计划</x:v>
      </x:c>
    </x:row>
    <x:row r="281">
      <x:c r="A281" s="17" t="str">
        <x:v>B03-V02-S02-B2</x:v>
      </x:c>
      <x:c r="B281" s="17" t="str">
        <x:v>B03</x:v>
      </x:c>
      <x:c r="C281" s="17" t="str">
        <x:v>V02</x:v>
      </x:c>
      <x:c r="D281" s="17" t="str">
        <x:v>S02</x:v>
      </x:c>
      <x:c r="E281" s="17" t="n">
        <x:v>2</x:v>
      </x:c>
      <x:c r="F281" s="17" t="str">
        <x:v>T01</x:v>
      </x:c>
      <x:c r="G281" s="17" t="str">
        <x:v>0 mT对照</x:v>
      </x:c>
      <x:c r="H281" s="17" t="n">
        <x:v>0</x:v>
      </x:c>
      <x:c r="I281" s="17" t="n">
        <x:v>12</x:v>
      </x:c>
      <x:c r="J281" s="17" t="n">
        <x:v>2</x:v>
      </x:c>
      <x:c r="K281" s="17" t="n">
        <x:v>14</x:v>
      </x:c>
      <x:c r="L281" s="17" t="str">
        <x:v>分层区组</x:v>
      </x:c>
      <x:c r="M281" s="17" t="str">
        <x:v>检测盲态</x:v>
      </x:c>
      <x:c r="N281" s="17" t="str">
        <x:v>计划</x:v>
      </x:c>
    </x:row>
    <x:row r="282">
      <x:c r="A282" s="17" t="str">
        <x:v>B03-V02-S02-B2</x:v>
      </x:c>
      <x:c r="B282" s="17" t="str">
        <x:v>B03</x:v>
      </x:c>
      <x:c r="C282" s="17" t="str">
        <x:v>V02</x:v>
      </x:c>
      <x:c r="D282" s="17" t="str">
        <x:v>S02</x:v>
      </x:c>
      <x:c r="E282" s="17" t="n">
        <x:v>2</x:v>
      </x:c>
      <x:c r="F282" s="17" t="str">
        <x:v>T01</x:v>
      </x:c>
      <x:c r="G282" s="17" t="str">
        <x:v>0 mT对照</x:v>
      </x:c>
      <x:c r="H282" s="17" t="n">
        <x:v>3</x:v>
      </x:c>
      <x:c r="I282" s="17" t="n">
        <x:v>12</x:v>
      </x:c>
      <x:c r="J282" s="17" t="n">
        <x:v>2</x:v>
      </x:c>
      <x:c r="K282" s="17" t="n">
        <x:v>14</x:v>
      </x:c>
      <x:c r="L282" s="17" t="str">
        <x:v>分层区组</x:v>
      </x:c>
      <x:c r="M282" s="17" t="str">
        <x:v>检测盲态</x:v>
      </x:c>
      <x:c r="N282" s="17" t="str">
        <x:v>计划</x:v>
      </x:c>
    </x:row>
    <x:row r="283">
      <x:c r="A283" s="17" t="str">
        <x:v>B03-V02-S02-B2</x:v>
      </x:c>
      <x:c r="B283" s="17" t="str">
        <x:v>B03</x:v>
      </x:c>
      <x:c r="C283" s="17" t="str">
        <x:v>V02</x:v>
      </x:c>
      <x:c r="D283" s="17" t="str">
        <x:v>S02</x:v>
      </x:c>
      <x:c r="E283" s="17" t="n">
        <x:v>2</x:v>
      </x:c>
      <x:c r="F283" s="17" t="str">
        <x:v>T01</x:v>
      </x:c>
      <x:c r="G283" s="17" t="str">
        <x:v>0 mT对照</x:v>
      </x:c>
      <x:c r="H283" s="17" t="n">
        <x:v>6</x:v>
      </x:c>
      <x:c r="I283" s="17" t="n">
        <x:v>12</x:v>
      </x:c>
      <x:c r="J283" s="17" t="n">
        <x:v>2</x:v>
      </x:c>
      <x:c r="K283" s="17" t="n">
        <x:v>14</x:v>
      </x:c>
      <x:c r="L283" s="17" t="str">
        <x:v>分层区组</x:v>
      </x:c>
      <x:c r="M283" s="17" t="str">
        <x:v>检测盲态</x:v>
      </x:c>
      <x:c r="N283" s="17" t="str">
        <x:v>计划</x:v>
      </x:c>
    </x:row>
    <x:row r="284">
      <x:c r="A284" s="17" t="str">
        <x:v>B03-V02-S02-B2</x:v>
      </x:c>
      <x:c r="B284" s="17" t="str">
        <x:v>B03</x:v>
      </x:c>
      <x:c r="C284" s="17" t="str">
        <x:v>V02</x:v>
      </x:c>
      <x:c r="D284" s="17" t="str">
        <x:v>S02</x:v>
      </x:c>
      <x:c r="E284" s="17" t="n">
        <x:v>2</x:v>
      </x:c>
      <x:c r="F284" s="17" t="str">
        <x:v>T01</x:v>
      </x:c>
      <x:c r="G284" s="17" t="str">
        <x:v>0 mT对照</x:v>
      </x:c>
      <x:c r="H284" s="17" t="n">
        <x:v>9</x:v>
      </x:c>
      <x:c r="I284" s="17" t="n">
        <x:v>12</x:v>
      </x:c>
      <x:c r="J284" s="17" t="n">
        <x:v>2</x:v>
      </x:c>
      <x:c r="K284" s="17" t="n">
        <x:v>14</x:v>
      </x:c>
      <x:c r="L284" s="17" t="str">
        <x:v>分层区组</x:v>
      </x:c>
      <x:c r="M284" s="17" t="str">
        <x:v>检测盲态</x:v>
      </x:c>
      <x:c r="N284" s="17" t="str">
        <x:v>计划</x:v>
      </x:c>
    </x:row>
    <x:row r="285">
      <x:c r="A285" s="17" t="str">
        <x:v>B03-V02-S02-B2</x:v>
      </x:c>
      <x:c r="B285" s="17" t="str">
        <x:v>B03</x:v>
      </x:c>
      <x:c r="C285" s="17" t="str">
        <x:v>V02</x:v>
      </x:c>
      <x:c r="D285" s="17" t="str">
        <x:v>S02</x:v>
      </x:c>
      <x:c r="E285" s="17" t="n">
        <x:v>2</x:v>
      </x:c>
      <x:c r="F285" s="17" t="str">
        <x:v>T01</x:v>
      </x:c>
      <x:c r="G285" s="17" t="str">
        <x:v>0 mT对照</x:v>
      </x:c>
      <x:c r="H285" s="17" t="n">
        <x:v>12</x:v>
      </x:c>
      <x:c r="I285" s="17" t="n">
        <x:v>12</x:v>
      </x:c>
      <x:c r="J285" s="17" t="n">
        <x:v>2</x:v>
      </x:c>
      <x:c r="K285" s="17" t="n">
        <x:v>14</x:v>
      </x:c>
      <x:c r="L285" s="17" t="str">
        <x:v>分层区组</x:v>
      </x:c>
      <x:c r="M285" s="17" t="str">
        <x:v>检测盲态</x:v>
      </x:c>
      <x:c r="N285" s="17" t="str">
        <x:v>计划</x:v>
      </x:c>
    </x:row>
    <x:row r="286">
      <x:c r="A286" s="17" t="str">
        <x:v>B03-V02-S02-B2</x:v>
      </x:c>
      <x:c r="B286" s="17" t="str">
        <x:v>B03</x:v>
      </x:c>
      <x:c r="C286" s="17" t="str">
        <x:v>V02</x:v>
      </x:c>
      <x:c r="D286" s="17" t="str">
        <x:v>S02</x:v>
      </x:c>
      <x:c r="E286" s="17" t="n">
        <x:v>2</x:v>
      </x:c>
      <x:c r="F286" s="17" t="str">
        <x:v>T01</x:v>
      </x:c>
      <x:c r="G286" s="17" t="str">
        <x:v>0 mT对照</x:v>
      </x:c>
      <x:c r="H286" s="17" t="n">
        <x:v>15</x:v>
      </x:c>
      <x:c r="I286" s="17" t="n">
        <x:v>12</x:v>
      </x:c>
      <x:c r="J286" s="17" t="n">
        <x:v>2</x:v>
      </x:c>
      <x:c r="K286" s="17" t="n">
        <x:v>14</x:v>
      </x:c>
      <x:c r="L286" s="17" t="str">
        <x:v>分层区组</x:v>
      </x:c>
      <x:c r="M286" s="17" t="str">
        <x:v>检测盲态</x:v>
      </x:c>
      <x:c r="N286" s="17" t="str">
        <x:v>计划</x:v>
      </x:c>
    </x:row>
    <x:row r="287">
      <x:c r="A287" s="17" t="str">
        <x:v>B03-V02-S02-B2</x:v>
      </x:c>
      <x:c r="B287" s="17" t="str">
        <x:v>B03</x:v>
      </x:c>
      <x:c r="C287" s="17" t="str">
        <x:v>V02</x:v>
      </x:c>
      <x:c r="D287" s="17" t="str">
        <x:v>S02</x:v>
      </x:c>
      <x:c r="E287" s="17" t="n">
        <x:v>2</x:v>
      </x:c>
      <x:c r="F287" s="17" t="str">
        <x:v>T02</x:v>
      </x:c>
      <x:c r="G287" s="17" t="str">
        <x:v>5 mT连续</x:v>
      </x:c>
      <x:c r="H287" s="17" t="n">
        <x:v>0</x:v>
      </x:c>
      <x:c r="I287" s="17" t="n">
        <x:v>12</x:v>
      </x:c>
      <x:c r="J287" s="17" t="n">
        <x:v>2</x:v>
      </x:c>
      <x:c r="K287" s="17" t="n">
        <x:v>14</x:v>
      </x:c>
      <x:c r="L287" s="17" t="str">
        <x:v>分层区组</x:v>
      </x:c>
      <x:c r="M287" s="17" t="str">
        <x:v>检测盲态</x:v>
      </x:c>
      <x:c r="N287" s="17" t="str">
        <x:v>计划</x:v>
      </x:c>
    </x:row>
    <x:row r="288">
      <x:c r="A288" s="17" t="str">
        <x:v>B03-V02-S02-B2</x:v>
      </x:c>
      <x:c r="B288" s="17" t="str">
        <x:v>B03</x:v>
      </x:c>
      <x:c r="C288" s="17" t="str">
        <x:v>V02</x:v>
      </x:c>
      <x:c r="D288" s="17" t="str">
        <x:v>S02</x:v>
      </x:c>
      <x:c r="E288" s="17" t="n">
        <x:v>2</x:v>
      </x:c>
      <x:c r="F288" s="17" t="str">
        <x:v>T02</x:v>
      </x:c>
      <x:c r="G288" s="17" t="str">
        <x:v>5 mT连续</x:v>
      </x:c>
      <x:c r="H288" s="17" t="n">
        <x:v>3</x:v>
      </x:c>
      <x:c r="I288" s="17" t="n">
        <x:v>12</x:v>
      </x:c>
      <x:c r="J288" s="17" t="n">
        <x:v>2</x:v>
      </x:c>
      <x:c r="K288" s="17" t="n">
        <x:v>14</x:v>
      </x:c>
      <x:c r="L288" s="17" t="str">
        <x:v>分层区组</x:v>
      </x:c>
      <x:c r="M288" s="17" t="str">
        <x:v>检测盲态</x:v>
      </x:c>
      <x:c r="N288" s="17" t="str">
        <x:v>计划</x:v>
      </x:c>
    </x:row>
    <x:row r="289">
      <x:c r="A289" s="17" t="str">
        <x:v>B03-V02-S02-B2</x:v>
      </x:c>
      <x:c r="B289" s="17" t="str">
        <x:v>B03</x:v>
      </x:c>
      <x:c r="C289" s="17" t="str">
        <x:v>V02</x:v>
      </x:c>
      <x:c r="D289" s="17" t="str">
        <x:v>S02</x:v>
      </x:c>
      <x:c r="E289" s="17" t="n">
        <x:v>2</x:v>
      </x:c>
      <x:c r="F289" s="17" t="str">
        <x:v>T02</x:v>
      </x:c>
      <x:c r="G289" s="17" t="str">
        <x:v>5 mT连续</x:v>
      </x:c>
      <x:c r="H289" s="17" t="n">
        <x:v>6</x:v>
      </x:c>
      <x:c r="I289" s="17" t="n">
        <x:v>12</x:v>
      </x:c>
      <x:c r="J289" s="17" t="n">
        <x:v>2</x:v>
      </x:c>
      <x:c r="K289" s="17" t="n">
        <x:v>14</x:v>
      </x:c>
      <x:c r="L289" s="17" t="str">
        <x:v>分层区组</x:v>
      </x:c>
      <x:c r="M289" s="17" t="str">
        <x:v>检测盲态</x:v>
      </x:c>
      <x:c r="N289" s="17" t="str">
        <x:v>计划</x:v>
      </x:c>
    </x:row>
    <x:row r="290">
      <x:c r="A290" s="17" t="str">
        <x:v>B03-V02-S02-B2</x:v>
      </x:c>
      <x:c r="B290" s="17" t="str">
        <x:v>B03</x:v>
      </x:c>
      <x:c r="C290" s="17" t="str">
        <x:v>V02</x:v>
      </x:c>
      <x:c r="D290" s="17" t="str">
        <x:v>S02</x:v>
      </x:c>
      <x:c r="E290" s="17" t="n">
        <x:v>2</x:v>
      </x:c>
      <x:c r="F290" s="17" t="str">
        <x:v>T02</x:v>
      </x:c>
      <x:c r="G290" s="17" t="str">
        <x:v>5 mT连续</x:v>
      </x:c>
      <x:c r="H290" s="17" t="n">
        <x:v>9</x:v>
      </x:c>
      <x:c r="I290" s="17" t="n">
        <x:v>12</x:v>
      </x:c>
      <x:c r="J290" s="17" t="n">
        <x:v>2</x:v>
      </x:c>
      <x:c r="K290" s="17" t="n">
        <x:v>14</x:v>
      </x:c>
      <x:c r="L290" s="17" t="str">
        <x:v>分层区组</x:v>
      </x:c>
      <x:c r="M290" s="17" t="str">
        <x:v>检测盲态</x:v>
      </x:c>
      <x:c r="N290" s="17" t="str">
        <x:v>计划</x:v>
      </x:c>
    </x:row>
    <x:row r="291">
      <x:c r="A291" s="17" t="str">
        <x:v>B03-V02-S02-B2</x:v>
      </x:c>
      <x:c r="B291" s="17" t="str">
        <x:v>B03</x:v>
      </x:c>
      <x:c r="C291" s="17" t="str">
        <x:v>V02</x:v>
      </x:c>
      <x:c r="D291" s="17" t="str">
        <x:v>S02</x:v>
      </x:c>
      <x:c r="E291" s="17" t="n">
        <x:v>2</x:v>
      </x:c>
      <x:c r="F291" s="17" t="str">
        <x:v>T02</x:v>
      </x:c>
      <x:c r="G291" s="17" t="str">
        <x:v>5 mT连续</x:v>
      </x:c>
      <x:c r="H291" s="17" t="n">
        <x:v>12</x:v>
      </x:c>
      <x:c r="I291" s="17" t="n">
        <x:v>12</x:v>
      </x:c>
      <x:c r="J291" s="17" t="n">
        <x:v>2</x:v>
      </x:c>
      <x:c r="K291" s="17" t="n">
        <x:v>14</x:v>
      </x:c>
      <x:c r="L291" s="17" t="str">
        <x:v>分层区组</x:v>
      </x:c>
      <x:c r="M291" s="17" t="str">
        <x:v>检测盲态</x:v>
      </x:c>
      <x:c r="N291" s="17" t="str">
        <x:v>计划</x:v>
      </x:c>
    </x:row>
    <x:row r="292">
      <x:c r="A292" s="17" t="str">
        <x:v>B03-V02-S02-B2</x:v>
      </x:c>
      <x:c r="B292" s="17" t="str">
        <x:v>B03</x:v>
      </x:c>
      <x:c r="C292" s="17" t="str">
        <x:v>V02</x:v>
      </x:c>
      <x:c r="D292" s="17" t="str">
        <x:v>S02</x:v>
      </x:c>
      <x:c r="E292" s="17" t="n">
        <x:v>2</x:v>
      </x:c>
      <x:c r="F292" s="17" t="str">
        <x:v>T02</x:v>
      </x:c>
      <x:c r="G292" s="17" t="str">
        <x:v>5 mT连续</x:v>
      </x:c>
      <x:c r="H292" s="17" t="n">
        <x:v>15</x:v>
      </x:c>
      <x:c r="I292" s="17" t="n">
        <x:v>12</x:v>
      </x:c>
      <x:c r="J292" s="17" t="n">
        <x:v>2</x:v>
      </x:c>
      <x:c r="K292" s="17" t="n">
        <x:v>14</x:v>
      </x:c>
      <x:c r="L292" s="17" t="str">
        <x:v>分层区组</x:v>
      </x:c>
      <x:c r="M292" s="17" t="str">
        <x:v>检测盲态</x:v>
      </x:c>
      <x:c r="N292" s="17" t="str">
        <x:v>计划</x:v>
      </x:c>
    </x:row>
    <x:row r="293">
      <x:c r="A293" s="17" t="str">
        <x:v>B04-V01-S01-B1</x:v>
      </x:c>
      <x:c r="B293" s="17" t="str">
        <x:v>B04</x:v>
      </x:c>
      <x:c r="C293" s="17" t="str">
        <x:v>V01</x:v>
      </x:c>
      <x:c r="D293" s="17" t="str">
        <x:v>S01</x:v>
      </x:c>
      <x:c r="E293" s="17" t="n">
        <x:v>1</x:v>
      </x:c>
      <x:c r="F293" s="17" t="str">
        <x:v>T01</x:v>
      </x:c>
      <x:c r="G293" s="17" t="str">
        <x:v>0 mT对照</x:v>
      </x:c>
      <x:c r="H293" s="17" t="n">
        <x:v>0</x:v>
      </x:c>
      <x:c r="I293" s="17" t="n">
        <x:v>12</x:v>
      </x:c>
      <x:c r="J293" s="17" t="n">
        <x:v>2</x:v>
      </x:c>
      <x:c r="K293" s="17" t="n">
        <x:v>14</x:v>
      </x:c>
      <x:c r="L293" s="17" t="str">
        <x:v>分层区组</x:v>
      </x:c>
      <x:c r="M293" s="17" t="str">
        <x:v>检测盲态</x:v>
      </x:c>
      <x:c r="N293" s="17" t="str">
        <x:v>计划</x:v>
      </x:c>
    </x:row>
    <x:row r="294">
      <x:c r="A294" s="17" t="str">
        <x:v>B04-V01-S01-B1</x:v>
      </x:c>
      <x:c r="B294" s="17" t="str">
        <x:v>B04</x:v>
      </x:c>
      <x:c r="C294" s="17" t="str">
        <x:v>V01</x:v>
      </x:c>
      <x:c r="D294" s="17" t="str">
        <x:v>S01</x:v>
      </x:c>
      <x:c r="E294" s="17" t="n">
        <x:v>1</x:v>
      </x:c>
      <x:c r="F294" s="17" t="str">
        <x:v>T01</x:v>
      </x:c>
      <x:c r="G294" s="17" t="str">
        <x:v>0 mT对照</x:v>
      </x:c>
      <x:c r="H294" s="17" t="n">
        <x:v>3</x:v>
      </x:c>
      <x:c r="I294" s="17" t="n">
        <x:v>12</x:v>
      </x:c>
      <x:c r="J294" s="17" t="n">
        <x:v>2</x:v>
      </x:c>
      <x:c r="K294" s="17" t="n">
        <x:v>14</x:v>
      </x:c>
      <x:c r="L294" s="17" t="str">
        <x:v>分层区组</x:v>
      </x:c>
      <x:c r="M294" s="17" t="str">
        <x:v>检测盲态</x:v>
      </x:c>
      <x:c r="N294" s="17" t="str">
        <x:v>计划</x:v>
      </x:c>
    </x:row>
    <x:row r="295">
      <x:c r="A295" s="17" t="str">
        <x:v>B04-V01-S01-B1</x:v>
      </x:c>
      <x:c r="B295" s="17" t="str">
        <x:v>B04</x:v>
      </x:c>
      <x:c r="C295" s="17" t="str">
        <x:v>V01</x:v>
      </x:c>
      <x:c r="D295" s="17" t="str">
        <x:v>S01</x:v>
      </x:c>
      <x:c r="E295" s="17" t="n">
        <x:v>1</x:v>
      </x:c>
      <x:c r="F295" s="17" t="str">
        <x:v>T01</x:v>
      </x:c>
      <x:c r="G295" s="17" t="str">
        <x:v>0 mT对照</x:v>
      </x:c>
      <x:c r="H295" s="17" t="n">
        <x:v>6</x:v>
      </x:c>
      <x:c r="I295" s="17" t="n">
        <x:v>12</x:v>
      </x:c>
      <x:c r="J295" s="17" t="n">
        <x:v>2</x:v>
      </x:c>
      <x:c r="K295" s="17" t="n">
        <x:v>14</x:v>
      </x:c>
      <x:c r="L295" s="17" t="str">
        <x:v>分层区组</x:v>
      </x:c>
      <x:c r="M295" s="17" t="str">
        <x:v>检测盲态</x:v>
      </x:c>
      <x:c r="N295" s="17" t="str">
        <x:v>计划</x:v>
      </x:c>
    </x:row>
    <x:row r="296">
      <x:c r="A296" s="17" t="str">
        <x:v>B04-V01-S01-B1</x:v>
      </x:c>
      <x:c r="B296" s="17" t="str">
        <x:v>B04</x:v>
      </x:c>
      <x:c r="C296" s="17" t="str">
        <x:v>V01</x:v>
      </x:c>
      <x:c r="D296" s="17" t="str">
        <x:v>S01</x:v>
      </x:c>
      <x:c r="E296" s="17" t="n">
        <x:v>1</x:v>
      </x:c>
      <x:c r="F296" s="17" t="str">
        <x:v>T01</x:v>
      </x:c>
      <x:c r="G296" s="17" t="str">
        <x:v>0 mT对照</x:v>
      </x:c>
      <x:c r="H296" s="17" t="n">
        <x:v>9</x:v>
      </x:c>
      <x:c r="I296" s="17" t="n">
        <x:v>12</x:v>
      </x:c>
      <x:c r="J296" s="17" t="n">
        <x:v>2</x:v>
      </x:c>
      <x:c r="K296" s="17" t="n">
        <x:v>14</x:v>
      </x:c>
      <x:c r="L296" s="17" t="str">
        <x:v>分层区组</x:v>
      </x:c>
      <x:c r="M296" s="17" t="str">
        <x:v>检测盲态</x:v>
      </x:c>
      <x:c r="N296" s="17" t="str">
        <x:v>计划</x:v>
      </x:c>
    </x:row>
    <x:row r="297">
      <x:c r="A297" s="17" t="str">
        <x:v>B04-V01-S01-B1</x:v>
      </x:c>
      <x:c r="B297" s="17" t="str">
        <x:v>B04</x:v>
      </x:c>
      <x:c r="C297" s="17" t="str">
        <x:v>V01</x:v>
      </x:c>
      <x:c r="D297" s="17" t="str">
        <x:v>S01</x:v>
      </x:c>
      <x:c r="E297" s="17" t="n">
        <x:v>1</x:v>
      </x:c>
      <x:c r="F297" s="17" t="str">
        <x:v>T01</x:v>
      </x:c>
      <x:c r="G297" s="17" t="str">
        <x:v>0 mT对照</x:v>
      </x:c>
      <x:c r="H297" s="17" t="n">
        <x:v>12</x:v>
      </x:c>
      <x:c r="I297" s="17" t="n">
        <x:v>12</x:v>
      </x:c>
      <x:c r="J297" s="17" t="n">
        <x:v>2</x:v>
      </x:c>
      <x:c r="K297" s="17" t="n">
        <x:v>14</x:v>
      </x:c>
      <x:c r="L297" s="17" t="str">
        <x:v>分层区组</x:v>
      </x:c>
      <x:c r="M297" s="17" t="str">
        <x:v>检测盲态</x:v>
      </x:c>
      <x:c r="N297" s="17" t="str">
        <x:v>计划</x:v>
      </x:c>
    </x:row>
    <x:row r="298">
      <x:c r="A298" s="17" t="str">
        <x:v>B04-V01-S01-B1</x:v>
      </x:c>
      <x:c r="B298" s="17" t="str">
        <x:v>B04</x:v>
      </x:c>
      <x:c r="C298" s="17" t="str">
        <x:v>V01</x:v>
      </x:c>
      <x:c r="D298" s="17" t="str">
        <x:v>S01</x:v>
      </x:c>
      <x:c r="E298" s="17" t="n">
        <x:v>1</x:v>
      </x:c>
      <x:c r="F298" s="17" t="str">
        <x:v>T01</x:v>
      </x:c>
      <x:c r="G298" s="17" t="str">
        <x:v>0 mT对照</x:v>
      </x:c>
      <x:c r="H298" s="17" t="n">
        <x:v>15</x:v>
      </x:c>
      <x:c r="I298" s="17" t="n">
        <x:v>12</x:v>
      </x:c>
      <x:c r="J298" s="17" t="n">
        <x:v>2</x:v>
      </x:c>
      <x:c r="K298" s="17" t="n">
        <x:v>14</x:v>
      </x:c>
      <x:c r="L298" s="17" t="str">
        <x:v>分层区组</x:v>
      </x:c>
      <x:c r="M298" s="17" t="str">
        <x:v>检测盲态</x:v>
      </x:c>
      <x:c r="N298" s="17" t="str">
        <x:v>计划</x:v>
      </x:c>
    </x:row>
    <x:row r="299">
      <x:c r="A299" s="17" t="str">
        <x:v>B04-V01-S01-B1</x:v>
      </x:c>
      <x:c r="B299" s="17" t="str">
        <x:v>B04</x:v>
      </x:c>
      <x:c r="C299" s="17" t="str">
        <x:v>V01</x:v>
      </x:c>
      <x:c r="D299" s="17" t="str">
        <x:v>S01</x:v>
      </x:c>
      <x:c r="E299" s="17" t="n">
        <x:v>1</x:v>
      </x:c>
      <x:c r="F299" s="17" t="str">
        <x:v>T02</x:v>
      </x:c>
      <x:c r="G299" s="17" t="str">
        <x:v>5 mT连续</x:v>
      </x:c>
      <x:c r="H299" s="17" t="n">
        <x:v>0</x:v>
      </x:c>
      <x:c r="I299" s="17" t="n">
        <x:v>12</x:v>
      </x:c>
      <x:c r="J299" s="17" t="n">
        <x:v>2</x:v>
      </x:c>
      <x:c r="K299" s="17" t="n">
        <x:v>14</x:v>
      </x:c>
      <x:c r="L299" s="17" t="str">
        <x:v>分层区组</x:v>
      </x:c>
      <x:c r="M299" s="17" t="str">
        <x:v>检测盲态</x:v>
      </x:c>
      <x:c r="N299" s="17" t="str">
        <x:v>计划</x:v>
      </x:c>
    </x:row>
    <x:row r="300">
      <x:c r="A300" s="17" t="str">
        <x:v>B04-V01-S01-B1</x:v>
      </x:c>
      <x:c r="B300" s="17" t="str">
        <x:v>B04</x:v>
      </x:c>
      <x:c r="C300" s="17" t="str">
        <x:v>V01</x:v>
      </x:c>
      <x:c r="D300" s="17" t="str">
        <x:v>S01</x:v>
      </x:c>
      <x:c r="E300" s="17" t="n">
        <x:v>1</x:v>
      </x:c>
      <x:c r="F300" s="17" t="str">
        <x:v>T02</x:v>
      </x:c>
      <x:c r="G300" s="17" t="str">
        <x:v>5 mT连续</x:v>
      </x:c>
      <x:c r="H300" s="17" t="n">
        <x:v>3</x:v>
      </x:c>
      <x:c r="I300" s="17" t="n">
        <x:v>12</x:v>
      </x:c>
      <x:c r="J300" s="17" t="n">
        <x:v>2</x:v>
      </x:c>
      <x:c r="K300" s="17" t="n">
        <x:v>14</x:v>
      </x:c>
      <x:c r="L300" s="17" t="str">
        <x:v>分层区组</x:v>
      </x:c>
      <x:c r="M300" s="17" t="str">
        <x:v>检测盲态</x:v>
      </x:c>
      <x:c r="N300" s="17" t="str">
        <x:v>计划</x:v>
      </x:c>
    </x:row>
    <x:row r="301">
      <x:c r="A301" s="17" t="str">
        <x:v>B04-V01-S01-B1</x:v>
      </x:c>
      <x:c r="B301" s="17" t="str">
        <x:v>B04</x:v>
      </x:c>
      <x:c r="C301" s="17" t="str">
        <x:v>V01</x:v>
      </x:c>
      <x:c r="D301" s="17" t="str">
        <x:v>S01</x:v>
      </x:c>
      <x:c r="E301" s="17" t="n">
        <x:v>1</x:v>
      </x:c>
      <x:c r="F301" s="17" t="str">
        <x:v>T02</x:v>
      </x:c>
      <x:c r="G301" s="17" t="str">
        <x:v>5 mT连续</x:v>
      </x:c>
      <x:c r="H301" s="17" t="n">
        <x:v>6</x:v>
      </x:c>
      <x:c r="I301" s="17" t="n">
        <x:v>12</x:v>
      </x:c>
      <x:c r="J301" s="17" t="n">
        <x:v>2</x:v>
      </x:c>
      <x:c r="K301" s="17" t="n">
        <x:v>14</x:v>
      </x:c>
      <x:c r="L301" s="17" t="str">
        <x:v>分层区组</x:v>
      </x:c>
      <x:c r="M301" s="17" t="str">
        <x:v>检测盲态</x:v>
      </x:c>
      <x:c r="N301" s="17" t="str">
        <x:v>计划</x:v>
      </x:c>
    </x:row>
    <x:row r="302">
      <x:c r="A302" s="17" t="str">
        <x:v>B04-V01-S01-B1</x:v>
      </x:c>
      <x:c r="B302" s="17" t="str">
        <x:v>B04</x:v>
      </x:c>
      <x:c r="C302" s="17" t="str">
        <x:v>V01</x:v>
      </x:c>
      <x:c r="D302" s="17" t="str">
        <x:v>S01</x:v>
      </x:c>
      <x:c r="E302" s="17" t="n">
        <x:v>1</x:v>
      </x:c>
      <x:c r="F302" s="17" t="str">
        <x:v>T02</x:v>
      </x:c>
      <x:c r="G302" s="17" t="str">
        <x:v>5 mT连续</x:v>
      </x:c>
      <x:c r="H302" s="17" t="n">
        <x:v>9</x:v>
      </x:c>
      <x:c r="I302" s="17" t="n">
        <x:v>12</x:v>
      </x:c>
      <x:c r="J302" s="17" t="n">
        <x:v>2</x:v>
      </x:c>
      <x:c r="K302" s="17" t="n">
        <x:v>14</x:v>
      </x:c>
      <x:c r="L302" s="17" t="str">
        <x:v>分层区组</x:v>
      </x:c>
      <x:c r="M302" s="17" t="str">
        <x:v>检测盲态</x:v>
      </x:c>
      <x:c r="N302" s="17" t="str">
        <x:v>计划</x:v>
      </x:c>
    </x:row>
    <x:row r="303">
      <x:c r="A303" s="17" t="str">
        <x:v>B04-V01-S01-B1</x:v>
      </x:c>
      <x:c r="B303" s="17" t="str">
        <x:v>B04</x:v>
      </x:c>
      <x:c r="C303" s="17" t="str">
        <x:v>V01</x:v>
      </x:c>
      <x:c r="D303" s="17" t="str">
        <x:v>S01</x:v>
      </x:c>
      <x:c r="E303" s="17" t="n">
        <x:v>1</x:v>
      </x:c>
      <x:c r="F303" s="17" t="str">
        <x:v>T02</x:v>
      </x:c>
      <x:c r="G303" s="17" t="str">
        <x:v>5 mT连续</x:v>
      </x:c>
      <x:c r="H303" s="17" t="n">
        <x:v>12</x:v>
      </x:c>
      <x:c r="I303" s="17" t="n">
        <x:v>12</x:v>
      </x:c>
      <x:c r="J303" s="17" t="n">
        <x:v>2</x:v>
      </x:c>
      <x:c r="K303" s="17" t="n">
        <x:v>14</x:v>
      </x:c>
      <x:c r="L303" s="17" t="str">
        <x:v>分层区组</x:v>
      </x:c>
      <x:c r="M303" s="17" t="str">
        <x:v>检测盲态</x:v>
      </x:c>
      <x:c r="N303" s="17" t="str">
        <x:v>计划</x:v>
      </x:c>
    </x:row>
    <x:row r="304">
      <x:c r="A304" s="17" t="str">
        <x:v>B04-V01-S01-B1</x:v>
      </x:c>
      <x:c r="B304" s="17" t="str">
        <x:v>B04</x:v>
      </x:c>
      <x:c r="C304" s="17" t="str">
        <x:v>V01</x:v>
      </x:c>
      <x:c r="D304" s="17" t="str">
        <x:v>S01</x:v>
      </x:c>
      <x:c r="E304" s="17" t="n">
        <x:v>1</x:v>
      </x:c>
      <x:c r="F304" s="17" t="str">
        <x:v>T02</x:v>
      </x:c>
      <x:c r="G304" s="17" t="str">
        <x:v>5 mT连续</x:v>
      </x:c>
      <x:c r="H304" s="17" t="n">
        <x:v>15</x:v>
      </x:c>
      <x:c r="I304" s="17" t="n">
        <x:v>12</x:v>
      </x:c>
      <x:c r="J304" s="17" t="n">
        <x:v>2</x:v>
      </x:c>
      <x:c r="K304" s="17" t="n">
        <x:v>14</x:v>
      </x:c>
      <x:c r="L304" s="17" t="str">
        <x:v>分层区组</x:v>
      </x:c>
      <x:c r="M304" s="17" t="str">
        <x:v>检测盲态</x:v>
      </x:c>
      <x:c r="N304" s="17" t="str">
        <x:v>计划</x:v>
      </x:c>
    </x:row>
    <x:row r="305">
      <x:c r="A305" s="17" t="str">
        <x:v>B04-V01-S01-B2</x:v>
      </x:c>
      <x:c r="B305" s="17" t="str">
        <x:v>B04</x:v>
      </x:c>
      <x:c r="C305" s="17" t="str">
        <x:v>V01</x:v>
      </x:c>
      <x:c r="D305" s="17" t="str">
        <x:v>S01</x:v>
      </x:c>
      <x:c r="E305" s="17" t="n">
        <x:v>2</x:v>
      </x:c>
      <x:c r="F305" s="17" t="str">
        <x:v>T01</x:v>
      </x:c>
      <x:c r="G305" s="17" t="str">
        <x:v>0 mT对照</x:v>
      </x:c>
      <x:c r="H305" s="17" t="n">
        <x:v>0</x:v>
      </x:c>
      <x:c r="I305" s="17" t="n">
        <x:v>12</x:v>
      </x:c>
      <x:c r="J305" s="17" t="n">
        <x:v>2</x:v>
      </x:c>
      <x:c r="K305" s="17" t="n">
        <x:v>14</x:v>
      </x:c>
      <x:c r="L305" s="17" t="str">
        <x:v>分层区组</x:v>
      </x:c>
      <x:c r="M305" s="17" t="str">
        <x:v>检测盲态</x:v>
      </x:c>
      <x:c r="N305" s="17" t="str">
        <x:v>计划</x:v>
      </x:c>
    </x:row>
    <x:row r="306">
      <x:c r="A306" s="17" t="str">
        <x:v>B04-V01-S01-B2</x:v>
      </x:c>
      <x:c r="B306" s="17" t="str">
        <x:v>B04</x:v>
      </x:c>
      <x:c r="C306" s="17" t="str">
        <x:v>V01</x:v>
      </x:c>
      <x:c r="D306" s="17" t="str">
        <x:v>S01</x:v>
      </x:c>
      <x:c r="E306" s="17" t="n">
        <x:v>2</x:v>
      </x:c>
      <x:c r="F306" s="17" t="str">
        <x:v>T01</x:v>
      </x:c>
      <x:c r="G306" s="17" t="str">
        <x:v>0 mT对照</x:v>
      </x:c>
      <x:c r="H306" s="17" t="n">
        <x:v>3</x:v>
      </x:c>
      <x:c r="I306" s="17" t="n">
        <x:v>12</x:v>
      </x:c>
      <x:c r="J306" s="17" t="n">
        <x:v>2</x:v>
      </x:c>
      <x:c r="K306" s="17" t="n">
        <x:v>14</x:v>
      </x:c>
      <x:c r="L306" s="17" t="str">
        <x:v>分层区组</x:v>
      </x:c>
      <x:c r="M306" s="17" t="str">
        <x:v>检测盲态</x:v>
      </x:c>
      <x:c r="N306" s="17" t="str">
        <x:v>计划</x:v>
      </x:c>
    </x:row>
    <x:row r="307">
      <x:c r="A307" s="17" t="str">
        <x:v>B04-V01-S01-B2</x:v>
      </x:c>
      <x:c r="B307" s="17" t="str">
        <x:v>B04</x:v>
      </x:c>
      <x:c r="C307" s="17" t="str">
        <x:v>V01</x:v>
      </x:c>
      <x:c r="D307" s="17" t="str">
        <x:v>S01</x:v>
      </x:c>
      <x:c r="E307" s="17" t="n">
        <x:v>2</x:v>
      </x:c>
      <x:c r="F307" s="17" t="str">
        <x:v>T01</x:v>
      </x:c>
      <x:c r="G307" s="17" t="str">
        <x:v>0 mT对照</x:v>
      </x:c>
      <x:c r="H307" s="17" t="n">
        <x:v>6</x:v>
      </x:c>
      <x:c r="I307" s="17" t="n">
        <x:v>12</x:v>
      </x:c>
      <x:c r="J307" s="17" t="n">
        <x:v>2</x:v>
      </x:c>
      <x:c r="K307" s="17" t="n">
        <x:v>14</x:v>
      </x:c>
      <x:c r="L307" s="17" t="str">
        <x:v>分层区组</x:v>
      </x:c>
      <x:c r="M307" s="17" t="str">
        <x:v>检测盲态</x:v>
      </x:c>
      <x:c r="N307" s="17" t="str">
        <x:v>计划</x:v>
      </x:c>
    </x:row>
    <x:row r="308">
      <x:c r="A308" s="17" t="str">
        <x:v>B04-V01-S01-B2</x:v>
      </x:c>
      <x:c r="B308" s="17" t="str">
        <x:v>B04</x:v>
      </x:c>
      <x:c r="C308" s="17" t="str">
        <x:v>V01</x:v>
      </x:c>
      <x:c r="D308" s="17" t="str">
        <x:v>S01</x:v>
      </x:c>
      <x:c r="E308" s="17" t="n">
        <x:v>2</x:v>
      </x:c>
      <x:c r="F308" s="17" t="str">
        <x:v>T01</x:v>
      </x:c>
      <x:c r="G308" s="17" t="str">
        <x:v>0 mT对照</x:v>
      </x:c>
      <x:c r="H308" s="17" t="n">
        <x:v>9</x:v>
      </x:c>
      <x:c r="I308" s="17" t="n">
        <x:v>12</x:v>
      </x:c>
      <x:c r="J308" s="17" t="n">
        <x:v>2</x:v>
      </x:c>
      <x:c r="K308" s="17" t="n">
        <x:v>14</x:v>
      </x:c>
      <x:c r="L308" s="17" t="str">
        <x:v>分层区组</x:v>
      </x:c>
      <x:c r="M308" s="17" t="str">
        <x:v>检测盲态</x:v>
      </x:c>
      <x:c r="N308" s="17" t="str">
        <x:v>计划</x:v>
      </x:c>
    </x:row>
    <x:row r="309">
      <x:c r="A309" s="17" t="str">
        <x:v>B04-V01-S01-B2</x:v>
      </x:c>
      <x:c r="B309" s="17" t="str">
        <x:v>B04</x:v>
      </x:c>
      <x:c r="C309" s="17" t="str">
        <x:v>V01</x:v>
      </x:c>
      <x:c r="D309" s="17" t="str">
        <x:v>S01</x:v>
      </x:c>
      <x:c r="E309" s="17" t="n">
        <x:v>2</x:v>
      </x:c>
      <x:c r="F309" s="17" t="str">
        <x:v>T01</x:v>
      </x:c>
      <x:c r="G309" s="17" t="str">
        <x:v>0 mT对照</x:v>
      </x:c>
      <x:c r="H309" s="17" t="n">
        <x:v>12</x:v>
      </x:c>
      <x:c r="I309" s="17" t="n">
        <x:v>12</x:v>
      </x:c>
      <x:c r="J309" s="17" t="n">
        <x:v>2</x:v>
      </x:c>
      <x:c r="K309" s="17" t="n">
        <x:v>14</x:v>
      </x:c>
      <x:c r="L309" s="17" t="str">
        <x:v>分层区组</x:v>
      </x:c>
      <x:c r="M309" s="17" t="str">
        <x:v>检测盲态</x:v>
      </x:c>
      <x:c r="N309" s="17" t="str">
        <x:v>计划</x:v>
      </x:c>
    </x:row>
    <x:row r="310">
      <x:c r="A310" s="17" t="str">
        <x:v>B04-V01-S01-B2</x:v>
      </x:c>
      <x:c r="B310" s="17" t="str">
        <x:v>B04</x:v>
      </x:c>
      <x:c r="C310" s="17" t="str">
        <x:v>V01</x:v>
      </x:c>
      <x:c r="D310" s="17" t="str">
        <x:v>S01</x:v>
      </x:c>
      <x:c r="E310" s="17" t="n">
        <x:v>2</x:v>
      </x:c>
      <x:c r="F310" s="17" t="str">
        <x:v>T01</x:v>
      </x:c>
      <x:c r="G310" s="17" t="str">
        <x:v>0 mT对照</x:v>
      </x:c>
      <x:c r="H310" s="17" t="n">
        <x:v>15</x:v>
      </x:c>
      <x:c r="I310" s="17" t="n">
        <x:v>12</x:v>
      </x:c>
      <x:c r="J310" s="17" t="n">
        <x:v>2</x:v>
      </x:c>
      <x:c r="K310" s="17" t="n">
        <x:v>14</x:v>
      </x:c>
      <x:c r="L310" s="17" t="str">
        <x:v>分层区组</x:v>
      </x:c>
      <x:c r="M310" s="17" t="str">
        <x:v>检测盲态</x:v>
      </x:c>
      <x:c r="N310" s="17" t="str">
        <x:v>计划</x:v>
      </x:c>
    </x:row>
    <x:row r="311">
      <x:c r="A311" s="17" t="str">
        <x:v>B04-V01-S01-B2</x:v>
      </x:c>
      <x:c r="B311" s="17" t="str">
        <x:v>B04</x:v>
      </x:c>
      <x:c r="C311" s="17" t="str">
        <x:v>V01</x:v>
      </x:c>
      <x:c r="D311" s="17" t="str">
        <x:v>S01</x:v>
      </x:c>
      <x:c r="E311" s="17" t="n">
        <x:v>2</x:v>
      </x:c>
      <x:c r="F311" s="17" t="str">
        <x:v>T02</x:v>
      </x:c>
      <x:c r="G311" s="17" t="str">
        <x:v>5 mT连续</x:v>
      </x:c>
      <x:c r="H311" s="17" t="n">
        <x:v>0</x:v>
      </x:c>
      <x:c r="I311" s="17" t="n">
        <x:v>12</x:v>
      </x:c>
      <x:c r="J311" s="17" t="n">
        <x:v>2</x:v>
      </x:c>
      <x:c r="K311" s="17" t="n">
        <x:v>14</x:v>
      </x:c>
      <x:c r="L311" s="17" t="str">
        <x:v>分层区组</x:v>
      </x:c>
      <x:c r="M311" s="17" t="str">
        <x:v>检测盲态</x:v>
      </x:c>
      <x:c r="N311" s="17" t="str">
        <x:v>计划</x:v>
      </x:c>
    </x:row>
    <x:row r="312">
      <x:c r="A312" s="17" t="str">
        <x:v>B04-V01-S01-B2</x:v>
      </x:c>
      <x:c r="B312" s="17" t="str">
        <x:v>B04</x:v>
      </x:c>
      <x:c r="C312" s="17" t="str">
        <x:v>V01</x:v>
      </x:c>
      <x:c r="D312" s="17" t="str">
        <x:v>S01</x:v>
      </x:c>
      <x:c r="E312" s="17" t="n">
        <x:v>2</x:v>
      </x:c>
      <x:c r="F312" s="17" t="str">
        <x:v>T02</x:v>
      </x:c>
      <x:c r="G312" s="17" t="str">
        <x:v>5 mT连续</x:v>
      </x:c>
      <x:c r="H312" s="17" t="n">
        <x:v>3</x:v>
      </x:c>
      <x:c r="I312" s="17" t="n">
        <x:v>12</x:v>
      </x:c>
      <x:c r="J312" s="17" t="n">
        <x:v>2</x:v>
      </x:c>
      <x:c r="K312" s="17" t="n">
        <x:v>14</x:v>
      </x:c>
      <x:c r="L312" s="17" t="str">
        <x:v>分层区组</x:v>
      </x:c>
      <x:c r="M312" s="17" t="str">
        <x:v>检测盲态</x:v>
      </x:c>
      <x:c r="N312" s="17" t="str">
        <x:v>计划</x:v>
      </x:c>
    </x:row>
    <x:row r="313">
      <x:c r="A313" s="17" t="str">
        <x:v>B04-V01-S01-B2</x:v>
      </x:c>
      <x:c r="B313" s="17" t="str">
        <x:v>B04</x:v>
      </x:c>
      <x:c r="C313" s="17" t="str">
        <x:v>V01</x:v>
      </x:c>
      <x:c r="D313" s="17" t="str">
        <x:v>S01</x:v>
      </x:c>
      <x:c r="E313" s="17" t="n">
        <x:v>2</x:v>
      </x:c>
      <x:c r="F313" s="17" t="str">
        <x:v>T02</x:v>
      </x:c>
      <x:c r="G313" s="17" t="str">
        <x:v>5 mT连续</x:v>
      </x:c>
      <x:c r="H313" s="17" t="n">
        <x:v>6</x:v>
      </x:c>
      <x:c r="I313" s="17" t="n">
        <x:v>12</x:v>
      </x:c>
      <x:c r="J313" s="17" t="n">
        <x:v>2</x:v>
      </x:c>
      <x:c r="K313" s="17" t="n">
        <x:v>14</x:v>
      </x:c>
      <x:c r="L313" s="17" t="str">
        <x:v>分层区组</x:v>
      </x:c>
      <x:c r="M313" s="17" t="str">
        <x:v>检测盲态</x:v>
      </x:c>
      <x:c r="N313" s="17" t="str">
        <x:v>计划</x:v>
      </x:c>
    </x:row>
    <x:row r="314">
      <x:c r="A314" s="17" t="str">
        <x:v>B04-V01-S01-B2</x:v>
      </x:c>
      <x:c r="B314" s="17" t="str">
        <x:v>B04</x:v>
      </x:c>
      <x:c r="C314" s="17" t="str">
        <x:v>V01</x:v>
      </x:c>
      <x:c r="D314" s="17" t="str">
        <x:v>S01</x:v>
      </x:c>
      <x:c r="E314" s="17" t="n">
        <x:v>2</x:v>
      </x:c>
      <x:c r="F314" s="17" t="str">
        <x:v>T02</x:v>
      </x:c>
      <x:c r="G314" s="17" t="str">
        <x:v>5 mT连续</x:v>
      </x:c>
      <x:c r="H314" s="17" t="n">
        <x:v>9</x:v>
      </x:c>
      <x:c r="I314" s="17" t="n">
        <x:v>12</x:v>
      </x:c>
      <x:c r="J314" s="17" t="n">
        <x:v>2</x:v>
      </x:c>
      <x:c r="K314" s="17" t="n">
        <x:v>14</x:v>
      </x:c>
      <x:c r="L314" s="17" t="str">
        <x:v>分层区组</x:v>
      </x:c>
      <x:c r="M314" s="17" t="str">
        <x:v>检测盲态</x:v>
      </x:c>
      <x:c r="N314" s="17" t="str">
        <x:v>计划</x:v>
      </x:c>
    </x:row>
    <x:row r="315">
      <x:c r="A315" s="17" t="str">
        <x:v>B04-V01-S01-B2</x:v>
      </x:c>
      <x:c r="B315" s="17" t="str">
        <x:v>B04</x:v>
      </x:c>
      <x:c r="C315" s="17" t="str">
        <x:v>V01</x:v>
      </x:c>
      <x:c r="D315" s="17" t="str">
        <x:v>S01</x:v>
      </x:c>
      <x:c r="E315" s="17" t="n">
        <x:v>2</x:v>
      </x:c>
      <x:c r="F315" s="17" t="str">
        <x:v>T02</x:v>
      </x:c>
      <x:c r="G315" s="17" t="str">
        <x:v>5 mT连续</x:v>
      </x:c>
      <x:c r="H315" s="17" t="n">
        <x:v>12</x:v>
      </x:c>
      <x:c r="I315" s="17" t="n">
        <x:v>12</x:v>
      </x:c>
      <x:c r="J315" s="17" t="n">
        <x:v>2</x:v>
      </x:c>
      <x:c r="K315" s="17" t="n">
        <x:v>14</x:v>
      </x:c>
      <x:c r="L315" s="17" t="str">
        <x:v>分层区组</x:v>
      </x:c>
      <x:c r="M315" s="17" t="str">
        <x:v>检测盲态</x:v>
      </x:c>
      <x:c r="N315" s="17" t="str">
        <x:v>计划</x:v>
      </x:c>
    </x:row>
    <x:row r="316">
      <x:c r="A316" s="17" t="str">
        <x:v>B04-V01-S01-B2</x:v>
      </x:c>
      <x:c r="B316" s="17" t="str">
        <x:v>B04</x:v>
      </x:c>
      <x:c r="C316" s="17" t="str">
        <x:v>V01</x:v>
      </x:c>
      <x:c r="D316" s="17" t="str">
        <x:v>S01</x:v>
      </x:c>
      <x:c r="E316" s="17" t="n">
        <x:v>2</x:v>
      </x:c>
      <x:c r="F316" s="17" t="str">
        <x:v>T02</x:v>
      </x:c>
      <x:c r="G316" s="17" t="str">
        <x:v>5 mT连续</x:v>
      </x:c>
      <x:c r="H316" s="17" t="n">
        <x:v>15</x:v>
      </x:c>
      <x:c r="I316" s="17" t="n">
        <x:v>12</x:v>
      </x:c>
      <x:c r="J316" s="17" t="n">
        <x:v>2</x:v>
      </x:c>
      <x:c r="K316" s="17" t="n">
        <x:v>14</x:v>
      </x:c>
      <x:c r="L316" s="17" t="str">
        <x:v>分层区组</x:v>
      </x:c>
      <x:c r="M316" s="17" t="str">
        <x:v>检测盲态</x:v>
      </x:c>
      <x:c r="N316" s="17" t="str">
        <x:v>计划</x:v>
      </x:c>
    </x:row>
    <x:row r="317">
      <x:c r="A317" s="17" t="str">
        <x:v>B04-V01-S02-B1</x:v>
      </x:c>
      <x:c r="B317" s="17" t="str">
        <x:v>B04</x:v>
      </x:c>
      <x:c r="C317" s="17" t="str">
        <x:v>V01</x:v>
      </x:c>
      <x:c r="D317" s="17" t="str">
        <x:v>S02</x:v>
      </x:c>
      <x:c r="E317" s="17" t="n">
        <x:v>1</x:v>
      </x:c>
      <x:c r="F317" s="17" t="str">
        <x:v>T01</x:v>
      </x:c>
      <x:c r="G317" s="17" t="str">
        <x:v>0 mT对照</x:v>
      </x:c>
      <x:c r="H317" s="17" t="n">
        <x:v>0</x:v>
      </x:c>
      <x:c r="I317" s="17" t="n">
        <x:v>12</x:v>
      </x:c>
      <x:c r="J317" s="17" t="n">
        <x:v>2</x:v>
      </x:c>
      <x:c r="K317" s="17" t="n">
        <x:v>14</x:v>
      </x:c>
      <x:c r="L317" s="17" t="str">
        <x:v>分层区组</x:v>
      </x:c>
      <x:c r="M317" s="17" t="str">
        <x:v>检测盲态</x:v>
      </x:c>
      <x:c r="N317" s="17" t="str">
        <x:v>计划</x:v>
      </x:c>
    </x:row>
    <x:row r="318">
      <x:c r="A318" s="17" t="str">
        <x:v>B04-V01-S02-B1</x:v>
      </x:c>
      <x:c r="B318" s="17" t="str">
        <x:v>B04</x:v>
      </x:c>
      <x:c r="C318" s="17" t="str">
        <x:v>V01</x:v>
      </x:c>
      <x:c r="D318" s="17" t="str">
        <x:v>S02</x:v>
      </x:c>
      <x:c r="E318" s="17" t="n">
        <x:v>1</x:v>
      </x:c>
      <x:c r="F318" s="17" t="str">
        <x:v>T01</x:v>
      </x:c>
      <x:c r="G318" s="17" t="str">
        <x:v>0 mT对照</x:v>
      </x:c>
      <x:c r="H318" s="17" t="n">
        <x:v>3</x:v>
      </x:c>
      <x:c r="I318" s="17" t="n">
        <x:v>12</x:v>
      </x:c>
      <x:c r="J318" s="17" t="n">
        <x:v>2</x:v>
      </x:c>
      <x:c r="K318" s="17" t="n">
        <x:v>14</x:v>
      </x:c>
      <x:c r="L318" s="17" t="str">
        <x:v>分层区组</x:v>
      </x:c>
      <x:c r="M318" s="17" t="str">
        <x:v>检测盲态</x:v>
      </x:c>
      <x:c r="N318" s="17" t="str">
        <x:v>计划</x:v>
      </x:c>
    </x:row>
    <x:row r="319">
      <x:c r="A319" s="17" t="str">
        <x:v>B04-V01-S02-B1</x:v>
      </x:c>
      <x:c r="B319" s="17" t="str">
        <x:v>B04</x:v>
      </x:c>
      <x:c r="C319" s="17" t="str">
        <x:v>V01</x:v>
      </x:c>
      <x:c r="D319" s="17" t="str">
        <x:v>S02</x:v>
      </x:c>
      <x:c r="E319" s="17" t="n">
        <x:v>1</x:v>
      </x:c>
      <x:c r="F319" s="17" t="str">
        <x:v>T01</x:v>
      </x:c>
      <x:c r="G319" s="17" t="str">
        <x:v>0 mT对照</x:v>
      </x:c>
      <x:c r="H319" s="17" t="n">
        <x:v>6</x:v>
      </x:c>
      <x:c r="I319" s="17" t="n">
        <x:v>12</x:v>
      </x:c>
      <x:c r="J319" s="17" t="n">
        <x:v>2</x:v>
      </x:c>
      <x:c r="K319" s="17" t="n">
        <x:v>14</x:v>
      </x:c>
      <x:c r="L319" s="17" t="str">
        <x:v>分层区组</x:v>
      </x:c>
      <x:c r="M319" s="17" t="str">
        <x:v>检测盲态</x:v>
      </x:c>
      <x:c r="N319" s="17" t="str">
        <x:v>计划</x:v>
      </x:c>
    </x:row>
    <x:row r="320">
      <x:c r="A320" s="17" t="str">
        <x:v>B04-V01-S02-B1</x:v>
      </x:c>
      <x:c r="B320" s="17" t="str">
        <x:v>B04</x:v>
      </x:c>
      <x:c r="C320" s="17" t="str">
        <x:v>V01</x:v>
      </x:c>
      <x:c r="D320" s="17" t="str">
        <x:v>S02</x:v>
      </x:c>
      <x:c r="E320" s="17" t="n">
        <x:v>1</x:v>
      </x:c>
      <x:c r="F320" s="17" t="str">
        <x:v>T01</x:v>
      </x:c>
      <x:c r="G320" s="17" t="str">
        <x:v>0 mT对照</x:v>
      </x:c>
      <x:c r="H320" s="17" t="n">
        <x:v>9</x:v>
      </x:c>
      <x:c r="I320" s="17" t="n">
        <x:v>12</x:v>
      </x:c>
      <x:c r="J320" s="17" t="n">
        <x:v>2</x:v>
      </x:c>
      <x:c r="K320" s="17" t="n">
        <x:v>14</x:v>
      </x:c>
      <x:c r="L320" s="17" t="str">
        <x:v>分层区组</x:v>
      </x:c>
      <x:c r="M320" s="17" t="str">
        <x:v>检测盲态</x:v>
      </x:c>
      <x:c r="N320" s="17" t="str">
        <x:v>计划</x:v>
      </x:c>
    </x:row>
    <x:row r="321">
      <x:c r="A321" s="17" t="str">
        <x:v>B04-V01-S02-B1</x:v>
      </x:c>
      <x:c r="B321" s="17" t="str">
        <x:v>B04</x:v>
      </x:c>
      <x:c r="C321" s="17" t="str">
        <x:v>V01</x:v>
      </x:c>
      <x:c r="D321" s="17" t="str">
        <x:v>S02</x:v>
      </x:c>
      <x:c r="E321" s="17" t="n">
        <x:v>1</x:v>
      </x:c>
      <x:c r="F321" s="17" t="str">
        <x:v>T01</x:v>
      </x:c>
      <x:c r="G321" s="17" t="str">
        <x:v>0 mT对照</x:v>
      </x:c>
      <x:c r="H321" s="17" t="n">
        <x:v>12</x:v>
      </x:c>
      <x:c r="I321" s="17" t="n">
        <x:v>12</x:v>
      </x:c>
      <x:c r="J321" s="17" t="n">
        <x:v>2</x:v>
      </x:c>
      <x:c r="K321" s="17" t="n">
        <x:v>14</x:v>
      </x:c>
      <x:c r="L321" s="17" t="str">
        <x:v>分层区组</x:v>
      </x:c>
      <x:c r="M321" s="17" t="str">
        <x:v>检测盲态</x:v>
      </x:c>
      <x:c r="N321" s="17" t="str">
        <x:v>计划</x:v>
      </x:c>
    </x:row>
    <x:row r="322">
      <x:c r="A322" s="17" t="str">
        <x:v>B04-V01-S02-B1</x:v>
      </x:c>
      <x:c r="B322" s="17" t="str">
        <x:v>B04</x:v>
      </x:c>
      <x:c r="C322" s="17" t="str">
        <x:v>V01</x:v>
      </x:c>
      <x:c r="D322" s="17" t="str">
        <x:v>S02</x:v>
      </x:c>
      <x:c r="E322" s="17" t="n">
        <x:v>1</x:v>
      </x:c>
      <x:c r="F322" s="17" t="str">
        <x:v>T01</x:v>
      </x:c>
      <x:c r="G322" s="17" t="str">
        <x:v>0 mT对照</x:v>
      </x:c>
      <x:c r="H322" s="17" t="n">
        <x:v>15</x:v>
      </x:c>
      <x:c r="I322" s="17" t="n">
        <x:v>12</x:v>
      </x:c>
      <x:c r="J322" s="17" t="n">
        <x:v>2</x:v>
      </x:c>
      <x:c r="K322" s="17" t="n">
        <x:v>14</x:v>
      </x:c>
      <x:c r="L322" s="17" t="str">
        <x:v>分层区组</x:v>
      </x:c>
      <x:c r="M322" s="17" t="str">
        <x:v>检测盲态</x:v>
      </x:c>
      <x:c r="N322" s="17" t="str">
        <x:v>计划</x:v>
      </x:c>
    </x:row>
    <x:row r="323">
      <x:c r="A323" s="17" t="str">
        <x:v>B04-V01-S02-B1</x:v>
      </x:c>
      <x:c r="B323" s="17" t="str">
        <x:v>B04</x:v>
      </x:c>
      <x:c r="C323" s="17" t="str">
        <x:v>V01</x:v>
      </x:c>
      <x:c r="D323" s="17" t="str">
        <x:v>S02</x:v>
      </x:c>
      <x:c r="E323" s="17" t="n">
        <x:v>1</x:v>
      </x:c>
      <x:c r="F323" s="17" t="str">
        <x:v>T02</x:v>
      </x:c>
      <x:c r="G323" s="17" t="str">
        <x:v>5 mT连续</x:v>
      </x:c>
      <x:c r="H323" s="17" t="n">
        <x:v>0</x:v>
      </x:c>
      <x:c r="I323" s="17" t="n">
        <x:v>12</x:v>
      </x:c>
      <x:c r="J323" s="17" t="n">
        <x:v>2</x:v>
      </x:c>
      <x:c r="K323" s="17" t="n">
        <x:v>14</x:v>
      </x:c>
      <x:c r="L323" s="17" t="str">
        <x:v>分层区组</x:v>
      </x:c>
      <x:c r="M323" s="17" t="str">
        <x:v>检测盲态</x:v>
      </x:c>
      <x:c r="N323" s="17" t="str">
        <x:v>计划</x:v>
      </x:c>
    </x:row>
    <x:row r="324">
      <x:c r="A324" s="17" t="str">
        <x:v>B04-V01-S02-B1</x:v>
      </x:c>
      <x:c r="B324" s="17" t="str">
        <x:v>B04</x:v>
      </x:c>
      <x:c r="C324" s="17" t="str">
        <x:v>V01</x:v>
      </x:c>
      <x:c r="D324" s="17" t="str">
        <x:v>S02</x:v>
      </x:c>
      <x:c r="E324" s="17" t="n">
        <x:v>1</x:v>
      </x:c>
      <x:c r="F324" s="17" t="str">
        <x:v>T02</x:v>
      </x:c>
      <x:c r="G324" s="17" t="str">
        <x:v>5 mT连续</x:v>
      </x:c>
      <x:c r="H324" s="17" t="n">
        <x:v>3</x:v>
      </x:c>
      <x:c r="I324" s="17" t="n">
        <x:v>12</x:v>
      </x:c>
      <x:c r="J324" s="17" t="n">
        <x:v>2</x:v>
      </x:c>
      <x:c r="K324" s="17" t="n">
        <x:v>14</x:v>
      </x:c>
      <x:c r="L324" s="17" t="str">
        <x:v>分层区组</x:v>
      </x:c>
      <x:c r="M324" s="17" t="str">
        <x:v>检测盲态</x:v>
      </x:c>
      <x:c r="N324" s="17" t="str">
        <x:v>计划</x:v>
      </x:c>
    </x:row>
    <x:row r="325">
      <x:c r="A325" s="17" t="str">
        <x:v>B04-V01-S02-B1</x:v>
      </x:c>
      <x:c r="B325" s="17" t="str">
        <x:v>B04</x:v>
      </x:c>
      <x:c r="C325" s="17" t="str">
        <x:v>V01</x:v>
      </x:c>
      <x:c r="D325" s="17" t="str">
        <x:v>S02</x:v>
      </x:c>
      <x:c r="E325" s="17" t="n">
        <x:v>1</x:v>
      </x:c>
      <x:c r="F325" s="17" t="str">
        <x:v>T02</x:v>
      </x:c>
      <x:c r="G325" s="17" t="str">
        <x:v>5 mT连续</x:v>
      </x:c>
      <x:c r="H325" s="17" t="n">
        <x:v>6</x:v>
      </x:c>
      <x:c r="I325" s="17" t="n">
        <x:v>12</x:v>
      </x:c>
      <x:c r="J325" s="17" t="n">
        <x:v>2</x:v>
      </x:c>
      <x:c r="K325" s="17" t="n">
        <x:v>14</x:v>
      </x:c>
      <x:c r="L325" s="17" t="str">
        <x:v>分层区组</x:v>
      </x:c>
      <x:c r="M325" s="17" t="str">
        <x:v>检测盲态</x:v>
      </x:c>
      <x:c r="N325" s="17" t="str">
        <x:v>计划</x:v>
      </x:c>
    </x:row>
    <x:row r="326">
      <x:c r="A326" s="17" t="str">
        <x:v>B04-V01-S02-B1</x:v>
      </x:c>
      <x:c r="B326" s="17" t="str">
        <x:v>B04</x:v>
      </x:c>
      <x:c r="C326" s="17" t="str">
        <x:v>V01</x:v>
      </x:c>
      <x:c r="D326" s="17" t="str">
        <x:v>S02</x:v>
      </x:c>
      <x:c r="E326" s="17" t="n">
        <x:v>1</x:v>
      </x:c>
      <x:c r="F326" s="17" t="str">
        <x:v>T02</x:v>
      </x:c>
      <x:c r="G326" s="17" t="str">
        <x:v>5 mT连续</x:v>
      </x:c>
      <x:c r="H326" s="17" t="n">
        <x:v>9</x:v>
      </x:c>
      <x:c r="I326" s="17" t="n">
        <x:v>12</x:v>
      </x:c>
      <x:c r="J326" s="17" t="n">
        <x:v>2</x:v>
      </x:c>
      <x:c r="K326" s="17" t="n">
        <x:v>14</x:v>
      </x:c>
      <x:c r="L326" s="17" t="str">
        <x:v>分层区组</x:v>
      </x:c>
      <x:c r="M326" s="17" t="str">
        <x:v>检测盲态</x:v>
      </x:c>
      <x:c r="N326" s="17" t="str">
        <x:v>计划</x:v>
      </x:c>
    </x:row>
    <x:row r="327">
      <x:c r="A327" s="17" t="str">
        <x:v>B04-V01-S02-B1</x:v>
      </x:c>
      <x:c r="B327" s="17" t="str">
        <x:v>B04</x:v>
      </x:c>
      <x:c r="C327" s="17" t="str">
        <x:v>V01</x:v>
      </x:c>
      <x:c r="D327" s="17" t="str">
        <x:v>S02</x:v>
      </x:c>
      <x:c r="E327" s="17" t="n">
        <x:v>1</x:v>
      </x:c>
      <x:c r="F327" s="17" t="str">
        <x:v>T02</x:v>
      </x:c>
      <x:c r="G327" s="17" t="str">
        <x:v>5 mT连续</x:v>
      </x:c>
      <x:c r="H327" s="17" t="n">
        <x:v>12</x:v>
      </x:c>
      <x:c r="I327" s="17" t="n">
        <x:v>12</x:v>
      </x:c>
      <x:c r="J327" s="17" t="n">
        <x:v>2</x:v>
      </x:c>
      <x:c r="K327" s="17" t="n">
        <x:v>14</x:v>
      </x:c>
      <x:c r="L327" s="17" t="str">
        <x:v>分层区组</x:v>
      </x:c>
      <x:c r="M327" s="17" t="str">
        <x:v>检测盲态</x:v>
      </x:c>
      <x:c r="N327" s="17" t="str">
        <x:v>计划</x:v>
      </x:c>
    </x:row>
    <x:row r="328">
      <x:c r="A328" s="17" t="str">
        <x:v>B04-V01-S02-B1</x:v>
      </x:c>
      <x:c r="B328" s="17" t="str">
        <x:v>B04</x:v>
      </x:c>
      <x:c r="C328" s="17" t="str">
        <x:v>V01</x:v>
      </x:c>
      <x:c r="D328" s="17" t="str">
        <x:v>S02</x:v>
      </x:c>
      <x:c r="E328" s="17" t="n">
        <x:v>1</x:v>
      </x:c>
      <x:c r="F328" s="17" t="str">
        <x:v>T02</x:v>
      </x:c>
      <x:c r="G328" s="17" t="str">
        <x:v>5 mT连续</x:v>
      </x:c>
      <x:c r="H328" s="17" t="n">
        <x:v>15</x:v>
      </x:c>
      <x:c r="I328" s="17" t="n">
        <x:v>12</x:v>
      </x:c>
      <x:c r="J328" s="17" t="n">
        <x:v>2</x:v>
      </x:c>
      <x:c r="K328" s="17" t="n">
        <x:v>14</x:v>
      </x:c>
      <x:c r="L328" s="17" t="str">
        <x:v>分层区组</x:v>
      </x:c>
      <x:c r="M328" s="17" t="str">
        <x:v>检测盲态</x:v>
      </x:c>
      <x:c r="N328" s="17" t="str">
        <x:v>计划</x:v>
      </x:c>
    </x:row>
    <x:row r="329">
      <x:c r="A329" s="17" t="str">
        <x:v>B04-V01-S02-B2</x:v>
      </x:c>
      <x:c r="B329" s="17" t="str">
        <x:v>B04</x:v>
      </x:c>
      <x:c r="C329" s="17" t="str">
        <x:v>V01</x:v>
      </x:c>
      <x:c r="D329" s="17" t="str">
        <x:v>S02</x:v>
      </x:c>
      <x:c r="E329" s="17" t="n">
        <x:v>2</x:v>
      </x:c>
      <x:c r="F329" s="17" t="str">
        <x:v>T01</x:v>
      </x:c>
      <x:c r="G329" s="17" t="str">
        <x:v>0 mT对照</x:v>
      </x:c>
      <x:c r="H329" s="17" t="n">
        <x:v>0</x:v>
      </x:c>
      <x:c r="I329" s="17" t="n">
        <x:v>12</x:v>
      </x:c>
      <x:c r="J329" s="17" t="n">
        <x:v>2</x:v>
      </x:c>
      <x:c r="K329" s="17" t="n">
        <x:v>14</x:v>
      </x:c>
      <x:c r="L329" s="17" t="str">
        <x:v>分层区组</x:v>
      </x:c>
      <x:c r="M329" s="17" t="str">
        <x:v>检测盲态</x:v>
      </x:c>
      <x:c r="N329" s="17" t="str">
        <x:v>计划</x:v>
      </x:c>
    </x:row>
    <x:row r="330">
      <x:c r="A330" s="17" t="str">
        <x:v>B04-V01-S02-B2</x:v>
      </x:c>
      <x:c r="B330" s="17" t="str">
        <x:v>B04</x:v>
      </x:c>
      <x:c r="C330" s="17" t="str">
        <x:v>V01</x:v>
      </x:c>
      <x:c r="D330" s="17" t="str">
        <x:v>S02</x:v>
      </x:c>
      <x:c r="E330" s="17" t="n">
        <x:v>2</x:v>
      </x:c>
      <x:c r="F330" s="17" t="str">
        <x:v>T01</x:v>
      </x:c>
      <x:c r="G330" s="17" t="str">
        <x:v>0 mT对照</x:v>
      </x:c>
      <x:c r="H330" s="17" t="n">
        <x:v>3</x:v>
      </x:c>
      <x:c r="I330" s="17" t="n">
        <x:v>12</x:v>
      </x:c>
      <x:c r="J330" s="17" t="n">
        <x:v>2</x:v>
      </x:c>
      <x:c r="K330" s="17" t="n">
        <x:v>14</x:v>
      </x:c>
      <x:c r="L330" s="17" t="str">
        <x:v>分层区组</x:v>
      </x:c>
      <x:c r="M330" s="17" t="str">
        <x:v>检测盲态</x:v>
      </x:c>
      <x:c r="N330" s="17" t="str">
        <x:v>计划</x:v>
      </x:c>
    </x:row>
    <x:row r="331">
      <x:c r="A331" s="17" t="str">
        <x:v>B04-V01-S02-B2</x:v>
      </x:c>
      <x:c r="B331" s="17" t="str">
        <x:v>B04</x:v>
      </x:c>
      <x:c r="C331" s="17" t="str">
        <x:v>V01</x:v>
      </x:c>
      <x:c r="D331" s="17" t="str">
        <x:v>S02</x:v>
      </x:c>
      <x:c r="E331" s="17" t="n">
        <x:v>2</x:v>
      </x:c>
      <x:c r="F331" s="17" t="str">
        <x:v>T01</x:v>
      </x:c>
      <x:c r="G331" s="17" t="str">
        <x:v>0 mT对照</x:v>
      </x:c>
      <x:c r="H331" s="17" t="n">
        <x:v>6</x:v>
      </x:c>
      <x:c r="I331" s="17" t="n">
        <x:v>12</x:v>
      </x:c>
      <x:c r="J331" s="17" t="n">
        <x:v>2</x:v>
      </x:c>
      <x:c r="K331" s="17" t="n">
        <x:v>14</x:v>
      </x:c>
      <x:c r="L331" s="17" t="str">
        <x:v>分层区组</x:v>
      </x:c>
      <x:c r="M331" s="17" t="str">
        <x:v>检测盲态</x:v>
      </x:c>
      <x:c r="N331" s="17" t="str">
        <x:v>计划</x:v>
      </x:c>
    </x:row>
    <x:row r="332">
      <x:c r="A332" s="17" t="str">
        <x:v>B04-V01-S02-B2</x:v>
      </x:c>
      <x:c r="B332" s="17" t="str">
        <x:v>B04</x:v>
      </x:c>
      <x:c r="C332" s="17" t="str">
        <x:v>V01</x:v>
      </x:c>
      <x:c r="D332" s="17" t="str">
        <x:v>S02</x:v>
      </x:c>
      <x:c r="E332" s="17" t="n">
        <x:v>2</x:v>
      </x:c>
      <x:c r="F332" s="17" t="str">
        <x:v>T01</x:v>
      </x:c>
      <x:c r="G332" s="17" t="str">
        <x:v>0 mT对照</x:v>
      </x:c>
      <x:c r="H332" s="17" t="n">
        <x:v>9</x:v>
      </x:c>
      <x:c r="I332" s="17" t="n">
        <x:v>12</x:v>
      </x:c>
      <x:c r="J332" s="17" t="n">
        <x:v>2</x:v>
      </x:c>
      <x:c r="K332" s="17" t="n">
        <x:v>14</x:v>
      </x:c>
      <x:c r="L332" s="17" t="str">
        <x:v>分层区组</x:v>
      </x:c>
      <x:c r="M332" s="17" t="str">
        <x:v>检测盲态</x:v>
      </x:c>
      <x:c r="N332" s="17" t="str">
        <x:v>计划</x:v>
      </x:c>
    </x:row>
    <x:row r="333">
      <x:c r="A333" s="17" t="str">
        <x:v>B04-V01-S02-B2</x:v>
      </x:c>
      <x:c r="B333" s="17" t="str">
        <x:v>B04</x:v>
      </x:c>
      <x:c r="C333" s="17" t="str">
        <x:v>V01</x:v>
      </x:c>
      <x:c r="D333" s="17" t="str">
        <x:v>S02</x:v>
      </x:c>
      <x:c r="E333" s="17" t="n">
        <x:v>2</x:v>
      </x:c>
      <x:c r="F333" s="17" t="str">
        <x:v>T01</x:v>
      </x:c>
      <x:c r="G333" s="17" t="str">
        <x:v>0 mT对照</x:v>
      </x:c>
      <x:c r="H333" s="17" t="n">
        <x:v>12</x:v>
      </x:c>
      <x:c r="I333" s="17" t="n">
        <x:v>12</x:v>
      </x:c>
      <x:c r="J333" s="17" t="n">
        <x:v>2</x:v>
      </x:c>
      <x:c r="K333" s="17" t="n">
        <x:v>14</x:v>
      </x:c>
      <x:c r="L333" s="17" t="str">
        <x:v>分层区组</x:v>
      </x:c>
      <x:c r="M333" s="17" t="str">
        <x:v>检测盲态</x:v>
      </x:c>
      <x:c r="N333" s="17" t="str">
        <x:v>计划</x:v>
      </x:c>
    </x:row>
    <x:row r="334">
      <x:c r="A334" s="17" t="str">
        <x:v>B04-V01-S02-B2</x:v>
      </x:c>
      <x:c r="B334" s="17" t="str">
        <x:v>B04</x:v>
      </x:c>
      <x:c r="C334" s="17" t="str">
        <x:v>V01</x:v>
      </x:c>
      <x:c r="D334" s="17" t="str">
        <x:v>S02</x:v>
      </x:c>
      <x:c r="E334" s="17" t="n">
        <x:v>2</x:v>
      </x:c>
      <x:c r="F334" s="17" t="str">
        <x:v>T01</x:v>
      </x:c>
      <x:c r="G334" s="17" t="str">
        <x:v>0 mT对照</x:v>
      </x:c>
      <x:c r="H334" s="17" t="n">
        <x:v>15</x:v>
      </x:c>
      <x:c r="I334" s="17" t="n">
        <x:v>12</x:v>
      </x:c>
      <x:c r="J334" s="17" t="n">
        <x:v>2</x:v>
      </x:c>
      <x:c r="K334" s="17" t="n">
        <x:v>14</x:v>
      </x:c>
      <x:c r="L334" s="17" t="str">
        <x:v>分层区组</x:v>
      </x:c>
      <x:c r="M334" s="17" t="str">
        <x:v>检测盲态</x:v>
      </x:c>
      <x:c r="N334" s="17" t="str">
        <x:v>计划</x:v>
      </x:c>
    </x:row>
    <x:row r="335">
      <x:c r="A335" s="17" t="str">
        <x:v>B04-V01-S02-B2</x:v>
      </x:c>
      <x:c r="B335" s="17" t="str">
        <x:v>B04</x:v>
      </x:c>
      <x:c r="C335" s="17" t="str">
        <x:v>V01</x:v>
      </x:c>
      <x:c r="D335" s="17" t="str">
        <x:v>S02</x:v>
      </x:c>
      <x:c r="E335" s="17" t="n">
        <x:v>2</x:v>
      </x:c>
      <x:c r="F335" s="17" t="str">
        <x:v>T02</x:v>
      </x:c>
      <x:c r="G335" s="17" t="str">
        <x:v>5 mT连续</x:v>
      </x:c>
      <x:c r="H335" s="17" t="n">
        <x:v>0</x:v>
      </x:c>
      <x:c r="I335" s="17" t="n">
        <x:v>12</x:v>
      </x:c>
      <x:c r="J335" s="17" t="n">
        <x:v>2</x:v>
      </x:c>
      <x:c r="K335" s="17" t="n">
        <x:v>14</x:v>
      </x:c>
      <x:c r="L335" s="17" t="str">
        <x:v>分层区组</x:v>
      </x:c>
      <x:c r="M335" s="17" t="str">
        <x:v>检测盲态</x:v>
      </x:c>
      <x:c r="N335" s="17" t="str">
        <x:v>计划</x:v>
      </x:c>
    </x:row>
    <x:row r="336">
      <x:c r="A336" s="17" t="str">
        <x:v>B04-V01-S02-B2</x:v>
      </x:c>
      <x:c r="B336" s="17" t="str">
        <x:v>B04</x:v>
      </x:c>
      <x:c r="C336" s="17" t="str">
        <x:v>V01</x:v>
      </x:c>
      <x:c r="D336" s="17" t="str">
        <x:v>S02</x:v>
      </x:c>
      <x:c r="E336" s="17" t="n">
        <x:v>2</x:v>
      </x:c>
      <x:c r="F336" s="17" t="str">
        <x:v>T02</x:v>
      </x:c>
      <x:c r="G336" s="17" t="str">
        <x:v>5 mT连续</x:v>
      </x:c>
      <x:c r="H336" s="17" t="n">
        <x:v>3</x:v>
      </x:c>
      <x:c r="I336" s="17" t="n">
        <x:v>12</x:v>
      </x:c>
      <x:c r="J336" s="17" t="n">
        <x:v>2</x:v>
      </x:c>
      <x:c r="K336" s="17" t="n">
        <x:v>14</x:v>
      </x:c>
      <x:c r="L336" s="17" t="str">
        <x:v>分层区组</x:v>
      </x:c>
      <x:c r="M336" s="17" t="str">
        <x:v>检测盲态</x:v>
      </x:c>
      <x:c r="N336" s="17" t="str">
        <x:v>计划</x:v>
      </x:c>
    </x:row>
    <x:row r="337">
      <x:c r="A337" s="17" t="str">
        <x:v>B04-V01-S02-B2</x:v>
      </x:c>
      <x:c r="B337" s="17" t="str">
        <x:v>B04</x:v>
      </x:c>
      <x:c r="C337" s="17" t="str">
        <x:v>V01</x:v>
      </x:c>
      <x:c r="D337" s="17" t="str">
        <x:v>S02</x:v>
      </x:c>
      <x:c r="E337" s="17" t="n">
        <x:v>2</x:v>
      </x:c>
      <x:c r="F337" s="17" t="str">
        <x:v>T02</x:v>
      </x:c>
      <x:c r="G337" s="17" t="str">
        <x:v>5 mT连续</x:v>
      </x:c>
      <x:c r="H337" s="17" t="n">
        <x:v>6</x:v>
      </x:c>
      <x:c r="I337" s="17" t="n">
        <x:v>12</x:v>
      </x:c>
      <x:c r="J337" s="17" t="n">
        <x:v>2</x:v>
      </x:c>
      <x:c r="K337" s="17" t="n">
        <x:v>14</x:v>
      </x:c>
      <x:c r="L337" s="17" t="str">
        <x:v>分层区组</x:v>
      </x:c>
      <x:c r="M337" s="17" t="str">
        <x:v>检测盲态</x:v>
      </x:c>
      <x:c r="N337" s="17" t="str">
        <x:v>计划</x:v>
      </x:c>
    </x:row>
    <x:row r="338">
      <x:c r="A338" s="17" t="str">
        <x:v>B04-V01-S02-B2</x:v>
      </x:c>
      <x:c r="B338" s="17" t="str">
        <x:v>B04</x:v>
      </x:c>
      <x:c r="C338" s="17" t="str">
        <x:v>V01</x:v>
      </x:c>
      <x:c r="D338" s="17" t="str">
        <x:v>S02</x:v>
      </x:c>
      <x:c r="E338" s="17" t="n">
        <x:v>2</x:v>
      </x:c>
      <x:c r="F338" s="17" t="str">
        <x:v>T02</x:v>
      </x:c>
      <x:c r="G338" s="17" t="str">
        <x:v>5 mT连续</x:v>
      </x:c>
      <x:c r="H338" s="17" t="n">
        <x:v>9</x:v>
      </x:c>
      <x:c r="I338" s="17" t="n">
        <x:v>12</x:v>
      </x:c>
      <x:c r="J338" s="17" t="n">
        <x:v>2</x:v>
      </x:c>
      <x:c r="K338" s="17" t="n">
        <x:v>14</x:v>
      </x:c>
      <x:c r="L338" s="17" t="str">
        <x:v>分层区组</x:v>
      </x:c>
      <x:c r="M338" s="17" t="str">
        <x:v>检测盲态</x:v>
      </x:c>
      <x:c r="N338" s="17" t="str">
        <x:v>计划</x:v>
      </x:c>
    </x:row>
    <x:row r="339">
      <x:c r="A339" s="17" t="str">
        <x:v>B04-V01-S02-B2</x:v>
      </x:c>
      <x:c r="B339" s="17" t="str">
        <x:v>B04</x:v>
      </x:c>
      <x:c r="C339" s="17" t="str">
        <x:v>V01</x:v>
      </x:c>
      <x:c r="D339" s="17" t="str">
        <x:v>S02</x:v>
      </x:c>
      <x:c r="E339" s="17" t="n">
        <x:v>2</x:v>
      </x:c>
      <x:c r="F339" s="17" t="str">
        <x:v>T02</x:v>
      </x:c>
      <x:c r="G339" s="17" t="str">
        <x:v>5 mT连续</x:v>
      </x:c>
      <x:c r="H339" s="17" t="n">
        <x:v>12</x:v>
      </x:c>
      <x:c r="I339" s="17" t="n">
        <x:v>12</x:v>
      </x:c>
      <x:c r="J339" s="17" t="n">
        <x:v>2</x:v>
      </x:c>
      <x:c r="K339" s="17" t="n">
        <x:v>14</x:v>
      </x:c>
      <x:c r="L339" s="17" t="str">
        <x:v>分层区组</x:v>
      </x:c>
      <x:c r="M339" s="17" t="str">
        <x:v>检测盲态</x:v>
      </x:c>
      <x:c r="N339" s="17" t="str">
        <x:v>计划</x:v>
      </x:c>
    </x:row>
    <x:row r="340">
      <x:c r="A340" s="17" t="str">
        <x:v>B04-V01-S02-B2</x:v>
      </x:c>
      <x:c r="B340" s="17" t="str">
        <x:v>B04</x:v>
      </x:c>
      <x:c r="C340" s="17" t="str">
        <x:v>V01</x:v>
      </x:c>
      <x:c r="D340" s="17" t="str">
        <x:v>S02</x:v>
      </x:c>
      <x:c r="E340" s="17" t="n">
        <x:v>2</x:v>
      </x:c>
      <x:c r="F340" s="17" t="str">
        <x:v>T02</x:v>
      </x:c>
      <x:c r="G340" s="17" t="str">
        <x:v>5 mT连续</x:v>
      </x:c>
      <x:c r="H340" s="17" t="n">
        <x:v>15</x:v>
      </x:c>
      <x:c r="I340" s="17" t="n">
        <x:v>12</x:v>
      </x:c>
      <x:c r="J340" s="17" t="n">
        <x:v>2</x:v>
      </x:c>
      <x:c r="K340" s="17" t="n">
        <x:v>14</x:v>
      </x:c>
      <x:c r="L340" s="17" t="str">
        <x:v>分层区组</x:v>
      </x:c>
      <x:c r="M340" s="17" t="str">
        <x:v>检测盲态</x:v>
      </x:c>
      <x:c r="N340" s="17" t="str">
        <x:v>计划</x:v>
      </x:c>
    </x:row>
    <x:row r="341">
      <x:c r="A341" s="17" t="str">
        <x:v>B04-V02-S01-B1</x:v>
      </x:c>
      <x:c r="B341" s="17" t="str">
        <x:v>B04</x:v>
      </x:c>
      <x:c r="C341" s="17" t="str">
        <x:v>V02</x:v>
      </x:c>
      <x:c r="D341" s="17" t="str">
        <x:v>S01</x:v>
      </x:c>
      <x:c r="E341" s="17" t="n">
        <x:v>1</x:v>
      </x:c>
      <x:c r="F341" s="17" t="str">
        <x:v>T01</x:v>
      </x:c>
      <x:c r="G341" s="17" t="str">
        <x:v>0 mT对照</x:v>
      </x:c>
      <x:c r="H341" s="17" t="n">
        <x:v>0</x:v>
      </x:c>
      <x:c r="I341" s="17" t="n">
        <x:v>12</x:v>
      </x:c>
      <x:c r="J341" s="17" t="n">
        <x:v>2</x:v>
      </x:c>
      <x:c r="K341" s="17" t="n">
        <x:v>14</x:v>
      </x:c>
      <x:c r="L341" s="17" t="str">
        <x:v>分层区组</x:v>
      </x:c>
      <x:c r="M341" s="17" t="str">
        <x:v>检测盲态</x:v>
      </x:c>
      <x:c r="N341" s="17" t="str">
        <x:v>计划</x:v>
      </x:c>
    </x:row>
    <x:row r="342">
      <x:c r="A342" s="17" t="str">
        <x:v>B04-V02-S01-B1</x:v>
      </x:c>
      <x:c r="B342" s="17" t="str">
        <x:v>B04</x:v>
      </x:c>
      <x:c r="C342" s="17" t="str">
        <x:v>V02</x:v>
      </x:c>
      <x:c r="D342" s="17" t="str">
        <x:v>S01</x:v>
      </x:c>
      <x:c r="E342" s="17" t="n">
        <x:v>1</x:v>
      </x:c>
      <x:c r="F342" s="17" t="str">
        <x:v>T01</x:v>
      </x:c>
      <x:c r="G342" s="17" t="str">
        <x:v>0 mT对照</x:v>
      </x:c>
      <x:c r="H342" s="17" t="n">
        <x:v>3</x:v>
      </x:c>
      <x:c r="I342" s="17" t="n">
        <x:v>12</x:v>
      </x:c>
      <x:c r="J342" s="17" t="n">
        <x:v>2</x:v>
      </x:c>
      <x:c r="K342" s="17" t="n">
        <x:v>14</x:v>
      </x:c>
      <x:c r="L342" s="17" t="str">
        <x:v>分层区组</x:v>
      </x:c>
      <x:c r="M342" s="17" t="str">
        <x:v>检测盲态</x:v>
      </x:c>
      <x:c r="N342" s="17" t="str">
        <x:v>计划</x:v>
      </x:c>
    </x:row>
    <x:row r="343">
      <x:c r="A343" s="17" t="str">
        <x:v>B04-V02-S01-B1</x:v>
      </x:c>
      <x:c r="B343" s="17" t="str">
        <x:v>B04</x:v>
      </x:c>
      <x:c r="C343" s="17" t="str">
        <x:v>V02</x:v>
      </x:c>
      <x:c r="D343" s="17" t="str">
        <x:v>S01</x:v>
      </x:c>
      <x:c r="E343" s="17" t="n">
        <x:v>1</x:v>
      </x:c>
      <x:c r="F343" s="17" t="str">
        <x:v>T01</x:v>
      </x:c>
      <x:c r="G343" s="17" t="str">
        <x:v>0 mT对照</x:v>
      </x:c>
      <x:c r="H343" s="17" t="n">
        <x:v>6</x:v>
      </x:c>
      <x:c r="I343" s="17" t="n">
        <x:v>12</x:v>
      </x:c>
      <x:c r="J343" s="17" t="n">
        <x:v>2</x:v>
      </x:c>
      <x:c r="K343" s="17" t="n">
        <x:v>14</x:v>
      </x:c>
      <x:c r="L343" s="17" t="str">
        <x:v>分层区组</x:v>
      </x:c>
      <x:c r="M343" s="17" t="str">
        <x:v>检测盲态</x:v>
      </x:c>
      <x:c r="N343" s="17" t="str">
        <x:v>计划</x:v>
      </x:c>
    </x:row>
    <x:row r="344">
      <x:c r="A344" s="17" t="str">
        <x:v>B04-V02-S01-B1</x:v>
      </x:c>
      <x:c r="B344" s="17" t="str">
        <x:v>B04</x:v>
      </x:c>
      <x:c r="C344" s="17" t="str">
        <x:v>V02</x:v>
      </x:c>
      <x:c r="D344" s="17" t="str">
        <x:v>S01</x:v>
      </x:c>
      <x:c r="E344" s="17" t="n">
        <x:v>1</x:v>
      </x:c>
      <x:c r="F344" s="17" t="str">
        <x:v>T01</x:v>
      </x:c>
      <x:c r="G344" s="17" t="str">
        <x:v>0 mT对照</x:v>
      </x:c>
      <x:c r="H344" s="17" t="n">
        <x:v>9</x:v>
      </x:c>
      <x:c r="I344" s="17" t="n">
        <x:v>12</x:v>
      </x:c>
      <x:c r="J344" s="17" t="n">
        <x:v>2</x:v>
      </x:c>
      <x:c r="K344" s="17" t="n">
        <x:v>14</x:v>
      </x:c>
      <x:c r="L344" s="17" t="str">
        <x:v>分层区组</x:v>
      </x:c>
      <x:c r="M344" s="17" t="str">
        <x:v>检测盲态</x:v>
      </x:c>
      <x:c r="N344" s="17" t="str">
        <x:v>计划</x:v>
      </x:c>
    </x:row>
    <x:row r="345">
      <x:c r="A345" s="17" t="str">
        <x:v>B04-V02-S01-B1</x:v>
      </x:c>
      <x:c r="B345" s="17" t="str">
        <x:v>B04</x:v>
      </x:c>
      <x:c r="C345" s="17" t="str">
        <x:v>V02</x:v>
      </x:c>
      <x:c r="D345" s="17" t="str">
        <x:v>S01</x:v>
      </x:c>
      <x:c r="E345" s="17" t="n">
        <x:v>1</x:v>
      </x:c>
      <x:c r="F345" s="17" t="str">
        <x:v>T01</x:v>
      </x:c>
      <x:c r="G345" s="17" t="str">
        <x:v>0 mT对照</x:v>
      </x:c>
      <x:c r="H345" s="17" t="n">
        <x:v>12</x:v>
      </x:c>
      <x:c r="I345" s="17" t="n">
        <x:v>12</x:v>
      </x:c>
      <x:c r="J345" s="17" t="n">
        <x:v>2</x:v>
      </x:c>
      <x:c r="K345" s="17" t="n">
        <x:v>14</x:v>
      </x:c>
      <x:c r="L345" s="17" t="str">
        <x:v>分层区组</x:v>
      </x:c>
      <x:c r="M345" s="17" t="str">
        <x:v>检测盲态</x:v>
      </x:c>
      <x:c r="N345" s="17" t="str">
        <x:v>计划</x:v>
      </x:c>
    </x:row>
    <x:row r="346">
      <x:c r="A346" s="17" t="str">
        <x:v>B04-V02-S01-B1</x:v>
      </x:c>
      <x:c r="B346" s="17" t="str">
        <x:v>B04</x:v>
      </x:c>
      <x:c r="C346" s="17" t="str">
        <x:v>V02</x:v>
      </x:c>
      <x:c r="D346" s="17" t="str">
        <x:v>S01</x:v>
      </x:c>
      <x:c r="E346" s="17" t="n">
        <x:v>1</x:v>
      </x:c>
      <x:c r="F346" s="17" t="str">
        <x:v>T01</x:v>
      </x:c>
      <x:c r="G346" s="17" t="str">
        <x:v>0 mT对照</x:v>
      </x:c>
      <x:c r="H346" s="17" t="n">
        <x:v>15</x:v>
      </x:c>
      <x:c r="I346" s="17" t="n">
        <x:v>12</x:v>
      </x:c>
      <x:c r="J346" s="17" t="n">
        <x:v>2</x:v>
      </x:c>
      <x:c r="K346" s="17" t="n">
        <x:v>14</x:v>
      </x:c>
      <x:c r="L346" s="17" t="str">
        <x:v>分层区组</x:v>
      </x:c>
      <x:c r="M346" s="17" t="str">
        <x:v>检测盲态</x:v>
      </x:c>
      <x:c r="N346" s="17" t="str">
        <x:v>计划</x:v>
      </x:c>
    </x:row>
    <x:row r="347">
      <x:c r="A347" s="17" t="str">
        <x:v>B04-V02-S01-B1</x:v>
      </x:c>
      <x:c r="B347" s="17" t="str">
        <x:v>B04</x:v>
      </x:c>
      <x:c r="C347" s="17" t="str">
        <x:v>V02</x:v>
      </x:c>
      <x:c r="D347" s="17" t="str">
        <x:v>S01</x:v>
      </x:c>
      <x:c r="E347" s="17" t="n">
        <x:v>1</x:v>
      </x:c>
      <x:c r="F347" s="17" t="str">
        <x:v>T02</x:v>
      </x:c>
      <x:c r="G347" s="17" t="str">
        <x:v>5 mT连续</x:v>
      </x:c>
      <x:c r="H347" s="17" t="n">
        <x:v>0</x:v>
      </x:c>
      <x:c r="I347" s="17" t="n">
        <x:v>12</x:v>
      </x:c>
      <x:c r="J347" s="17" t="n">
        <x:v>2</x:v>
      </x:c>
      <x:c r="K347" s="17" t="n">
        <x:v>14</x:v>
      </x:c>
      <x:c r="L347" s="17" t="str">
        <x:v>分层区组</x:v>
      </x:c>
      <x:c r="M347" s="17" t="str">
        <x:v>检测盲态</x:v>
      </x:c>
      <x:c r="N347" s="17" t="str">
        <x:v>计划</x:v>
      </x:c>
    </x:row>
    <x:row r="348">
      <x:c r="A348" s="17" t="str">
        <x:v>B04-V02-S01-B1</x:v>
      </x:c>
      <x:c r="B348" s="17" t="str">
        <x:v>B04</x:v>
      </x:c>
      <x:c r="C348" s="17" t="str">
        <x:v>V02</x:v>
      </x:c>
      <x:c r="D348" s="17" t="str">
        <x:v>S01</x:v>
      </x:c>
      <x:c r="E348" s="17" t="n">
        <x:v>1</x:v>
      </x:c>
      <x:c r="F348" s="17" t="str">
        <x:v>T02</x:v>
      </x:c>
      <x:c r="G348" s="17" t="str">
        <x:v>5 mT连续</x:v>
      </x:c>
      <x:c r="H348" s="17" t="n">
        <x:v>3</x:v>
      </x:c>
      <x:c r="I348" s="17" t="n">
        <x:v>12</x:v>
      </x:c>
      <x:c r="J348" s="17" t="n">
        <x:v>2</x:v>
      </x:c>
      <x:c r="K348" s="17" t="n">
        <x:v>14</x:v>
      </x:c>
      <x:c r="L348" s="17" t="str">
        <x:v>分层区组</x:v>
      </x:c>
      <x:c r="M348" s="17" t="str">
        <x:v>检测盲态</x:v>
      </x:c>
      <x:c r="N348" s="17" t="str">
        <x:v>计划</x:v>
      </x:c>
    </x:row>
    <x:row r="349">
      <x:c r="A349" s="17" t="str">
        <x:v>B04-V02-S01-B1</x:v>
      </x:c>
      <x:c r="B349" s="17" t="str">
        <x:v>B04</x:v>
      </x:c>
      <x:c r="C349" s="17" t="str">
        <x:v>V02</x:v>
      </x:c>
      <x:c r="D349" s="17" t="str">
        <x:v>S01</x:v>
      </x:c>
      <x:c r="E349" s="17" t="n">
        <x:v>1</x:v>
      </x:c>
      <x:c r="F349" s="17" t="str">
        <x:v>T02</x:v>
      </x:c>
      <x:c r="G349" s="17" t="str">
        <x:v>5 mT连续</x:v>
      </x:c>
      <x:c r="H349" s="17" t="n">
        <x:v>6</x:v>
      </x:c>
      <x:c r="I349" s="17" t="n">
        <x:v>12</x:v>
      </x:c>
      <x:c r="J349" s="17" t="n">
        <x:v>2</x:v>
      </x:c>
      <x:c r="K349" s="17" t="n">
        <x:v>14</x:v>
      </x:c>
      <x:c r="L349" s="17" t="str">
        <x:v>分层区组</x:v>
      </x:c>
      <x:c r="M349" s="17" t="str">
        <x:v>检测盲态</x:v>
      </x:c>
      <x:c r="N349" s="17" t="str">
        <x:v>计划</x:v>
      </x:c>
    </x:row>
    <x:row r="350">
      <x:c r="A350" s="17" t="str">
        <x:v>B04-V02-S01-B1</x:v>
      </x:c>
      <x:c r="B350" s="17" t="str">
        <x:v>B04</x:v>
      </x:c>
      <x:c r="C350" s="17" t="str">
        <x:v>V02</x:v>
      </x:c>
      <x:c r="D350" s="17" t="str">
        <x:v>S01</x:v>
      </x:c>
      <x:c r="E350" s="17" t="n">
        <x:v>1</x:v>
      </x:c>
      <x:c r="F350" s="17" t="str">
        <x:v>T02</x:v>
      </x:c>
      <x:c r="G350" s="17" t="str">
        <x:v>5 mT连续</x:v>
      </x:c>
      <x:c r="H350" s="17" t="n">
        <x:v>9</x:v>
      </x:c>
      <x:c r="I350" s="17" t="n">
        <x:v>12</x:v>
      </x:c>
      <x:c r="J350" s="17" t="n">
        <x:v>2</x:v>
      </x:c>
      <x:c r="K350" s="17" t="n">
        <x:v>14</x:v>
      </x:c>
      <x:c r="L350" s="17" t="str">
        <x:v>分层区组</x:v>
      </x:c>
      <x:c r="M350" s="17" t="str">
        <x:v>检测盲态</x:v>
      </x:c>
      <x:c r="N350" s="17" t="str">
        <x:v>计划</x:v>
      </x:c>
    </x:row>
    <x:row r="351">
      <x:c r="A351" s="17" t="str">
        <x:v>B04-V02-S01-B1</x:v>
      </x:c>
      <x:c r="B351" s="17" t="str">
        <x:v>B04</x:v>
      </x:c>
      <x:c r="C351" s="17" t="str">
        <x:v>V02</x:v>
      </x:c>
      <x:c r="D351" s="17" t="str">
        <x:v>S01</x:v>
      </x:c>
      <x:c r="E351" s="17" t="n">
        <x:v>1</x:v>
      </x:c>
      <x:c r="F351" s="17" t="str">
        <x:v>T02</x:v>
      </x:c>
      <x:c r="G351" s="17" t="str">
        <x:v>5 mT连续</x:v>
      </x:c>
      <x:c r="H351" s="17" t="n">
        <x:v>12</x:v>
      </x:c>
      <x:c r="I351" s="17" t="n">
        <x:v>12</x:v>
      </x:c>
      <x:c r="J351" s="17" t="n">
        <x:v>2</x:v>
      </x:c>
      <x:c r="K351" s="17" t="n">
        <x:v>14</x:v>
      </x:c>
      <x:c r="L351" s="17" t="str">
        <x:v>分层区组</x:v>
      </x:c>
      <x:c r="M351" s="17" t="str">
        <x:v>检测盲态</x:v>
      </x:c>
      <x:c r="N351" s="17" t="str">
        <x:v>计划</x:v>
      </x:c>
    </x:row>
    <x:row r="352">
      <x:c r="A352" s="17" t="str">
        <x:v>B04-V02-S01-B1</x:v>
      </x:c>
      <x:c r="B352" s="17" t="str">
        <x:v>B04</x:v>
      </x:c>
      <x:c r="C352" s="17" t="str">
        <x:v>V02</x:v>
      </x:c>
      <x:c r="D352" s="17" t="str">
        <x:v>S01</x:v>
      </x:c>
      <x:c r="E352" s="17" t="n">
        <x:v>1</x:v>
      </x:c>
      <x:c r="F352" s="17" t="str">
        <x:v>T02</x:v>
      </x:c>
      <x:c r="G352" s="17" t="str">
        <x:v>5 mT连续</x:v>
      </x:c>
      <x:c r="H352" s="17" t="n">
        <x:v>15</x:v>
      </x:c>
      <x:c r="I352" s="17" t="n">
        <x:v>12</x:v>
      </x:c>
      <x:c r="J352" s="17" t="n">
        <x:v>2</x:v>
      </x:c>
      <x:c r="K352" s="17" t="n">
        <x:v>14</x:v>
      </x:c>
      <x:c r="L352" s="17" t="str">
        <x:v>分层区组</x:v>
      </x:c>
      <x:c r="M352" s="17" t="str">
        <x:v>检测盲态</x:v>
      </x:c>
      <x:c r="N352" s="17" t="str">
        <x:v>计划</x:v>
      </x:c>
    </x:row>
    <x:row r="353">
      <x:c r="A353" s="17" t="str">
        <x:v>B04-V02-S01-B2</x:v>
      </x:c>
      <x:c r="B353" s="17" t="str">
        <x:v>B04</x:v>
      </x:c>
      <x:c r="C353" s="17" t="str">
        <x:v>V02</x:v>
      </x:c>
      <x:c r="D353" s="17" t="str">
        <x:v>S01</x:v>
      </x:c>
      <x:c r="E353" s="17" t="n">
        <x:v>2</x:v>
      </x:c>
      <x:c r="F353" s="17" t="str">
        <x:v>T01</x:v>
      </x:c>
      <x:c r="G353" s="17" t="str">
        <x:v>0 mT对照</x:v>
      </x:c>
      <x:c r="H353" s="17" t="n">
        <x:v>0</x:v>
      </x:c>
      <x:c r="I353" s="17" t="n">
        <x:v>12</x:v>
      </x:c>
      <x:c r="J353" s="17" t="n">
        <x:v>2</x:v>
      </x:c>
      <x:c r="K353" s="17" t="n">
        <x:v>14</x:v>
      </x:c>
      <x:c r="L353" s="17" t="str">
        <x:v>分层区组</x:v>
      </x:c>
      <x:c r="M353" s="17" t="str">
        <x:v>检测盲态</x:v>
      </x:c>
      <x:c r="N353" s="17" t="str">
        <x:v>计划</x:v>
      </x:c>
    </x:row>
    <x:row r="354">
      <x:c r="A354" s="17" t="str">
        <x:v>B04-V02-S01-B2</x:v>
      </x:c>
      <x:c r="B354" s="17" t="str">
        <x:v>B04</x:v>
      </x:c>
      <x:c r="C354" s="17" t="str">
        <x:v>V02</x:v>
      </x:c>
      <x:c r="D354" s="17" t="str">
        <x:v>S01</x:v>
      </x:c>
      <x:c r="E354" s="17" t="n">
        <x:v>2</x:v>
      </x:c>
      <x:c r="F354" s="17" t="str">
        <x:v>T01</x:v>
      </x:c>
      <x:c r="G354" s="17" t="str">
        <x:v>0 mT对照</x:v>
      </x:c>
      <x:c r="H354" s="17" t="n">
        <x:v>3</x:v>
      </x:c>
      <x:c r="I354" s="17" t="n">
        <x:v>12</x:v>
      </x:c>
      <x:c r="J354" s="17" t="n">
        <x:v>2</x:v>
      </x:c>
      <x:c r="K354" s="17" t="n">
        <x:v>14</x:v>
      </x:c>
      <x:c r="L354" s="17" t="str">
        <x:v>分层区组</x:v>
      </x:c>
      <x:c r="M354" s="17" t="str">
        <x:v>检测盲态</x:v>
      </x:c>
      <x:c r="N354" s="17" t="str">
        <x:v>计划</x:v>
      </x:c>
    </x:row>
    <x:row r="355">
      <x:c r="A355" s="17" t="str">
        <x:v>B04-V02-S01-B2</x:v>
      </x:c>
      <x:c r="B355" s="17" t="str">
        <x:v>B04</x:v>
      </x:c>
      <x:c r="C355" s="17" t="str">
        <x:v>V02</x:v>
      </x:c>
      <x:c r="D355" s="17" t="str">
        <x:v>S01</x:v>
      </x:c>
      <x:c r="E355" s="17" t="n">
        <x:v>2</x:v>
      </x:c>
      <x:c r="F355" s="17" t="str">
        <x:v>T01</x:v>
      </x:c>
      <x:c r="G355" s="17" t="str">
        <x:v>0 mT对照</x:v>
      </x:c>
      <x:c r="H355" s="17" t="n">
        <x:v>6</x:v>
      </x:c>
      <x:c r="I355" s="17" t="n">
        <x:v>12</x:v>
      </x:c>
      <x:c r="J355" s="17" t="n">
        <x:v>2</x:v>
      </x:c>
      <x:c r="K355" s="17" t="n">
        <x:v>14</x:v>
      </x:c>
      <x:c r="L355" s="17" t="str">
        <x:v>分层区组</x:v>
      </x:c>
      <x:c r="M355" s="17" t="str">
        <x:v>检测盲态</x:v>
      </x:c>
      <x:c r="N355" s="17" t="str">
        <x:v>计划</x:v>
      </x:c>
    </x:row>
    <x:row r="356">
      <x:c r="A356" s="17" t="str">
        <x:v>B04-V02-S01-B2</x:v>
      </x:c>
      <x:c r="B356" s="17" t="str">
        <x:v>B04</x:v>
      </x:c>
      <x:c r="C356" s="17" t="str">
        <x:v>V02</x:v>
      </x:c>
      <x:c r="D356" s="17" t="str">
        <x:v>S01</x:v>
      </x:c>
      <x:c r="E356" s="17" t="n">
        <x:v>2</x:v>
      </x:c>
      <x:c r="F356" s="17" t="str">
        <x:v>T01</x:v>
      </x:c>
      <x:c r="G356" s="17" t="str">
        <x:v>0 mT对照</x:v>
      </x:c>
      <x:c r="H356" s="17" t="n">
        <x:v>9</x:v>
      </x:c>
      <x:c r="I356" s="17" t="n">
        <x:v>12</x:v>
      </x:c>
      <x:c r="J356" s="17" t="n">
        <x:v>2</x:v>
      </x:c>
      <x:c r="K356" s="17" t="n">
        <x:v>14</x:v>
      </x:c>
      <x:c r="L356" s="17" t="str">
        <x:v>分层区组</x:v>
      </x:c>
      <x:c r="M356" s="17" t="str">
        <x:v>检测盲态</x:v>
      </x:c>
      <x:c r="N356" s="17" t="str">
        <x:v>计划</x:v>
      </x:c>
    </x:row>
    <x:row r="357">
      <x:c r="A357" s="17" t="str">
        <x:v>B04-V02-S01-B2</x:v>
      </x:c>
      <x:c r="B357" s="17" t="str">
        <x:v>B04</x:v>
      </x:c>
      <x:c r="C357" s="17" t="str">
        <x:v>V02</x:v>
      </x:c>
      <x:c r="D357" s="17" t="str">
        <x:v>S01</x:v>
      </x:c>
      <x:c r="E357" s="17" t="n">
        <x:v>2</x:v>
      </x:c>
      <x:c r="F357" s="17" t="str">
        <x:v>T01</x:v>
      </x:c>
      <x:c r="G357" s="17" t="str">
        <x:v>0 mT对照</x:v>
      </x:c>
      <x:c r="H357" s="17" t="n">
        <x:v>12</x:v>
      </x:c>
      <x:c r="I357" s="17" t="n">
        <x:v>12</x:v>
      </x:c>
      <x:c r="J357" s="17" t="n">
        <x:v>2</x:v>
      </x:c>
      <x:c r="K357" s="17" t="n">
        <x:v>14</x:v>
      </x:c>
      <x:c r="L357" s="17" t="str">
        <x:v>分层区组</x:v>
      </x:c>
      <x:c r="M357" s="17" t="str">
        <x:v>检测盲态</x:v>
      </x:c>
      <x:c r="N357" s="17" t="str">
        <x:v>计划</x:v>
      </x:c>
    </x:row>
    <x:row r="358">
      <x:c r="A358" s="17" t="str">
        <x:v>B04-V02-S01-B2</x:v>
      </x:c>
      <x:c r="B358" s="17" t="str">
        <x:v>B04</x:v>
      </x:c>
      <x:c r="C358" s="17" t="str">
        <x:v>V02</x:v>
      </x:c>
      <x:c r="D358" s="17" t="str">
        <x:v>S01</x:v>
      </x:c>
      <x:c r="E358" s="17" t="n">
        <x:v>2</x:v>
      </x:c>
      <x:c r="F358" s="17" t="str">
        <x:v>T01</x:v>
      </x:c>
      <x:c r="G358" s="17" t="str">
        <x:v>0 mT对照</x:v>
      </x:c>
      <x:c r="H358" s="17" t="n">
        <x:v>15</x:v>
      </x:c>
      <x:c r="I358" s="17" t="n">
        <x:v>12</x:v>
      </x:c>
      <x:c r="J358" s="17" t="n">
        <x:v>2</x:v>
      </x:c>
      <x:c r="K358" s="17" t="n">
        <x:v>14</x:v>
      </x:c>
      <x:c r="L358" s="17" t="str">
        <x:v>分层区组</x:v>
      </x:c>
      <x:c r="M358" s="17" t="str">
        <x:v>检测盲态</x:v>
      </x:c>
      <x:c r="N358" s="17" t="str">
        <x:v>计划</x:v>
      </x:c>
    </x:row>
    <x:row r="359">
      <x:c r="A359" s="17" t="str">
        <x:v>B04-V02-S01-B2</x:v>
      </x:c>
      <x:c r="B359" s="17" t="str">
        <x:v>B04</x:v>
      </x:c>
      <x:c r="C359" s="17" t="str">
        <x:v>V02</x:v>
      </x:c>
      <x:c r="D359" s="17" t="str">
        <x:v>S01</x:v>
      </x:c>
      <x:c r="E359" s="17" t="n">
        <x:v>2</x:v>
      </x:c>
      <x:c r="F359" s="17" t="str">
        <x:v>T02</x:v>
      </x:c>
      <x:c r="G359" s="17" t="str">
        <x:v>5 mT连续</x:v>
      </x:c>
      <x:c r="H359" s="17" t="n">
        <x:v>0</x:v>
      </x:c>
      <x:c r="I359" s="17" t="n">
        <x:v>12</x:v>
      </x:c>
      <x:c r="J359" s="17" t="n">
        <x:v>2</x:v>
      </x:c>
      <x:c r="K359" s="17" t="n">
        <x:v>14</x:v>
      </x:c>
      <x:c r="L359" s="17" t="str">
        <x:v>分层区组</x:v>
      </x:c>
      <x:c r="M359" s="17" t="str">
        <x:v>检测盲态</x:v>
      </x:c>
      <x:c r="N359" s="17" t="str">
        <x:v>计划</x:v>
      </x:c>
    </x:row>
    <x:row r="360">
      <x:c r="A360" s="17" t="str">
        <x:v>B04-V02-S01-B2</x:v>
      </x:c>
      <x:c r="B360" s="17" t="str">
        <x:v>B04</x:v>
      </x:c>
      <x:c r="C360" s="17" t="str">
        <x:v>V02</x:v>
      </x:c>
      <x:c r="D360" s="17" t="str">
        <x:v>S01</x:v>
      </x:c>
      <x:c r="E360" s="17" t="n">
        <x:v>2</x:v>
      </x:c>
      <x:c r="F360" s="17" t="str">
        <x:v>T02</x:v>
      </x:c>
      <x:c r="G360" s="17" t="str">
        <x:v>5 mT连续</x:v>
      </x:c>
      <x:c r="H360" s="17" t="n">
        <x:v>3</x:v>
      </x:c>
      <x:c r="I360" s="17" t="n">
        <x:v>12</x:v>
      </x:c>
      <x:c r="J360" s="17" t="n">
        <x:v>2</x:v>
      </x:c>
      <x:c r="K360" s="17" t="n">
        <x:v>14</x:v>
      </x:c>
      <x:c r="L360" s="17" t="str">
        <x:v>分层区组</x:v>
      </x:c>
      <x:c r="M360" s="17" t="str">
        <x:v>检测盲态</x:v>
      </x:c>
      <x:c r="N360" s="17" t="str">
        <x:v>计划</x:v>
      </x:c>
    </x:row>
    <x:row r="361">
      <x:c r="A361" s="17" t="str">
        <x:v>B04-V02-S01-B2</x:v>
      </x:c>
      <x:c r="B361" s="17" t="str">
        <x:v>B04</x:v>
      </x:c>
      <x:c r="C361" s="17" t="str">
        <x:v>V02</x:v>
      </x:c>
      <x:c r="D361" s="17" t="str">
        <x:v>S01</x:v>
      </x:c>
      <x:c r="E361" s="17" t="n">
        <x:v>2</x:v>
      </x:c>
      <x:c r="F361" s="17" t="str">
        <x:v>T02</x:v>
      </x:c>
      <x:c r="G361" s="17" t="str">
        <x:v>5 mT连续</x:v>
      </x:c>
      <x:c r="H361" s="17" t="n">
        <x:v>6</x:v>
      </x:c>
      <x:c r="I361" s="17" t="n">
        <x:v>12</x:v>
      </x:c>
      <x:c r="J361" s="17" t="n">
        <x:v>2</x:v>
      </x:c>
      <x:c r="K361" s="17" t="n">
        <x:v>14</x:v>
      </x:c>
      <x:c r="L361" s="17" t="str">
        <x:v>分层区组</x:v>
      </x:c>
      <x:c r="M361" s="17" t="str">
        <x:v>检测盲态</x:v>
      </x:c>
      <x:c r="N361" s="17" t="str">
        <x:v>计划</x:v>
      </x:c>
    </x:row>
    <x:row r="362">
      <x:c r="A362" s="17" t="str">
        <x:v>B04-V02-S01-B2</x:v>
      </x:c>
      <x:c r="B362" s="17" t="str">
        <x:v>B04</x:v>
      </x:c>
      <x:c r="C362" s="17" t="str">
        <x:v>V02</x:v>
      </x:c>
      <x:c r="D362" s="17" t="str">
        <x:v>S01</x:v>
      </x:c>
      <x:c r="E362" s="17" t="n">
        <x:v>2</x:v>
      </x:c>
      <x:c r="F362" s="17" t="str">
        <x:v>T02</x:v>
      </x:c>
      <x:c r="G362" s="17" t="str">
        <x:v>5 mT连续</x:v>
      </x:c>
      <x:c r="H362" s="17" t="n">
        <x:v>9</x:v>
      </x:c>
      <x:c r="I362" s="17" t="n">
        <x:v>12</x:v>
      </x:c>
      <x:c r="J362" s="17" t="n">
        <x:v>2</x:v>
      </x:c>
      <x:c r="K362" s="17" t="n">
        <x:v>14</x:v>
      </x:c>
      <x:c r="L362" s="17" t="str">
        <x:v>分层区组</x:v>
      </x:c>
      <x:c r="M362" s="17" t="str">
        <x:v>检测盲态</x:v>
      </x:c>
      <x:c r="N362" s="17" t="str">
        <x:v>计划</x:v>
      </x:c>
    </x:row>
    <x:row r="363">
      <x:c r="A363" s="17" t="str">
        <x:v>B04-V02-S01-B2</x:v>
      </x:c>
      <x:c r="B363" s="17" t="str">
        <x:v>B04</x:v>
      </x:c>
      <x:c r="C363" s="17" t="str">
        <x:v>V02</x:v>
      </x:c>
      <x:c r="D363" s="17" t="str">
        <x:v>S01</x:v>
      </x:c>
      <x:c r="E363" s="17" t="n">
        <x:v>2</x:v>
      </x:c>
      <x:c r="F363" s="17" t="str">
        <x:v>T02</x:v>
      </x:c>
      <x:c r="G363" s="17" t="str">
        <x:v>5 mT连续</x:v>
      </x:c>
      <x:c r="H363" s="17" t="n">
        <x:v>12</x:v>
      </x:c>
      <x:c r="I363" s="17" t="n">
        <x:v>12</x:v>
      </x:c>
      <x:c r="J363" s="17" t="n">
        <x:v>2</x:v>
      </x:c>
      <x:c r="K363" s="17" t="n">
        <x:v>14</x:v>
      </x:c>
      <x:c r="L363" s="17" t="str">
        <x:v>分层区组</x:v>
      </x:c>
      <x:c r="M363" s="17" t="str">
        <x:v>检测盲态</x:v>
      </x:c>
      <x:c r="N363" s="17" t="str">
        <x:v>计划</x:v>
      </x:c>
    </x:row>
    <x:row r="364">
      <x:c r="A364" s="17" t="str">
        <x:v>B04-V02-S01-B2</x:v>
      </x:c>
      <x:c r="B364" s="17" t="str">
        <x:v>B04</x:v>
      </x:c>
      <x:c r="C364" s="17" t="str">
        <x:v>V02</x:v>
      </x:c>
      <x:c r="D364" s="17" t="str">
        <x:v>S01</x:v>
      </x:c>
      <x:c r="E364" s="17" t="n">
        <x:v>2</x:v>
      </x:c>
      <x:c r="F364" s="17" t="str">
        <x:v>T02</x:v>
      </x:c>
      <x:c r="G364" s="17" t="str">
        <x:v>5 mT连续</x:v>
      </x:c>
      <x:c r="H364" s="17" t="n">
        <x:v>15</x:v>
      </x:c>
      <x:c r="I364" s="17" t="n">
        <x:v>12</x:v>
      </x:c>
      <x:c r="J364" s="17" t="n">
        <x:v>2</x:v>
      </x:c>
      <x:c r="K364" s="17" t="n">
        <x:v>14</x:v>
      </x:c>
      <x:c r="L364" s="17" t="str">
        <x:v>分层区组</x:v>
      </x:c>
      <x:c r="M364" s="17" t="str">
        <x:v>检测盲态</x:v>
      </x:c>
      <x:c r="N364" s="17" t="str">
        <x:v>计划</x:v>
      </x:c>
    </x:row>
    <x:row r="365">
      <x:c r="A365" s="17" t="str">
        <x:v>B04-V02-S02-B1</x:v>
      </x:c>
      <x:c r="B365" s="17" t="str">
        <x:v>B04</x:v>
      </x:c>
      <x:c r="C365" s="17" t="str">
        <x:v>V02</x:v>
      </x:c>
      <x:c r="D365" s="17" t="str">
        <x:v>S02</x:v>
      </x:c>
      <x:c r="E365" s="17" t="n">
        <x:v>1</x:v>
      </x:c>
      <x:c r="F365" s="17" t="str">
        <x:v>T01</x:v>
      </x:c>
      <x:c r="G365" s="17" t="str">
        <x:v>0 mT对照</x:v>
      </x:c>
      <x:c r="H365" s="17" t="n">
        <x:v>0</x:v>
      </x:c>
      <x:c r="I365" s="17" t="n">
        <x:v>12</x:v>
      </x:c>
      <x:c r="J365" s="17" t="n">
        <x:v>2</x:v>
      </x:c>
      <x:c r="K365" s="17" t="n">
        <x:v>14</x:v>
      </x:c>
      <x:c r="L365" s="17" t="str">
        <x:v>分层区组</x:v>
      </x:c>
      <x:c r="M365" s="17" t="str">
        <x:v>检测盲态</x:v>
      </x:c>
      <x:c r="N365" s="17" t="str">
        <x:v>计划</x:v>
      </x:c>
    </x:row>
    <x:row r="366">
      <x:c r="A366" s="17" t="str">
        <x:v>B04-V02-S02-B1</x:v>
      </x:c>
      <x:c r="B366" s="17" t="str">
        <x:v>B04</x:v>
      </x:c>
      <x:c r="C366" s="17" t="str">
        <x:v>V02</x:v>
      </x:c>
      <x:c r="D366" s="17" t="str">
        <x:v>S02</x:v>
      </x:c>
      <x:c r="E366" s="17" t="n">
        <x:v>1</x:v>
      </x:c>
      <x:c r="F366" s="17" t="str">
        <x:v>T01</x:v>
      </x:c>
      <x:c r="G366" s="17" t="str">
        <x:v>0 mT对照</x:v>
      </x:c>
      <x:c r="H366" s="17" t="n">
        <x:v>3</x:v>
      </x:c>
      <x:c r="I366" s="17" t="n">
        <x:v>12</x:v>
      </x:c>
      <x:c r="J366" s="17" t="n">
        <x:v>2</x:v>
      </x:c>
      <x:c r="K366" s="17" t="n">
        <x:v>14</x:v>
      </x:c>
      <x:c r="L366" s="17" t="str">
        <x:v>分层区组</x:v>
      </x:c>
      <x:c r="M366" s="17" t="str">
        <x:v>检测盲态</x:v>
      </x:c>
      <x:c r="N366" s="17" t="str">
        <x:v>计划</x:v>
      </x:c>
    </x:row>
    <x:row r="367">
      <x:c r="A367" s="17" t="str">
        <x:v>B04-V02-S02-B1</x:v>
      </x:c>
      <x:c r="B367" s="17" t="str">
        <x:v>B04</x:v>
      </x:c>
      <x:c r="C367" s="17" t="str">
        <x:v>V02</x:v>
      </x:c>
      <x:c r="D367" s="17" t="str">
        <x:v>S02</x:v>
      </x:c>
      <x:c r="E367" s="17" t="n">
        <x:v>1</x:v>
      </x:c>
      <x:c r="F367" s="17" t="str">
        <x:v>T01</x:v>
      </x:c>
      <x:c r="G367" s="17" t="str">
        <x:v>0 mT对照</x:v>
      </x:c>
      <x:c r="H367" s="17" t="n">
        <x:v>6</x:v>
      </x:c>
      <x:c r="I367" s="17" t="n">
        <x:v>12</x:v>
      </x:c>
      <x:c r="J367" s="17" t="n">
        <x:v>2</x:v>
      </x:c>
      <x:c r="K367" s="17" t="n">
        <x:v>14</x:v>
      </x:c>
      <x:c r="L367" s="17" t="str">
        <x:v>分层区组</x:v>
      </x:c>
      <x:c r="M367" s="17" t="str">
        <x:v>检测盲态</x:v>
      </x:c>
      <x:c r="N367" s="17" t="str">
        <x:v>计划</x:v>
      </x:c>
    </x:row>
    <x:row r="368">
      <x:c r="A368" s="17" t="str">
        <x:v>B04-V02-S02-B1</x:v>
      </x:c>
      <x:c r="B368" s="17" t="str">
        <x:v>B04</x:v>
      </x:c>
      <x:c r="C368" s="17" t="str">
        <x:v>V02</x:v>
      </x:c>
      <x:c r="D368" s="17" t="str">
        <x:v>S02</x:v>
      </x:c>
      <x:c r="E368" s="17" t="n">
        <x:v>1</x:v>
      </x:c>
      <x:c r="F368" s="17" t="str">
        <x:v>T01</x:v>
      </x:c>
      <x:c r="G368" s="17" t="str">
        <x:v>0 mT对照</x:v>
      </x:c>
      <x:c r="H368" s="17" t="n">
        <x:v>9</x:v>
      </x:c>
      <x:c r="I368" s="17" t="n">
        <x:v>12</x:v>
      </x:c>
      <x:c r="J368" s="17" t="n">
        <x:v>2</x:v>
      </x:c>
      <x:c r="K368" s="17" t="n">
        <x:v>14</x:v>
      </x:c>
      <x:c r="L368" s="17" t="str">
        <x:v>分层区组</x:v>
      </x:c>
      <x:c r="M368" s="17" t="str">
        <x:v>检测盲态</x:v>
      </x:c>
      <x:c r="N368" s="17" t="str">
        <x:v>计划</x:v>
      </x:c>
    </x:row>
    <x:row r="369">
      <x:c r="A369" s="17" t="str">
        <x:v>B04-V02-S02-B1</x:v>
      </x:c>
      <x:c r="B369" s="17" t="str">
        <x:v>B04</x:v>
      </x:c>
      <x:c r="C369" s="17" t="str">
        <x:v>V02</x:v>
      </x:c>
      <x:c r="D369" s="17" t="str">
        <x:v>S02</x:v>
      </x:c>
      <x:c r="E369" s="17" t="n">
        <x:v>1</x:v>
      </x:c>
      <x:c r="F369" s="17" t="str">
        <x:v>T01</x:v>
      </x:c>
      <x:c r="G369" s="17" t="str">
        <x:v>0 mT对照</x:v>
      </x:c>
      <x:c r="H369" s="17" t="n">
        <x:v>12</x:v>
      </x:c>
      <x:c r="I369" s="17" t="n">
        <x:v>12</x:v>
      </x:c>
      <x:c r="J369" s="17" t="n">
        <x:v>2</x:v>
      </x:c>
      <x:c r="K369" s="17" t="n">
        <x:v>14</x:v>
      </x:c>
      <x:c r="L369" s="17" t="str">
        <x:v>分层区组</x:v>
      </x:c>
      <x:c r="M369" s="17" t="str">
        <x:v>检测盲态</x:v>
      </x:c>
      <x:c r="N369" s="17" t="str">
        <x:v>计划</x:v>
      </x:c>
    </x:row>
    <x:row r="370">
      <x:c r="A370" s="17" t="str">
        <x:v>B04-V02-S02-B1</x:v>
      </x:c>
      <x:c r="B370" s="17" t="str">
        <x:v>B04</x:v>
      </x:c>
      <x:c r="C370" s="17" t="str">
        <x:v>V02</x:v>
      </x:c>
      <x:c r="D370" s="17" t="str">
        <x:v>S02</x:v>
      </x:c>
      <x:c r="E370" s="17" t="n">
        <x:v>1</x:v>
      </x:c>
      <x:c r="F370" s="17" t="str">
        <x:v>T01</x:v>
      </x:c>
      <x:c r="G370" s="17" t="str">
        <x:v>0 mT对照</x:v>
      </x:c>
      <x:c r="H370" s="17" t="n">
        <x:v>15</x:v>
      </x:c>
      <x:c r="I370" s="17" t="n">
        <x:v>12</x:v>
      </x:c>
      <x:c r="J370" s="17" t="n">
        <x:v>2</x:v>
      </x:c>
      <x:c r="K370" s="17" t="n">
        <x:v>14</x:v>
      </x:c>
      <x:c r="L370" s="17" t="str">
        <x:v>分层区组</x:v>
      </x:c>
      <x:c r="M370" s="17" t="str">
        <x:v>检测盲态</x:v>
      </x:c>
      <x:c r="N370" s="17" t="str">
        <x:v>计划</x:v>
      </x:c>
    </x:row>
    <x:row r="371">
      <x:c r="A371" s="17" t="str">
        <x:v>B04-V02-S02-B1</x:v>
      </x:c>
      <x:c r="B371" s="17" t="str">
        <x:v>B04</x:v>
      </x:c>
      <x:c r="C371" s="17" t="str">
        <x:v>V02</x:v>
      </x:c>
      <x:c r="D371" s="17" t="str">
        <x:v>S02</x:v>
      </x:c>
      <x:c r="E371" s="17" t="n">
        <x:v>1</x:v>
      </x:c>
      <x:c r="F371" s="17" t="str">
        <x:v>T02</x:v>
      </x:c>
      <x:c r="G371" s="17" t="str">
        <x:v>5 mT连续</x:v>
      </x:c>
      <x:c r="H371" s="17" t="n">
        <x:v>0</x:v>
      </x:c>
      <x:c r="I371" s="17" t="n">
        <x:v>12</x:v>
      </x:c>
      <x:c r="J371" s="17" t="n">
        <x:v>2</x:v>
      </x:c>
      <x:c r="K371" s="17" t="n">
        <x:v>14</x:v>
      </x:c>
      <x:c r="L371" s="17" t="str">
        <x:v>分层区组</x:v>
      </x:c>
      <x:c r="M371" s="17" t="str">
        <x:v>检测盲态</x:v>
      </x:c>
      <x:c r="N371" s="17" t="str">
        <x:v>计划</x:v>
      </x:c>
    </x:row>
    <x:row r="372">
      <x:c r="A372" s="17" t="str">
        <x:v>B04-V02-S02-B1</x:v>
      </x:c>
      <x:c r="B372" s="17" t="str">
        <x:v>B04</x:v>
      </x:c>
      <x:c r="C372" s="17" t="str">
        <x:v>V02</x:v>
      </x:c>
      <x:c r="D372" s="17" t="str">
        <x:v>S02</x:v>
      </x:c>
      <x:c r="E372" s="17" t="n">
        <x:v>1</x:v>
      </x:c>
      <x:c r="F372" s="17" t="str">
        <x:v>T02</x:v>
      </x:c>
      <x:c r="G372" s="17" t="str">
        <x:v>5 mT连续</x:v>
      </x:c>
      <x:c r="H372" s="17" t="n">
        <x:v>3</x:v>
      </x:c>
      <x:c r="I372" s="17" t="n">
        <x:v>12</x:v>
      </x:c>
      <x:c r="J372" s="17" t="n">
        <x:v>2</x:v>
      </x:c>
      <x:c r="K372" s="17" t="n">
        <x:v>14</x:v>
      </x:c>
      <x:c r="L372" s="17" t="str">
        <x:v>分层区组</x:v>
      </x:c>
      <x:c r="M372" s="17" t="str">
        <x:v>检测盲态</x:v>
      </x:c>
      <x:c r="N372" s="17" t="str">
        <x:v>计划</x:v>
      </x:c>
    </x:row>
    <x:row r="373">
      <x:c r="A373" s="17" t="str">
        <x:v>B04-V02-S02-B1</x:v>
      </x:c>
      <x:c r="B373" s="17" t="str">
        <x:v>B04</x:v>
      </x:c>
      <x:c r="C373" s="17" t="str">
        <x:v>V02</x:v>
      </x:c>
      <x:c r="D373" s="17" t="str">
        <x:v>S02</x:v>
      </x:c>
      <x:c r="E373" s="17" t="n">
        <x:v>1</x:v>
      </x:c>
      <x:c r="F373" s="17" t="str">
        <x:v>T02</x:v>
      </x:c>
      <x:c r="G373" s="17" t="str">
        <x:v>5 mT连续</x:v>
      </x:c>
      <x:c r="H373" s="17" t="n">
        <x:v>6</x:v>
      </x:c>
      <x:c r="I373" s="17" t="n">
        <x:v>12</x:v>
      </x:c>
      <x:c r="J373" s="17" t="n">
        <x:v>2</x:v>
      </x:c>
      <x:c r="K373" s="17" t="n">
        <x:v>14</x:v>
      </x:c>
      <x:c r="L373" s="17" t="str">
        <x:v>分层区组</x:v>
      </x:c>
      <x:c r="M373" s="17" t="str">
        <x:v>检测盲态</x:v>
      </x:c>
      <x:c r="N373" s="17" t="str">
        <x:v>计划</x:v>
      </x:c>
    </x:row>
    <x:row r="374">
      <x:c r="A374" s="17" t="str">
        <x:v>B04-V02-S02-B1</x:v>
      </x:c>
      <x:c r="B374" s="17" t="str">
        <x:v>B04</x:v>
      </x:c>
      <x:c r="C374" s="17" t="str">
        <x:v>V02</x:v>
      </x:c>
      <x:c r="D374" s="17" t="str">
        <x:v>S02</x:v>
      </x:c>
      <x:c r="E374" s="17" t="n">
        <x:v>1</x:v>
      </x:c>
      <x:c r="F374" s="17" t="str">
        <x:v>T02</x:v>
      </x:c>
      <x:c r="G374" s="17" t="str">
        <x:v>5 mT连续</x:v>
      </x:c>
      <x:c r="H374" s="17" t="n">
        <x:v>9</x:v>
      </x:c>
      <x:c r="I374" s="17" t="n">
        <x:v>12</x:v>
      </x:c>
      <x:c r="J374" s="17" t="n">
        <x:v>2</x:v>
      </x:c>
      <x:c r="K374" s="17" t="n">
        <x:v>14</x:v>
      </x:c>
      <x:c r="L374" s="17" t="str">
        <x:v>分层区组</x:v>
      </x:c>
      <x:c r="M374" s="17" t="str">
        <x:v>检测盲态</x:v>
      </x:c>
      <x:c r="N374" s="17" t="str">
        <x:v>计划</x:v>
      </x:c>
    </x:row>
    <x:row r="375">
      <x:c r="A375" s="17" t="str">
        <x:v>B04-V02-S02-B1</x:v>
      </x:c>
      <x:c r="B375" s="17" t="str">
        <x:v>B04</x:v>
      </x:c>
      <x:c r="C375" s="17" t="str">
        <x:v>V02</x:v>
      </x:c>
      <x:c r="D375" s="17" t="str">
        <x:v>S02</x:v>
      </x:c>
      <x:c r="E375" s="17" t="n">
        <x:v>1</x:v>
      </x:c>
      <x:c r="F375" s="17" t="str">
        <x:v>T02</x:v>
      </x:c>
      <x:c r="G375" s="17" t="str">
        <x:v>5 mT连续</x:v>
      </x:c>
      <x:c r="H375" s="17" t="n">
        <x:v>12</x:v>
      </x:c>
      <x:c r="I375" s="17" t="n">
        <x:v>12</x:v>
      </x:c>
      <x:c r="J375" s="17" t="n">
        <x:v>2</x:v>
      </x:c>
      <x:c r="K375" s="17" t="n">
        <x:v>14</x:v>
      </x:c>
      <x:c r="L375" s="17" t="str">
        <x:v>分层区组</x:v>
      </x:c>
      <x:c r="M375" s="17" t="str">
        <x:v>检测盲态</x:v>
      </x:c>
      <x:c r="N375" s="17" t="str">
        <x:v>计划</x:v>
      </x:c>
    </x:row>
    <x:row r="376">
      <x:c r="A376" s="17" t="str">
        <x:v>B04-V02-S02-B1</x:v>
      </x:c>
      <x:c r="B376" s="17" t="str">
        <x:v>B04</x:v>
      </x:c>
      <x:c r="C376" s="17" t="str">
        <x:v>V02</x:v>
      </x:c>
      <x:c r="D376" s="17" t="str">
        <x:v>S02</x:v>
      </x:c>
      <x:c r="E376" s="17" t="n">
        <x:v>1</x:v>
      </x:c>
      <x:c r="F376" s="17" t="str">
        <x:v>T02</x:v>
      </x:c>
      <x:c r="G376" s="17" t="str">
        <x:v>5 mT连续</x:v>
      </x:c>
      <x:c r="H376" s="17" t="n">
        <x:v>15</x:v>
      </x:c>
      <x:c r="I376" s="17" t="n">
        <x:v>12</x:v>
      </x:c>
      <x:c r="J376" s="17" t="n">
        <x:v>2</x:v>
      </x:c>
      <x:c r="K376" s="17" t="n">
        <x:v>14</x:v>
      </x:c>
      <x:c r="L376" s="17" t="str">
        <x:v>分层区组</x:v>
      </x:c>
      <x:c r="M376" s="17" t="str">
        <x:v>检测盲态</x:v>
      </x:c>
      <x:c r="N376" s="17" t="str">
        <x:v>计划</x:v>
      </x:c>
    </x:row>
    <x:row r="377">
      <x:c r="A377" s="17" t="str">
        <x:v>B04-V02-S02-B2</x:v>
      </x:c>
      <x:c r="B377" s="17" t="str">
        <x:v>B04</x:v>
      </x:c>
      <x:c r="C377" s="17" t="str">
        <x:v>V02</x:v>
      </x:c>
      <x:c r="D377" s="17" t="str">
        <x:v>S02</x:v>
      </x:c>
      <x:c r="E377" s="17" t="n">
        <x:v>2</x:v>
      </x:c>
      <x:c r="F377" s="17" t="str">
        <x:v>T01</x:v>
      </x:c>
      <x:c r="G377" s="17" t="str">
        <x:v>0 mT对照</x:v>
      </x:c>
      <x:c r="H377" s="17" t="n">
        <x:v>0</x:v>
      </x:c>
      <x:c r="I377" s="17" t="n">
        <x:v>12</x:v>
      </x:c>
      <x:c r="J377" s="17" t="n">
        <x:v>2</x:v>
      </x:c>
      <x:c r="K377" s="17" t="n">
        <x:v>14</x:v>
      </x:c>
      <x:c r="L377" s="17" t="str">
        <x:v>分层区组</x:v>
      </x:c>
      <x:c r="M377" s="17" t="str">
        <x:v>检测盲态</x:v>
      </x:c>
      <x:c r="N377" s="17" t="str">
        <x:v>计划</x:v>
      </x:c>
    </x:row>
    <x:row r="378">
      <x:c r="A378" s="17" t="str">
        <x:v>B04-V02-S02-B2</x:v>
      </x:c>
      <x:c r="B378" s="17" t="str">
        <x:v>B04</x:v>
      </x:c>
      <x:c r="C378" s="17" t="str">
        <x:v>V02</x:v>
      </x:c>
      <x:c r="D378" s="17" t="str">
        <x:v>S02</x:v>
      </x:c>
      <x:c r="E378" s="17" t="n">
        <x:v>2</x:v>
      </x:c>
      <x:c r="F378" s="17" t="str">
        <x:v>T01</x:v>
      </x:c>
      <x:c r="G378" s="17" t="str">
        <x:v>0 mT对照</x:v>
      </x:c>
      <x:c r="H378" s="17" t="n">
        <x:v>3</x:v>
      </x:c>
      <x:c r="I378" s="17" t="n">
        <x:v>12</x:v>
      </x:c>
      <x:c r="J378" s="17" t="n">
        <x:v>2</x:v>
      </x:c>
      <x:c r="K378" s="17" t="n">
        <x:v>14</x:v>
      </x:c>
      <x:c r="L378" s="17" t="str">
        <x:v>分层区组</x:v>
      </x:c>
      <x:c r="M378" s="17" t="str">
        <x:v>检测盲态</x:v>
      </x:c>
      <x:c r="N378" s="17" t="str">
        <x:v>计划</x:v>
      </x:c>
    </x:row>
    <x:row r="379">
      <x:c r="A379" s="17" t="str">
        <x:v>B04-V02-S02-B2</x:v>
      </x:c>
      <x:c r="B379" s="17" t="str">
        <x:v>B04</x:v>
      </x:c>
      <x:c r="C379" s="17" t="str">
        <x:v>V02</x:v>
      </x:c>
      <x:c r="D379" s="17" t="str">
        <x:v>S02</x:v>
      </x:c>
      <x:c r="E379" s="17" t="n">
        <x:v>2</x:v>
      </x:c>
      <x:c r="F379" s="17" t="str">
        <x:v>T01</x:v>
      </x:c>
      <x:c r="G379" s="17" t="str">
        <x:v>0 mT对照</x:v>
      </x:c>
      <x:c r="H379" s="17" t="n">
        <x:v>6</x:v>
      </x:c>
      <x:c r="I379" s="17" t="n">
        <x:v>12</x:v>
      </x:c>
      <x:c r="J379" s="17" t="n">
        <x:v>2</x:v>
      </x:c>
      <x:c r="K379" s="17" t="n">
        <x:v>14</x:v>
      </x:c>
      <x:c r="L379" s="17" t="str">
        <x:v>分层区组</x:v>
      </x:c>
      <x:c r="M379" s="17" t="str">
        <x:v>检测盲态</x:v>
      </x:c>
      <x:c r="N379" s="17" t="str">
        <x:v>计划</x:v>
      </x:c>
    </x:row>
    <x:row r="380">
      <x:c r="A380" s="17" t="str">
        <x:v>B04-V02-S02-B2</x:v>
      </x:c>
      <x:c r="B380" s="17" t="str">
        <x:v>B04</x:v>
      </x:c>
      <x:c r="C380" s="17" t="str">
        <x:v>V02</x:v>
      </x:c>
      <x:c r="D380" s="17" t="str">
        <x:v>S02</x:v>
      </x:c>
      <x:c r="E380" s="17" t="n">
        <x:v>2</x:v>
      </x:c>
      <x:c r="F380" s="17" t="str">
        <x:v>T01</x:v>
      </x:c>
      <x:c r="G380" s="17" t="str">
        <x:v>0 mT对照</x:v>
      </x:c>
      <x:c r="H380" s="17" t="n">
        <x:v>9</x:v>
      </x:c>
      <x:c r="I380" s="17" t="n">
        <x:v>12</x:v>
      </x:c>
      <x:c r="J380" s="17" t="n">
        <x:v>2</x:v>
      </x:c>
      <x:c r="K380" s="17" t="n">
        <x:v>14</x:v>
      </x:c>
      <x:c r="L380" s="17" t="str">
        <x:v>分层区组</x:v>
      </x:c>
      <x:c r="M380" s="17" t="str">
        <x:v>检测盲态</x:v>
      </x:c>
      <x:c r="N380" s="17" t="str">
        <x:v>计划</x:v>
      </x:c>
    </x:row>
    <x:row r="381">
      <x:c r="A381" s="17" t="str">
        <x:v>B04-V02-S02-B2</x:v>
      </x:c>
      <x:c r="B381" s="17" t="str">
        <x:v>B04</x:v>
      </x:c>
      <x:c r="C381" s="17" t="str">
        <x:v>V02</x:v>
      </x:c>
      <x:c r="D381" s="17" t="str">
        <x:v>S02</x:v>
      </x:c>
      <x:c r="E381" s="17" t="n">
        <x:v>2</x:v>
      </x:c>
      <x:c r="F381" s="17" t="str">
        <x:v>T01</x:v>
      </x:c>
      <x:c r="G381" s="17" t="str">
        <x:v>0 mT对照</x:v>
      </x:c>
      <x:c r="H381" s="17" t="n">
        <x:v>12</x:v>
      </x:c>
      <x:c r="I381" s="17" t="n">
        <x:v>12</x:v>
      </x:c>
      <x:c r="J381" s="17" t="n">
        <x:v>2</x:v>
      </x:c>
      <x:c r="K381" s="17" t="n">
        <x:v>14</x:v>
      </x:c>
      <x:c r="L381" s="17" t="str">
        <x:v>分层区组</x:v>
      </x:c>
      <x:c r="M381" s="17" t="str">
        <x:v>检测盲态</x:v>
      </x:c>
      <x:c r="N381" s="17" t="str">
        <x:v>计划</x:v>
      </x:c>
    </x:row>
    <x:row r="382">
      <x:c r="A382" s="17" t="str">
        <x:v>B04-V02-S02-B2</x:v>
      </x:c>
      <x:c r="B382" s="17" t="str">
        <x:v>B04</x:v>
      </x:c>
      <x:c r="C382" s="17" t="str">
        <x:v>V02</x:v>
      </x:c>
      <x:c r="D382" s="17" t="str">
        <x:v>S02</x:v>
      </x:c>
      <x:c r="E382" s="17" t="n">
        <x:v>2</x:v>
      </x:c>
      <x:c r="F382" s="17" t="str">
        <x:v>T01</x:v>
      </x:c>
      <x:c r="G382" s="17" t="str">
        <x:v>0 mT对照</x:v>
      </x:c>
      <x:c r="H382" s="17" t="n">
        <x:v>15</x:v>
      </x:c>
      <x:c r="I382" s="17" t="n">
        <x:v>12</x:v>
      </x:c>
      <x:c r="J382" s="17" t="n">
        <x:v>2</x:v>
      </x:c>
      <x:c r="K382" s="17" t="n">
        <x:v>14</x:v>
      </x:c>
      <x:c r="L382" s="17" t="str">
        <x:v>分层区组</x:v>
      </x:c>
      <x:c r="M382" s="17" t="str">
        <x:v>检测盲态</x:v>
      </x:c>
      <x:c r="N382" s="17" t="str">
        <x:v>计划</x:v>
      </x:c>
    </x:row>
    <x:row r="383">
      <x:c r="A383" s="17" t="str">
        <x:v>B04-V02-S02-B2</x:v>
      </x:c>
      <x:c r="B383" s="17" t="str">
        <x:v>B04</x:v>
      </x:c>
      <x:c r="C383" s="17" t="str">
        <x:v>V02</x:v>
      </x:c>
      <x:c r="D383" s="17" t="str">
        <x:v>S02</x:v>
      </x:c>
      <x:c r="E383" s="17" t="n">
        <x:v>2</x:v>
      </x:c>
      <x:c r="F383" s="17" t="str">
        <x:v>T02</x:v>
      </x:c>
      <x:c r="G383" s="17" t="str">
        <x:v>5 mT连续</x:v>
      </x:c>
      <x:c r="H383" s="17" t="n">
        <x:v>0</x:v>
      </x:c>
      <x:c r="I383" s="17" t="n">
        <x:v>12</x:v>
      </x:c>
      <x:c r="J383" s="17" t="n">
        <x:v>2</x:v>
      </x:c>
      <x:c r="K383" s="17" t="n">
        <x:v>14</x:v>
      </x:c>
      <x:c r="L383" s="17" t="str">
        <x:v>分层区组</x:v>
      </x:c>
      <x:c r="M383" s="17" t="str">
        <x:v>检测盲态</x:v>
      </x:c>
      <x:c r="N383" s="17" t="str">
        <x:v>计划</x:v>
      </x:c>
    </x:row>
    <x:row r="384">
      <x:c r="A384" s="17" t="str">
        <x:v>B04-V02-S02-B2</x:v>
      </x:c>
      <x:c r="B384" s="17" t="str">
        <x:v>B04</x:v>
      </x:c>
      <x:c r="C384" s="17" t="str">
        <x:v>V02</x:v>
      </x:c>
      <x:c r="D384" s="17" t="str">
        <x:v>S02</x:v>
      </x:c>
      <x:c r="E384" s="17" t="n">
        <x:v>2</x:v>
      </x:c>
      <x:c r="F384" s="17" t="str">
        <x:v>T02</x:v>
      </x:c>
      <x:c r="G384" s="17" t="str">
        <x:v>5 mT连续</x:v>
      </x:c>
      <x:c r="H384" s="17" t="n">
        <x:v>3</x:v>
      </x:c>
      <x:c r="I384" s="17" t="n">
        <x:v>12</x:v>
      </x:c>
      <x:c r="J384" s="17" t="n">
        <x:v>2</x:v>
      </x:c>
      <x:c r="K384" s="17" t="n">
        <x:v>14</x:v>
      </x:c>
      <x:c r="L384" s="17" t="str">
        <x:v>分层区组</x:v>
      </x:c>
      <x:c r="M384" s="17" t="str">
        <x:v>检测盲态</x:v>
      </x:c>
      <x:c r="N384" s="17" t="str">
        <x:v>计划</x:v>
      </x:c>
    </x:row>
    <x:row r="385">
      <x:c r="A385" s="17" t="str">
        <x:v>B04-V02-S02-B2</x:v>
      </x:c>
      <x:c r="B385" s="17" t="str">
        <x:v>B04</x:v>
      </x:c>
      <x:c r="C385" s="17" t="str">
        <x:v>V02</x:v>
      </x:c>
      <x:c r="D385" s="17" t="str">
        <x:v>S02</x:v>
      </x:c>
      <x:c r="E385" s="17" t="n">
        <x:v>2</x:v>
      </x:c>
      <x:c r="F385" s="17" t="str">
        <x:v>T02</x:v>
      </x:c>
      <x:c r="G385" s="17" t="str">
        <x:v>5 mT连续</x:v>
      </x:c>
      <x:c r="H385" s="17" t="n">
        <x:v>6</x:v>
      </x:c>
      <x:c r="I385" s="17" t="n">
        <x:v>12</x:v>
      </x:c>
      <x:c r="J385" s="17" t="n">
        <x:v>2</x:v>
      </x:c>
      <x:c r="K385" s="17" t="n">
        <x:v>14</x:v>
      </x:c>
      <x:c r="L385" s="17" t="str">
        <x:v>分层区组</x:v>
      </x:c>
      <x:c r="M385" s="17" t="str">
        <x:v>检测盲态</x:v>
      </x:c>
      <x:c r="N385" s="17" t="str">
        <x:v>计划</x:v>
      </x:c>
    </x:row>
    <x:row r="386">
      <x:c r="A386" s="17" t="str">
        <x:v>B04-V02-S02-B2</x:v>
      </x:c>
      <x:c r="B386" s="17" t="str">
        <x:v>B04</x:v>
      </x:c>
      <x:c r="C386" s="17" t="str">
        <x:v>V02</x:v>
      </x:c>
      <x:c r="D386" s="17" t="str">
        <x:v>S02</x:v>
      </x:c>
      <x:c r="E386" s="17" t="n">
        <x:v>2</x:v>
      </x:c>
      <x:c r="F386" s="17" t="str">
        <x:v>T02</x:v>
      </x:c>
      <x:c r="G386" s="17" t="str">
        <x:v>5 mT连续</x:v>
      </x:c>
      <x:c r="H386" s="17" t="n">
        <x:v>9</x:v>
      </x:c>
      <x:c r="I386" s="17" t="n">
        <x:v>12</x:v>
      </x:c>
      <x:c r="J386" s="17" t="n">
        <x:v>2</x:v>
      </x:c>
      <x:c r="K386" s="17" t="n">
        <x:v>14</x:v>
      </x:c>
      <x:c r="L386" s="17" t="str">
        <x:v>分层区组</x:v>
      </x:c>
      <x:c r="M386" s="17" t="str">
        <x:v>检测盲态</x:v>
      </x:c>
      <x:c r="N386" s="17" t="str">
        <x:v>计划</x:v>
      </x:c>
    </x:row>
    <x:row r="387">
      <x:c r="A387" s="17" t="str">
        <x:v>B04-V02-S02-B2</x:v>
      </x:c>
      <x:c r="B387" s="17" t="str">
        <x:v>B04</x:v>
      </x:c>
      <x:c r="C387" s="17" t="str">
        <x:v>V02</x:v>
      </x:c>
      <x:c r="D387" s="17" t="str">
        <x:v>S02</x:v>
      </x:c>
      <x:c r="E387" s="17" t="n">
        <x:v>2</x:v>
      </x:c>
      <x:c r="F387" s="17" t="str">
        <x:v>T02</x:v>
      </x:c>
      <x:c r="G387" s="17" t="str">
        <x:v>5 mT连续</x:v>
      </x:c>
      <x:c r="H387" s="17" t="n">
        <x:v>12</x:v>
      </x:c>
      <x:c r="I387" s="17" t="n">
        <x:v>12</x:v>
      </x:c>
      <x:c r="J387" s="17" t="n">
        <x:v>2</x:v>
      </x:c>
      <x:c r="K387" s="17" t="n">
        <x:v>14</x:v>
      </x:c>
      <x:c r="L387" s="17" t="str">
        <x:v>分层区组</x:v>
      </x:c>
      <x:c r="M387" s="17" t="str">
        <x:v>检测盲态</x:v>
      </x:c>
      <x:c r="N387" s="17" t="str">
        <x:v>计划</x:v>
      </x:c>
    </x:row>
    <x:row r="388">
      <x:c r="A388" s="17" t="str">
        <x:v>B04-V02-S02-B2</x:v>
      </x:c>
      <x:c r="B388" s="17" t="str">
        <x:v>B04</x:v>
      </x:c>
      <x:c r="C388" s="17" t="str">
        <x:v>V02</x:v>
      </x:c>
      <x:c r="D388" s="17" t="str">
        <x:v>S02</x:v>
      </x:c>
      <x:c r="E388" s="17" t="n">
        <x:v>2</x:v>
      </x:c>
      <x:c r="F388" s="17" t="str">
        <x:v>T02</x:v>
      </x:c>
      <x:c r="G388" s="17" t="str">
        <x:v>5 mT连续</x:v>
      </x:c>
      <x:c r="H388" s="17" t="n">
        <x:v>15</x:v>
      </x:c>
      <x:c r="I388" s="17" t="n">
        <x:v>12</x:v>
      </x:c>
      <x:c r="J388" s="17" t="n">
        <x:v>2</x:v>
      </x:c>
      <x:c r="K388" s="17" t="n">
        <x:v>14</x:v>
      </x:c>
      <x:c r="L388" s="17" t="str">
        <x:v>分层区组</x:v>
      </x:c>
      <x:c r="M388" s="17" t="str">
        <x:v>检测盲态</x:v>
      </x:c>
      <x:c r="N388" s="17" t="str">
        <x:v>计划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81b185dc4b6945f8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34" hidden="0" customWidth="1"/>
  </x:cols>
  <x:sheetData>
    <x:row r="1" ht="30" customHeight="1">
      <x:c r="A1" s="3" t="str">
        <x:v>随机化与盲法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成熟度、果径和初始质量分层后进行区组随机；采样、检测和统计使用不同编码。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3" t="str">
        <x:v>批次ID</x:v>
      </x:c>
      <x:c r="B4" s="13" t="str">
        <x:v>分层规则</x:v>
      </x:c>
      <x:c r="C4" s="13" t="str">
        <x:v>区组ID</x:v>
      </x:c>
      <x:c r="D4" s="13" t="str">
        <x:v>分配顺序</x:v>
      </x:c>
      <x:c r="E4" s="13" t="str">
        <x:v>样本码前缀</x:v>
      </x:c>
      <x:c r="F4" s="13" t="str">
        <x:v>检测码前缀</x:v>
      </x:c>
      <x:c r="G4" s="13" t="str">
        <x:v>分析码前缀</x:v>
      </x:c>
      <x:c r="H4" s="13" t="str">
        <x:v>处理映射持有人</x:v>
      </x:c>
      <x:c r="I4" s="13" t="str">
        <x:v>盲码保管人</x:v>
      </x:c>
      <x:c r="J4" s="13" t="str">
        <x:v>揭盲条件</x:v>
      </x:c>
    </x:row>
    <x:row r="5">
      <x:c r="A5" s="17" t="str">
        <x:v>B01-V01-S01-B1</x:v>
      </x:c>
      <x:c r="B5" s="17" t="str">
        <x:v>成熟度±0.5级；果径±3 mm；初始质量±2 g</x:v>
      </x:c>
      <x:c r="C5" s="17" t="str">
        <x:v>RB-001</x:v>
      </x:c>
      <x:c r="D5" s="17" t="str">
        <x:v>T01→T02</x:v>
      </x:c>
      <x:c r="E5" s="17" t="str">
        <x:v>S001-</x:v>
      </x:c>
      <x:c r="F5" s="17" t="str">
        <x:v>L001-</x:v>
      </x:c>
      <x:c r="G5" s="17" t="str">
        <x:v>A001-</x:v>
      </x:c>
      <x:c r="H5" s="17" t="str">
        <x:v>设备操作员</x:v>
      </x:c>
      <x:c r="I5" s="17" t="str">
        <x:v>质量负责人</x:v>
      </x:c>
      <x:c r="J5" s="17" t="str">
        <x:v>数据锁库后双签揭盲</x:v>
      </x:c>
    </x:row>
    <x:row r="6">
      <x:c r="A6" s="17" t="str">
        <x:v>B01-V01-S01-B2</x:v>
      </x:c>
      <x:c r="B6" s="17" t="str">
        <x:v>成熟度±0.5级；果径±3 mm；初始质量±2 g</x:v>
      </x:c>
      <x:c r="C6" s="17" t="str">
        <x:v>RB-002</x:v>
      </x:c>
      <x:c r="D6" s="17" t="str">
        <x:v>T02→T01</x:v>
      </x:c>
      <x:c r="E6" s="17" t="str">
        <x:v>S002-</x:v>
      </x:c>
      <x:c r="F6" s="17" t="str">
        <x:v>L002-</x:v>
      </x:c>
      <x:c r="G6" s="17" t="str">
        <x:v>A002-</x:v>
      </x:c>
      <x:c r="H6" s="17" t="str">
        <x:v>设备操作员</x:v>
      </x:c>
      <x:c r="I6" s="17" t="str">
        <x:v>质量负责人</x:v>
      </x:c>
      <x:c r="J6" s="17" t="str">
        <x:v>数据锁库后双签揭盲</x:v>
      </x:c>
    </x:row>
    <x:row r="7">
      <x:c r="A7" s="17" t="str">
        <x:v>B01-V01-S02-B1</x:v>
      </x:c>
      <x:c r="B7" s="17" t="str">
        <x:v>成熟度±0.5级；果径±3 mm；初始质量±2 g</x:v>
      </x:c>
      <x:c r="C7" s="17" t="str">
        <x:v>RB-003</x:v>
      </x:c>
      <x:c r="D7" s="17" t="str">
        <x:v>T01→T02</x:v>
      </x:c>
      <x:c r="E7" s="17" t="str">
        <x:v>S003-</x:v>
      </x:c>
      <x:c r="F7" s="17" t="str">
        <x:v>L003-</x:v>
      </x:c>
      <x:c r="G7" s="17" t="str">
        <x:v>A003-</x:v>
      </x:c>
      <x:c r="H7" s="17" t="str">
        <x:v>设备操作员</x:v>
      </x:c>
      <x:c r="I7" s="17" t="str">
        <x:v>质量负责人</x:v>
      </x:c>
      <x:c r="J7" s="17" t="str">
        <x:v>数据锁库后双签揭盲</x:v>
      </x:c>
    </x:row>
    <x:row r="8">
      <x:c r="A8" s="17" t="str">
        <x:v>B01-V01-S02-B2</x:v>
      </x:c>
      <x:c r="B8" s="17" t="str">
        <x:v>成熟度±0.5级；果径±3 mm；初始质量±2 g</x:v>
      </x:c>
      <x:c r="C8" s="17" t="str">
        <x:v>RB-004</x:v>
      </x:c>
      <x:c r="D8" s="17" t="str">
        <x:v>T02→T01</x:v>
      </x:c>
      <x:c r="E8" s="17" t="str">
        <x:v>S004-</x:v>
      </x:c>
      <x:c r="F8" s="17" t="str">
        <x:v>L004-</x:v>
      </x:c>
      <x:c r="G8" s="17" t="str">
        <x:v>A004-</x:v>
      </x:c>
      <x:c r="H8" s="17" t="str">
        <x:v>设备操作员</x:v>
      </x:c>
      <x:c r="I8" s="17" t="str">
        <x:v>质量负责人</x:v>
      </x:c>
      <x:c r="J8" s="17" t="str">
        <x:v>数据锁库后双签揭盲</x:v>
      </x:c>
    </x:row>
    <x:row r="9">
      <x:c r="A9" s="17" t="str">
        <x:v>B01-V02-S01-B1</x:v>
      </x:c>
      <x:c r="B9" s="17" t="str">
        <x:v>成熟度±0.5级；果径±3 mm；初始质量±2 g</x:v>
      </x:c>
      <x:c r="C9" s="17" t="str">
        <x:v>RB-005</x:v>
      </x:c>
      <x:c r="D9" s="17" t="str">
        <x:v>T01→T02</x:v>
      </x:c>
      <x:c r="E9" s="17" t="str">
        <x:v>S005-</x:v>
      </x:c>
      <x:c r="F9" s="17" t="str">
        <x:v>L005-</x:v>
      </x:c>
      <x:c r="G9" s="17" t="str">
        <x:v>A005-</x:v>
      </x:c>
      <x:c r="H9" s="17" t="str">
        <x:v>设备操作员</x:v>
      </x:c>
      <x:c r="I9" s="17" t="str">
        <x:v>质量负责人</x:v>
      </x:c>
      <x:c r="J9" s="17" t="str">
        <x:v>数据锁库后双签揭盲</x:v>
      </x:c>
    </x:row>
    <x:row r="10">
      <x:c r="A10" s="17" t="str">
        <x:v>B01-V02-S01-B2</x:v>
      </x:c>
      <x:c r="B10" s="17" t="str">
        <x:v>成熟度±0.5级；果径±3 mm；初始质量±2 g</x:v>
      </x:c>
      <x:c r="C10" s="17" t="str">
        <x:v>RB-006</x:v>
      </x:c>
      <x:c r="D10" s="17" t="str">
        <x:v>T02→T01</x:v>
      </x:c>
      <x:c r="E10" s="17" t="str">
        <x:v>S006-</x:v>
      </x:c>
      <x:c r="F10" s="17" t="str">
        <x:v>L006-</x:v>
      </x:c>
      <x:c r="G10" s="17" t="str">
        <x:v>A006-</x:v>
      </x:c>
      <x:c r="H10" s="17" t="str">
        <x:v>设备操作员</x:v>
      </x:c>
      <x:c r="I10" s="17" t="str">
        <x:v>质量负责人</x:v>
      </x:c>
      <x:c r="J10" s="17" t="str">
        <x:v>数据锁库后双签揭盲</x:v>
      </x:c>
    </x:row>
    <x:row r="11">
      <x:c r="A11" s="17" t="str">
        <x:v>B01-V02-S02-B1</x:v>
      </x:c>
      <x:c r="B11" s="17" t="str">
        <x:v>成熟度±0.5级；果径±3 mm；初始质量±2 g</x:v>
      </x:c>
      <x:c r="C11" s="17" t="str">
        <x:v>RB-007</x:v>
      </x:c>
      <x:c r="D11" s="17" t="str">
        <x:v>T01→T02</x:v>
      </x:c>
      <x:c r="E11" s="17" t="str">
        <x:v>S007-</x:v>
      </x:c>
      <x:c r="F11" s="17" t="str">
        <x:v>L007-</x:v>
      </x:c>
      <x:c r="G11" s="17" t="str">
        <x:v>A007-</x:v>
      </x:c>
      <x:c r="H11" s="17" t="str">
        <x:v>设备操作员</x:v>
      </x:c>
      <x:c r="I11" s="17" t="str">
        <x:v>质量负责人</x:v>
      </x:c>
      <x:c r="J11" s="17" t="str">
        <x:v>数据锁库后双签揭盲</x:v>
      </x:c>
    </x:row>
    <x:row r="12">
      <x:c r="A12" s="17" t="str">
        <x:v>B01-V02-S02-B2</x:v>
      </x:c>
      <x:c r="B12" s="17" t="str">
        <x:v>成熟度±0.5级；果径±3 mm；初始质量±2 g</x:v>
      </x:c>
      <x:c r="C12" s="17" t="str">
        <x:v>RB-008</x:v>
      </x:c>
      <x:c r="D12" s="17" t="str">
        <x:v>T02→T01</x:v>
      </x:c>
      <x:c r="E12" s="17" t="str">
        <x:v>S008-</x:v>
      </x:c>
      <x:c r="F12" s="17" t="str">
        <x:v>L008-</x:v>
      </x:c>
      <x:c r="G12" s="17" t="str">
        <x:v>A008-</x:v>
      </x:c>
      <x:c r="H12" s="17" t="str">
        <x:v>设备操作员</x:v>
      </x:c>
      <x:c r="I12" s="17" t="str">
        <x:v>质量负责人</x:v>
      </x:c>
      <x:c r="J12" s="17" t="str">
        <x:v>数据锁库后双签揭盲</x:v>
      </x:c>
    </x:row>
    <x:row r="13">
      <x:c r="A13" s="17" t="str">
        <x:v>B02-V01-S01-B1</x:v>
      </x:c>
      <x:c r="B13" s="17" t="str">
        <x:v>成熟度±0.5级；果径±3 mm；初始质量±2 g</x:v>
      </x:c>
      <x:c r="C13" s="17" t="str">
        <x:v>RB-009</x:v>
      </x:c>
      <x:c r="D13" s="17" t="str">
        <x:v>T01→T02</x:v>
      </x:c>
      <x:c r="E13" s="17" t="str">
        <x:v>S009-</x:v>
      </x:c>
      <x:c r="F13" s="17" t="str">
        <x:v>L009-</x:v>
      </x:c>
      <x:c r="G13" s="17" t="str">
        <x:v>A009-</x:v>
      </x:c>
      <x:c r="H13" s="17" t="str">
        <x:v>设备操作员</x:v>
      </x:c>
      <x:c r="I13" s="17" t="str">
        <x:v>质量负责人</x:v>
      </x:c>
      <x:c r="J13" s="17" t="str">
        <x:v>数据锁库后双签揭盲</x:v>
      </x:c>
    </x:row>
    <x:row r="14">
      <x:c r="A14" s="17" t="str">
        <x:v>B02-V01-S01-B2</x:v>
      </x:c>
      <x:c r="B14" s="17" t="str">
        <x:v>成熟度±0.5级；果径±3 mm；初始质量±2 g</x:v>
      </x:c>
      <x:c r="C14" s="17" t="str">
        <x:v>RB-010</x:v>
      </x:c>
      <x:c r="D14" s="17" t="str">
        <x:v>T02→T01</x:v>
      </x:c>
      <x:c r="E14" s="17" t="str">
        <x:v>S010-</x:v>
      </x:c>
      <x:c r="F14" s="17" t="str">
        <x:v>L010-</x:v>
      </x:c>
      <x:c r="G14" s="17" t="str">
        <x:v>A010-</x:v>
      </x:c>
      <x:c r="H14" s="17" t="str">
        <x:v>设备操作员</x:v>
      </x:c>
      <x:c r="I14" s="17" t="str">
        <x:v>质量负责人</x:v>
      </x:c>
      <x:c r="J14" s="17" t="str">
        <x:v>数据锁库后双签揭盲</x:v>
      </x:c>
    </x:row>
    <x:row r="15">
      <x:c r="A15" s="17" t="str">
        <x:v>B02-V01-S02-B1</x:v>
      </x:c>
      <x:c r="B15" s="17" t="str">
        <x:v>成熟度±0.5级；果径±3 mm；初始质量±2 g</x:v>
      </x:c>
      <x:c r="C15" s="17" t="str">
        <x:v>RB-011</x:v>
      </x:c>
      <x:c r="D15" s="17" t="str">
        <x:v>T01→T02</x:v>
      </x:c>
      <x:c r="E15" s="17" t="str">
        <x:v>S011-</x:v>
      </x:c>
      <x:c r="F15" s="17" t="str">
        <x:v>L011-</x:v>
      </x:c>
      <x:c r="G15" s="17" t="str">
        <x:v>A011-</x:v>
      </x:c>
      <x:c r="H15" s="17" t="str">
        <x:v>设备操作员</x:v>
      </x:c>
      <x:c r="I15" s="17" t="str">
        <x:v>质量负责人</x:v>
      </x:c>
      <x:c r="J15" s="17" t="str">
        <x:v>数据锁库后双签揭盲</x:v>
      </x:c>
    </x:row>
    <x:row r="16">
      <x:c r="A16" s="17" t="str">
        <x:v>B02-V01-S02-B2</x:v>
      </x:c>
      <x:c r="B16" s="17" t="str">
        <x:v>成熟度±0.5级；果径±3 mm；初始质量±2 g</x:v>
      </x:c>
      <x:c r="C16" s="17" t="str">
        <x:v>RB-012</x:v>
      </x:c>
      <x:c r="D16" s="17" t="str">
        <x:v>T02→T01</x:v>
      </x:c>
      <x:c r="E16" s="17" t="str">
        <x:v>S012-</x:v>
      </x:c>
      <x:c r="F16" s="17" t="str">
        <x:v>L012-</x:v>
      </x:c>
      <x:c r="G16" s="17" t="str">
        <x:v>A012-</x:v>
      </x:c>
      <x:c r="H16" s="17" t="str">
        <x:v>设备操作员</x:v>
      </x:c>
      <x:c r="I16" s="17" t="str">
        <x:v>质量负责人</x:v>
      </x:c>
      <x:c r="J16" s="17" t="str">
        <x:v>数据锁库后双签揭盲</x:v>
      </x:c>
    </x:row>
    <x:row r="17">
      <x:c r="A17" s="17" t="str">
        <x:v>B02-V02-S01-B1</x:v>
      </x:c>
      <x:c r="B17" s="17" t="str">
        <x:v>成熟度±0.5级；果径±3 mm；初始质量±2 g</x:v>
      </x:c>
      <x:c r="C17" s="17" t="str">
        <x:v>RB-013</x:v>
      </x:c>
      <x:c r="D17" s="17" t="str">
        <x:v>T01→T02</x:v>
      </x:c>
      <x:c r="E17" s="17" t="str">
        <x:v>S013-</x:v>
      </x:c>
      <x:c r="F17" s="17" t="str">
        <x:v>L013-</x:v>
      </x:c>
      <x:c r="G17" s="17" t="str">
        <x:v>A013-</x:v>
      </x:c>
      <x:c r="H17" s="17" t="str">
        <x:v>设备操作员</x:v>
      </x:c>
      <x:c r="I17" s="17" t="str">
        <x:v>质量负责人</x:v>
      </x:c>
      <x:c r="J17" s="17" t="str">
        <x:v>数据锁库后双签揭盲</x:v>
      </x:c>
    </x:row>
    <x:row r="18">
      <x:c r="A18" s="17" t="str">
        <x:v>B02-V02-S01-B2</x:v>
      </x:c>
      <x:c r="B18" s="17" t="str">
        <x:v>成熟度±0.5级；果径±3 mm；初始质量±2 g</x:v>
      </x:c>
      <x:c r="C18" s="17" t="str">
        <x:v>RB-014</x:v>
      </x:c>
      <x:c r="D18" s="17" t="str">
        <x:v>T02→T01</x:v>
      </x:c>
      <x:c r="E18" s="17" t="str">
        <x:v>S014-</x:v>
      </x:c>
      <x:c r="F18" s="17" t="str">
        <x:v>L014-</x:v>
      </x:c>
      <x:c r="G18" s="17" t="str">
        <x:v>A014-</x:v>
      </x:c>
      <x:c r="H18" s="17" t="str">
        <x:v>设备操作员</x:v>
      </x:c>
      <x:c r="I18" s="17" t="str">
        <x:v>质量负责人</x:v>
      </x:c>
      <x:c r="J18" s="17" t="str">
        <x:v>数据锁库后双签揭盲</x:v>
      </x:c>
    </x:row>
    <x:row r="19">
      <x:c r="A19" s="17" t="str">
        <x:v>B02-V02-S02-B1</x:v>
      </x:c>
      <x:c r="B19" s="17" t="str">
        <x:v>成熟度±0.5级；果径±3 mm；初始质量±2 g</x:v>
      </x:c>
      <x:c r="C19" s="17" t="str">
        <x:v>RB-015</x:v>
      </x:c>
      <x:c r="D19" s="17" t="str">
        <x:v>T01→T02</x:v>
      </x:c>
      <x:c r="E19" s="17" t="str">
        <x:v>S015-</x:v>
      </x:c>
      <x:c r="F19" s="17" t="str">
        <x:v>L015-</x:v>
      </x:c>
      <x:c r="G19" s="17" t="str">
        <x:v>A015-</x:v>
      </x:c>
      <x:c r="H19" s="17" t="str">
        <x:v>设备操作员</x:v>
      </x:c>
      <x:c r="I19" s="17" t="str">
        <x:v>质量负责人</x:v>
      </x:c>
      <x:c r="J19" s="17" t="str">
        <x:v>数据锁库后双签揭盲</x:v>
      </x:c>
    </x:row>
    <x:row r="20">
      <x:c r="A20" s="17" t="str">
        <x:v>B02-V02-S02-B2</x:v>
      </x:c>
      <x:c r="B20" s="17" t="str">
        <x:v>成熟度±0.5级；果径±3 mm；初始质量±2 g</x:v>
      </x:c>
      <x:c r="C20" s="17" t="str">
        <x:v>RB-016</x:v>
      </x:c>
      <x:c r="D20" s="17" t="str">
        <x:v>T02→T01</x:v>
      </x:c>
      <x:c r="E20" s="17" t="str">
        <x:v>S016-</x:v>
      </x:c>
      <x:c r="F20" s="17" t="str">
        <x:v>L016-</x:v>
      </x:c>
      <x:c r="G20" s="17" t="str">
        <x:v>A016-</x:v>
      </x:c>
      <x:c r="H20" s="17" t="str">
        <x:v>设备操作员</x:v>
      </x:c>
      <x:c r="I20" s="17" t="str">
        <x:v>质量负责人</x:v>
      </x:c>
      <x:c r="J20" s="17" t="str">
        <x:v>数据锁库后双签揭盲</x:v>
      </x:c>
    </x:row>
    <x:row r="21">
      <x:c r="A21" s="17" t="str">
        <x:v>B03-V01-S01-B1</x:v>
      </x:c>
      <x:c r="B21" s="17" t="str">
        <x:v>成熟度±0.5级；果径±3 mm；初始质量±2 g</x:v>
      </x:c>
      <x:c r="C21" s="17" t="str">
        <x:v>RB-017</x:v>
      </x:c>
      <x:c r="D21" s="17" t="str">
        <x:v>T01→T02</x:v>
      </x:c>
      <x:c r="E21" s="17" t="str">
        <x:v>S017-</x:v>
      </x:c>
      <x:c r="F21" s="17" t="str">
        <x:v>L017-</x:v>
      </x:c>
      <x:c r="G21" s="17" t="str">
        <x:v>A017-</x:v>
      </x:c>
      <x:c r="H21" s="17" t="str">
        <x:v>设备操作员</x:v>
      </x:c>
      <x:c r="I21" s="17" t="str">
        <x:v>质量负责人</x:v>
      </x:c>
      <x:c r="J21" s="17" t="str">
        <x:v>数据锁库后双签揭盲</x:v>
      </x:c>
    </x:row>
    <x:row r="22">
      <x:c r="A22" s="17" t="str">
        <x:v>B03-V01-S01-B2</x:v>
      </x:c>
      <x:c r="B22" s="17" t="str">
        <x:v>成熟度±0.5级；果径±3 mm；初始质量±2 g</x:v>
      </x:c>
      <x:c r="C22" s="17" t="str">
        <x:v>RB-018</x:v>
      </x:c>
      <x:c r="D22" s="17" t="str">
        <x:v>T02→T01</x:v>
      </x:c>
      <x:c r="E22" s="17" t="str">
        <x:v>S018-</x:v>
      </x:c>
      <x:c r="F22" s="17" t="str">
        <x:v>L018-</x:v>
      </x:c>
      <x:c r="G22" s="17" t="str">
        <x:v>A018-</x:v>
      </x:c>
      <x:c r="H22" s="17" t="str">
        <x:v>设备操作员</x:v>
      </x:c>
      <x:c r="I22" s="17" t="str">
        <x:v>质量负责人</x:v>
      </x:c>
      <x:c r="J22" s="17" t="str">
        <x:v>数据锁库后双签揭盲</x:v>
      </x:c>
    </x:row>
    <x:row r="23">
      <x:c r="A23" s="17" t="str">
        <x:v>B03-V01-S02-B1</x:v>
      </x:c>
      <x:c r="B23" s="17" t="str">
        <x:v>成熟度±0.5级；果径±3 mm；初始质量±2 g</x:v>
      </x:c>
      <x:c r="C23" s="17" t="str">
        <x:v>RB-019</x:v>
      </x:c>
      <x:c r="D23" s="17" t="str">
        <x:v>T01→T02</x:v>
      </x:c>
      <x:c r="E23" s="17" t="str">
        <x:v>S019-</x:v>
      </x:c>
      <x:c r="F23" s="17" t="str">
        <x:v>L019-</x:v>
      </x:c>
      <x:c r="G23" s="17" t="str">
        <x:v>A019-</x:v>
      </x:c>
      <x:c r="H23" s="17" t="str">
        <x:v>设备操作员</x:v>
      </x:c>
      <x:c r="I23" s="17" t="str">
        <x:v>质量负责人</x:v>
      </x:c>
      <x:c r="J23" s="17" t="str">
        <x:v>数据锁库后双签揭盲</x:v>
      </x:c>
    </x:row>
    <x:row r="24">
      <x:c r="A24" s="17" t="str">
        <x:v>B03-V01-S02-B2</x:v>
      </x:c>
      <x:c r="B24" s="17" t="str">
        <x:v>成熟度±0.5级；果径±3 mm；初始质量±2 g</x:v>
      </x:c>
      <x:c r="C24" s="17" t="str">
        <x:v>RB-020</x:v>
      </x:c>
      <x:c r="D24" s="17" t="str">
        <x:v>T02→T01</x:v>
      </x:c>
      <x:c r="E24" s="17" t="str">
        <x:v>S020-</x:v>
      </x:c>
      <x:c r="F24" s="17" t="str">
        <x:v>L020-</x:v>
      </x:c>
      <x:c r="G24" s="17" t="str">
        <x:v>A020-</x:v>
      </x:c>
      <x:c r="H24" s="17" t="str">
        <x:v>设备操作员</x:v>
      </x:c>
      <x:c r="I24" s="17" t="str">
        <x:v>质量负责人</x:v>
      </x:c>
      <x:c r="J24" s="17" t="str">
        <x:v>数据锁库后双签揭盲</x:v>
      </x:c>
    </x:row>
    <x:row r="25">
      <x:c r="A25" s="17" t="str">
        <x:v>B03-V02-S01-B1</x:v>
      </x:c>
      <x:c r="B25" s="17" t="str">
        <x:v>成熟度±0.5级；果径±3 mm；初始质量±2 g</x:v>
      </x:c>
      <x:c r="C25" s="17" t="str">
        <x:v>RB-021</x:v>
      </x:c>
      <x:c r="D25" s="17" t="str">
        <x:v>T01→T02</x:v>
      </x:c>
      <x:c r="E25" s="17" t="str">
        <x:v>S021-</x:v>
      </x:c>
      <x:c r="F25" s="17" t="str">
        <x:v>L021-</x:v>
      </x:c>
      <x:c r="G25" s="17" t="str">
        <x:v>A021-</x:v>
      </x:c>
      <x:c r="H25" s="17" t="str">
        <x:v>设备操作员</x:v>
      </x:c>
      <x:c r="I25" s="17" t="str">
        <x:v>质量负责人</x:v>
      </x:c>
      <x:c r="J25" s="17" t="str">
        <x:v>数据锁库后双签揭盲</x:v>
      </x:c>
    </x:row>
    <x:row r="26">
      <x:c r="A26" s="17" t="str">
        <x:v>B03-V02-S01-B2</x:v>
      </x:c>
      <x:c r="B26" s="17" t="str">
        <x:v>成熟度±0.5级；果径±3 mm；初始质量±2 g</x:v>
      </x:c>
      <x:c r="C26" s="17" t="str">
        <x:v>RB-022</x:v>
      </x:c>
      <x:c r="D26" s="17" t="str">
        <x:v>T02→T01</x:v>
      </x:c>
      <x:c r="E26" s="17" t="str">
        <x:v>S022-</x:v>
      </x:c>
      <x:c r="F26" s="17" t="str">
        <x:v>L022-</x:v>
      </x:c>
      <x:c r="G26" s="17" t="str">
        <x:v>A022-</x:v>
      </x:c>
      <x:c r="H26" s="17" t="str">
        <x:v>设备操作员</x:v>
      </x:c>
      <x:c r="I26" s="17" t="str">
        <x:v>质量负责人</x:v>
      </x:c>
      <x:c r="J26" s="17" t="str">
        <x:v>数据锁库后双签揭盲</x:v>
      </x:c>
    </x:row>
    <x:row r="27">
      <x:c r="A27" s="17" t="str">
        <x:v>B03-V02-S02-B1</x:v>
      </x:c>
      <x:c r="B27" s="17" t="str">
        <x:v>成熟度±0.5级；果径±3 mm；初始质量±2 g</x:v>
      </x:c>
      <x:c r="C27" s="17" t="str">
        <x:v>RB-023</x:v>
      </x:c>
      <x:c r="D27" s="17" t="str">
        <x:v>T01→T02</x:v>
      </x:c>
      <x:c r="E27" s="17" t="str">
        <x:v>S023-</x:v>
      </x:c>
      <x:c r="F27" s="17" t="str">
        <x:v>L023-</x:v>
      </x:c>
      <x:c r="G27" s="17" t="str">
        <x:v>A023-</x:v>
      </x:c>
      <x:c r="H27" s="17" t="str">
        <x:v>设备操作员</x:v>
      </x:c>
      <x:c r="I27" s="17" t="str">
        <x:v>质量负责人</x:v>
      </x:c>
      <x:c r="J27" s="17" t="str">
        <x:v>数据锁库后双签揭盲</x:v>
      </x:c>
    </x:row>
    <x:row r="28">
      <x:c r="A28" s="17" t="str">
        <x:v>B03-V02-S02-B2</x:v>
      </x:c>
      <x:c r="B28" s="17" t="str">
        <x:v>成熟度±0.5级；果径±3 mm；初始质量±2 g</x:v>
      </x:c>
      <x:c r="C28" s="17" t="str">
        <x:v>RB-024</x:v>
      </x:c>
      <x:c r="D28" s="17" t="str">
        <x:v>T02→T01</x:v>
      </x:c>
      <x:c r="E28" s="17" t="str">
        <x:v>S024-</x:v>
      </x:c>
      <x:c r="F28" s="17" t="str">
        <x:v>L024-</x:v>
      </x:c>
      <x:c r="G28" s="17" t="str">
        <x:v>A024-</x:v>
      </x:c>
      <x:c r="H28" s="17" t="str">
        <x:v>设备操作员</x:v>
      </x:c>
      <x:c r="I28" s="17" t="str">
        <x:v>质量负责人</x:v>
      </x:c>
      <x:c r="J28" s="17" t="str">
        <x:v>数据锁库后双签揭盲</x:v>
      </x:c>
    </x:row>
    <x:row r="29">
      <x:c r="A29" s="17" t="str">
        <x:v>B04-V01-S01-B1</x:v>
      </x:c>
      <x:c r="B29" s="17" t="str">
        <x:v>成熟度±0.5级；果径±3 mm；初始质量±2 g</x:v>
      </x:c>
      <x:c r="C29" s="17" t="str">
        <x:v>RB-025</x:v>
      </x:c>
      <x:c r="D29" s="17" t="str">
        <x:v>T01→T02</x:v>
      </x:c>
      <x:c r="E29" s="17" t="str">
        <x:v>S025-</x:v>
      </x:c>
      <x:c r="F29" s="17" t="str">
        <x:v>L025-</x:v>
      </x:c>
      <x:c r="G29" s="17" t="str">
        <x:v>A025-</x:v>
      </x:c>
      <x:c r="H29" s="17" t="str">
        <x:v>设备操作员</x:v>
      </x:c>
      <x:c r="I29" s="17" t="str">
        <x:v>质量负责人</x:v>
      </x:c>
      <x:c r="J29" s="17" t="str">
        <x:v>数据锁库后双签揭盲</x:v>
      </x:c>
    </x:row>
    <x:row r="30">
      <x:c r="A30" s="17" t="str">
        <x:v>B04-V01-S01-B2</x:v>
      </x:c>
      <x:c r="B30" s="17" t="str">
        <x:v>成熟度±0.5级；果径±3 mm；初始质量±2 g</x:v>
      </x:c>
      <x:c r="C30" s="17" t="str">
        <x:v>RB-026</x:v>
      </x:c>
      <x:c r="D30" s="17" t="str">
        <x:v>T02→T01</x:v>
      </x:c>
      <x:c r="E30" s="17" t="str">
        <x:v>S026-</x:v>
      </x:c>
      <x:c r="F30" s="17" t="str">
        <x:v>L026-</x:v>
      </x:c>
      <x:c r="G30" s="17" t="str">
        <x:v>A026-</x:v>
      </x:c>
      <x:c r="H30" s="17" t="str">
        <x:v>设备操作员</x:v>
      </x:c>
      <x:c r="I30" s="17" t="str">
        <x:v>质量负责人</x:v>
      </x:c>
      <x:c r="J30" s="17" t="str">
        <x:v>数据锁库后双签揭盲</x:v>
      </x:c>
    </x:row>
    <x:row r="31">
      <x:c r="A31" s="17" t="str">
        <x:v>B04-V01-S02-B1</x:v>
      </x:c>
      <x:c r="B31" s="17" t="str">
        <x:v>成熟度±0.5级；果径±3 mm；初始质量±2 g</x:v>
      </x:c>
      <x:c r="C31" s="17" t="str">
        <x:v>RB-027</x:v>
      </x:c>
      <x:c r="D31" s="17" t="str">
        <x:v>T01→T02</x:v>
      </x:c>
      <x:c r="E31" s="17" t="str">
        <x:v>S027-</x:v>
      </x:c>
      <x:c r="F31" s="17" t="str">
        <x:v>L027-</x:v>
      </x:c>
      <x:c r="G31" s="17" t="str">
        <x:v>A027-</x:v>
      </x:c>
      <x:c r="H31" s="17" t="str">
        <x:v>设备操作员</x:v>
      </x:c>
      <x:c r="I31" s="17" t="str">
        <x:v>质量负责人</x:v>
      </x:c>
      <x:c r="J31" s="17" t="str">
        <x:v>数据锁库后双签揭盲</x:v>
      </x:c>
    </x:row>
    <x:row r="32">
      <x:c r="A32" s="17" t="str">
        <x:v>B04-V01-S02-B2</x:v>
      </x:c>
      <x:c r="B32" s="17" t="str">
        <x:v>成熟度±0.5级；果径±3 mm；初始质量±2 g</x:v>
      </x:c>
      <x:c r="C32" s="17" t="str">
        <x:v>RB-028</x:v>
      </x:c>
      <x:c r="D32" s="17" t="str">
        <x:v>T02→T01</x:v>
      </x:c>
      <x:c r="E32" s="17" t="str">
        <x:v>S028-</x:v>
      </x:c>
      <x:c r="F32" s="17" t="str">
        <x:v>L028-</x:v>
      </x:c>
      <x:c r="G32" s="17" t="str">
        <x:v>A028-</x:v>
      </x:c>
      <x:c r="H32" s="17" t="str">
        <x:v>设备操作员</x:v>
      </x:c>
      <x:c r="I32" s="17" t="str">
        <x:v>质量负责人</x:v>
      </x:c>
      <x:c r="J32" s="17" t="str">
        <x:v>数据锁库后双签揭盲</x:v>
      </x:c>
    </x:row>
    <x:row r="33">
      <x:c r="A33" s="17" t="str">
        <x:v>B04-V02-S01-B1</x:v>
      </x:c>
      <x:c r="B33" s="17" t="str">
        <x:v>成熟度±0.5级；果径±3 mm；初始质量±2 g</x:v>
      </x:c>
      <x:c r="C33" s="17" t="str">
        <x:v>RB-029</x:v>
      </x:c>
      <x:c r="D33" s="17" t="str">
        <x:v>T01→T02</x:v>
      </x:c>
      <x:c r="E33" s="17" t="str">
        <x:v>S029-</x:v>
      </x:c>
      <x:c r="F33" s="17" t="str">
        <x:v>L029-</x:v>
      </x:c>
      <x:c r="G33" s="17" t="str">
        <x:v>A029-</x:v>
      </x:c>
      <x:c r="H33" s="17" t="str">
        <x:v>设备操作员</x:v>
      </x:c>
      <x:c r="I33" s="17" t="str">
        <x:v>质量负责人</x:v>
      </x:c>
      <x:c r="J33" s="17" t="str">
        <x:v>数据锁库后双签揭盲</x:v>
      </x:c>
    </x:row>
    <x:row r="34">
      <x:c r="A34" s="17" t="str">
        <x:v>B04-V02-S01-B2</x:v>
      </x:c>
      <x:c r="B34" s="17" t="str">
        <x:v>成熟度±0.5级；果径±3 mm；初始质量±2 g</x:v>
      </x:c>
      <x:c r="C34" s="17" t="str">
        <x:v>RB-030</x:v>
      </x:c>
      <x:c r="D34" s="17" t="str">
        <x:v>T02→T01</x:v>
      </x:c>
      <x:c r="E34" s="17" t="str">
        <x:v>S030-</x:v>
      </x:c>
      <x:c r="F34" s="17" t="str">
        <x:v>L030-</x:v>
      </x:c>
      <x:c r="G34" s="17" t="str">
        <x:v>A030-</x:v>
      </x:c>
      <x:c r="H34" s="17" t="str">
        <x:v>设备操作员</x:v>
      </x:c>
      <x:c r="I34" s="17" t="str">
        <x:v>质量负责人</x:v>
      </x:c>
      <x:c r="J34" s="17" t="str">
        <x:v>数据锁库后双签揭盲</x:v>
      </x:c>
    </x:row>
    <x:row r="35">
      <x:c r="A35" s="17" t="str">
        <x:v>B04-V02-S02-B1</x:v>
      </x:c>
      <x:c r="B35" s="17" t="str">
        <x:v>成熟度±0.5级；果径±3 mm；初始质量±2 g</x:v>
      </x:c>
      <x:c r="C35" s="17" t="str">
        <x:v>RB-031</x:v>
      </x:c>
      <x:c r="D35" s="17" t="str">
        <x:v>T01→T02</x:v>
      </x:c>
      <x:c r="E35" s="17" t="str">
        <x:v>S031-</x:v>
      </x:c>
      <x:c r="F35" s="17" t="str">
        <x:v>L031-</x:v>
      </x:c>
      <x:c r="G35" s="17" t="str">
        <x:v>A031-</x:v>
      </x:c>
      <x:c r="H35" s="17" t="str">
        <x:v>设备操作员</x:v>
      </x:c>
      <x:c r="I35" s="17" t="str">
        <x:v>质量负责人</x:v>
      </x:c>
      <x:c r="J35" s="17" t="str">
        <x:v>数据锁库后双签揭盲</x:v>
      </x:c>
    </x:row>
    <x:row r="36">
      <x:c r="A36" s="17" t="str">
        <x:v>B04-V02-S02-B2</x:v>
      </x:c>
      <x:c r="B36" s="17" t="str">
        <x:v>成熟度±0.5级；果径±3 mm；初始质量±2 g</x:v>
      </x:c>
      <x:c r="C36" s="17" t="str">
        <x:v>RB-032</x:v>
      </x:c>
      <x:c r="D36" s="17" t="str">
        <x:v>T02→T01</x:v>
      </x:c>
      <x:c r="E36" s="17" t="str">
        <x:v>S032-</x:v>
      </x:c>
      <x:c r="F36" s="17" t="str">
        <x:v>L032-</x:v>
      </x:c>
      <x:c r="G36" s="17" t="str">
        <x:v>A032-</x:v>
      </x:c>
      <x:c r="H36" s="17" t="str">
        <x:v>设备操作员</x:v>
      </x:c>
      <x:c r="I36" s="17" t="str">
        <x:v>质量负责人</x:v>
      </x:c>
      <x:c r="J36" s="17" t="str">
        <x:v>数据锁库后双签揭盲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14" hidden="0" customWidth="1"/>
    <x:col min="5" max="5" width="10" hidden="0" customWidth="1"/>
    <x:col min="6" max="6" width="12" hidden="0" customWidth="1"/>
    <x:col min="7" max="7" width="10" hidden="0" customWidth="1"/>
    <x:col min="8" max="8" width="18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6" hidden="0" customWidth="1"/>
    <x:col min="14" max="14" width="16" hidden="0" customWidth="1"/>
  </x:cols>
  <x:sheetData>
    <x:row r="1" ht="30" customHeight="1">
      <x:c r="A1" s="3" t="str">
        <x:v>设备主数据与版本锁定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四基地使用同型号、同软件和同线圈配置，完成均匀性、温升、兼容、能耗和校准确认后启用。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13" t="str">
        <x:v>设备ID</x:v>
      </x:c>
      <x:c r="B4" s="13" t="str">
        <x:v>基地ID</x:v>
      </x:c>
      <x:c r="C4" s="13" t="str">
        <x:v>基地</x:v>
      </x:c>
      <x:c r="D4" s="13" t="str">
        <x:v>型号</x:v>
      </x:c>
      <x:c r="E4" s="13" t="str">
        <x:v>版本</x:v>
      </x:c>
      <x:c r="F4" s="13" t="str">
        <x:v>设定值</x:v>
      </x:c>
      <x:c r="G4" s="13" t="str">
        <x:v>单位</x:v>
      </x:c>
      <x:c r="H4" s="13" t="str">
        <x:v>强度范围</x:v>
      </x:c>
      <x:c r="I4" s="13" t="str">
        <x:v>均匀性</x:v>
      </x:c>
      <x:c r="J4" s="13" t="str">
        <x:v>温度扰动</x:v>
      </x:c>
      <x:c r="K4" s="13" t="str">
        <x:v>电磁兼容</x:v>
      </x:c>
      <x:c r="L4" s="13" t="str">
        <x:v>校准周期</x:v>
      </x:c>
      <x:c r="M4" s="13" t="str">
        <x:v>能耗记录</x:v>
      </x:c>
      <x:c r="N4" s="13" t="str">
        <x:v>状态</x:v>
      </x:c>
    </x:row>
    <x:row r="5">
      <x:c r="A5" s="17" t="str">
        <x:v>DEV-01</x:v>
      </x:c>
      <x:c r="B5" s="17" t="str">
        <x:v>B01</x:v>
      </x:c>
      <x:c r="C5" s="17" t="str">
        <x:v>粤西基地</x:v>
      </x:c>
      <x:c r="D5" s="17" t="str">
        <x:v>MFG-5C</x:v>
      </x:c>
      <x:c r="E5" s="17" t="str">
        <x:v>V1.0</x:v>
      </x:c>
      <x:c r="F5" s="17" t="n">
        <x:v>5</x:v>
      </x:c>
      <x:c r="G5" s="17" t="str">
        <x:v>mT</x:v>
      </x:c>
      <x:c r="H5" s="17" t="str">
        <x:v>4.75-5.25 mT</x:v>
      </x:c>
      <x:c r="I5" s="17" t="str">
        <x:v>空间CV≤5%</x:v>
      </x:c>
      <x:c r="J5" s="17" t="str">
        <x:v>温升≤0.3℃</x:v>
      </x:c>
      <x:c r="K5" s="17" t="str">
        <x:v>EMC报告</x:v>
      </x:c>
      <x:c r="L5" s="17" t="str">
        <x:v>半年</x:v>
      </x:c>
      <x:c r="M5" s="17" t="str">
        <x:v>独立电表</x:v>
      </x:c>
      <x:c r="N5" s="17" t="str">
        <x:v>首批前确认</x:v>
      </x:c>
    </x:row>
    <x:row r="6">
      <x:c r="A6" s="17" t="str">
        <x:v>DEV-02</x:v>
      </x:c>
      <x:c r="B6" s="17" t="str">
        <x:v>B02</x:v>
      </x:c>
      <x:c r="C6" s="17" t="str">
        <x:v>桂中基地</x:v>
      </x:c>
      <x:c r="D6" s="17" t="str">
        <x:v>MFG-5C</x:v>
      </x:c>
      <x:c r="E6" s="17" t="str">
        <x:v>V1.0</x:v>
      </x:c>
      <x:c r="F6" s="17" t="n">
        <x:v>5</x:v>
      </x:c>
      <x:c r="G6" s="17" t="str">
        <x:v>mT</x:v>
      </x:c>
      <x:c r="H6" s="17" t="str">
        <x:v>4.75-5.25 mT</x:v>
      </x:c>
      <x:c r="I6" s="17" t="str">
        <x:v>空间CV≤5%</x:v>
      </x:c>
      <x:c r="J6" s="17" t="str">
        <x:v>温升≤0.3℃</x:v>
      </x:c>
      <x:c r="K6" s="17" t="str">
        <x:v>EMC报告</x:v>
      </x:c>
      <x:c r="L6" s="17" t="str">
        <x:v>半年</x:v>
      </x:c>
      <x:c r="M6" s="17" t="str">
        <x:v>独立电表</x:v>
      </x:c>
      <x:c r="N6" s="17" t="str">
        <x:v>首批前确认</x:v>
      </x:c>
    </x:row>
    <x:row r="7">
      <x:c r="A7" s="17" t="str">
        <x:v>DEV-03</x:v>
      </x:c>
      <x:c r="B7" s="17" t="str">
        <x:v>B03</x:v>
      </x:c>
      <x:c r="C7" s="17" t="str">
        <x:v>滇中基地</x:v>
      </x:c>
      <x:c r="D7" s="17" t="str">
        <x:v>MFG-5C</x:v>
      </x:c>
      <x:c r="E7" s="17" t="str">
        <x:v>V1.0</x:v>
      </x:c>
      <x:c r="F7" s="17" t="n">
        <x:v>5</x:v>
      </x:c>
      <x:c r="G7" s="17" t="str">
        <x:v>mT</x:v>
      </x:c>
      <x:c r="H7" s="17" t="str">
        <x:v>4.75-5.25 mT</x:v>
      </x:c>
      <x:c r="I7" s="17" t="str">
        <x:v>空间CV≤5%</x:v>
      </x:c>
      <x:c r="J7" s="17" t="str">
        <x:v>温升≤0.3℃</x:v>
      </x:c>
      <x:c r="K7" s="17" t="str">
        <x:v>EMC报告</x:v>
      </x:c>
      <x:c r="L7" s="17" t="str">
        <x:v>半年</x:v>
      </x:c>
      <x:c r="M7" s="17" t="str">
        <x:v>独立电表</x:v>
      </x:c>
      <x:c r="N7" s="17" t="str">
        <x:v>首批前确认</x:v>
      </x:c>
    </x:row>
    <x:row r="8">
      <x:c r="A8" s="17" t="str">
        <x:v>DEV-04</x:v>
      </x:c>
      <x:c r="B8" s="17" t="str">
        <x:v>B04</x:v>
      </x:c>
      <x:c r="C8" s="17" t="str">
        <x:v>川西基地</x:v>
      </x:c>
      <x:c r="D8" s="17" t="str">
        <x:v>MFG-5C</x:v>
      </x:c>
      <x:c r="E8" s="17" t="str">
        <x:v>V1.0</x:v>
      </x:c>
      <x:c r="F8" s="17" t="n">
        <x:v>5</x:v>
      </x:c>
      <x:c r="G8" s="17" t="str">
        <x:v>mT</x:v>
      </x:c>
      <x:c r="H8" s="17" t="str">
        <x:v>4.75-5.25 mT</x:v>
      </x:c>
      <x:c r="I8" s="17" t="str">
        <x:v>空间CV≤5%</x:v>
      </x:c>
      <x:c r="J8" s="17" t="str">
        <x:v>温升≤0.3℃</x:v>
      </x:c>
      <x:c r="K8" s="17" t="str">
        <x:v>EMC报告</x:v>
      </x:c>
      <x:c r="L8" s="17" t="str">
        <x:v>半年</x:v>
      </x:c>
      <x:c r="M8" s="17" t="str">
        <x:v>独立电表</x:v>
      </x:c>
      <x:c r="N8" s="17" t="str">
        <x:v>首批前确认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6" hidden="0" customWidth="1"/>
  </x:cols>
  <x:sheetData>
    <x:row r="1" ht="30" customHeight="1">
      <x:c r="A1" s="3" t="str">
        <x:v>三维测场与温升确认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每台设备按3×3×3网格记录磁场强度和温度扰动，共108个测点。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13" t="str">
        <x:v>设备ID</x:v>
      </x:c>
      <x:c r="B4" s="13" t="str">
        <x:v>基地ID</x:v>
      </x:c>
      <x:c r="C4" s="13" t="str">
        <x:v>测点</x:v>
      </x:c>
      <x:c r="D4" s="13" t="str">
        <x:v>X层</x:v>
      </x:c>
      <x:c r="E4" s="13" t="str">
        <x:v>Y层</x:v>
      </x:c>
      <x:c r="F4" s="13" t="str">
        <x:v>Z层</x:v>
      </x:c>
      <x:c r="G4" s="13" t="str">
        <x:v>目标mT</x:v>
      </x:c>
      <x:c r="H4" s="13" t="str">
        <x:v>下限mT</x:v>
      </x:c>
      <x:c r="I4" s="13" t="str">
        <x:v>上限mT</x:v>
      </x:c>
      <x:c r="J4" s="13" t="str">
        <x:v>实测mT</x:v>
      </x:c>
      <x:c r="K4" s="13" t="str">
        <x:v>温升℃</x:v>
      </x:c>
      <x:c r="L4" s="13" t="str">
        <x:v>仪器</x:v>
      </x:c>
      <x:c r="M4" s="13" t="str">
        <x:v>状态</x:v>
      </x:c>
    </x:row>
    <x:row r="5">
      <x:c r="A5" s="17" t="str">
        <x:v>DEV-01</x:v>
      </x:c>
      <x:c r="B5" s="17" t="str">
        <x:v>B01</x:v>
      </x:c>
      <x:c r="C5" s="17" t="str">
        <x:v>X1Y1Z1</x:v>
      </x:c>
      <x:c r="D5" s="17" t="n">
        <x:v>-1</x:v>
      </x:c>
      <x:c r="E5" s="17" t="n">
        <x:v>-1</x:v>
      </x:c>
      <x:c r="F5" s="17" t="n">
        <x:v>-1</x:v>
      </x:c>
      <x:c r="G5" s="17" t="n">
        <x:v>5</x:v>
      </x:c>
      <x:c r="H5" s="17" t="n">
        <x:v>4.75</x:v>
      </x:c>
      <x:c r="I5" s="17" t="n">
        <x:v>5.25</x:v>
      </x:c>
      <x:c r="J5" s="17"/>
      <x:c r="K5" s="17"/>
      <x:c r="L5" s="17" t="str">
        <x:v>高斯计</x:v>
      </x:c>
      <x:c r="M5" s="17" t="str">
        <x:v>首批前确认</x:v>
      </x:c>
    </x:row>
    <x:row r="6">
      <x:c r="A6" s="17" t="str">
        <x:v>DEV-01</x:v>
      </x:c>
      <x:c r="B6" s="17" t="str">
        <x:v>B01</x:v>
      </x:c>
      <x:c r="C6" s="17" t="str">
        <x:v>X1Y1Z2</x:v>
      </x:c>
      <x:c r="D6" s="17" t="n">
        <x:v>-1</x:v>
      </x:c>
      <x:c r="E6" s="17" t="n">
        <x:v>-1</x:v>
      </x:c>
      <x:c r="F6" s="17" t="n">
        <x:v>0</x:v>
      </x:c>
      <x:c r="G6" s="17" t="n">
        <x:v>5</x:v>
      </x:c>
      <x:c r="H6" s="17" t="n">
        <x:v>4.75</x:v>
      </x:c>
      <x:c r="I6" s="17" t="n">
        <x:v>5.25</x:v>
      </x:c>
      <x:c r="J6" s="17"/>
      <x:c r="K6" s="17"/>
      <x:c r="L6" s="17" t="str">
        <x:v>高斯计</x:v>
      </x:c>
      <x:c r="M6" s="17" t="str">
        <x:v>首批前确认</x:v>
      </x:c>
    </x:row>
    <x:row r="7">
      <x:c r="A7" s="17" t="str">
        <x:v>DEV-01</x:v>
      </x:c>
      <x:c r="B7" s="17" t="str">
        <x:v>B01</x:v>
      </x:c>
      <x:c r="C7" s="17" t="str">
        <x:v>X1Y1Z3</x:v>
      </x:c>
      <x:c r="D7" s="17" t="n">
        <x:v>-1</x:v>
      </x:c>
      <x:c r="E7" s="17" t="n">
        <x:v>-1</x:v>
      </x:c>
      <x:c r="F7" s="17" t="n">
        <x:v>1</x:v>
      </x:c>
      <x:c r="G7" s="17" t="n">
        <x:v>5</x:v>
      </x:c>
      <x:c r="H7" s="17" t="n">
        <x:v>4.75</x:v>
      </x:c>
      <x:c r="I7" s="17" t="n">
        <x:v>5.25</x:v>
      </x:c>
      <x:c r="J7" s="17"/>
      <x:c r="K7" s="17"/>
      <x:c r="L7" s="17" t="str">
        <x:v>高斯计</x:v>
      </x:c>
      <x:c r="M7" s="17" t="str">
        <x:v>首批前确认</x:v>
      </x:c>
    </x:row>
    <x:row r="8">
      <x:c r="A8" s="17" t="str">
        <x:v>DEV-01</x:v>
      </x:c>
      <x:c r="B8" s="17" t="str">
        <x:v>B01</x:v>
      </x:c>
      <x:c r="C8" s="17" t="str">
        <x:v>X1Y2Z1</x:v>
      </x:c>
      <x:c r="D8" s="17" t="n">
        <x:v>-1</x:v>
      </x:c>
      <x:c r="E8" s="17" t="n">
        <x:v>0</x:v>
      </x:c>
      <x:c r="F8" s="17" t="n">
        <x:v>-1</x:v>
      </x:c>
      <x:c r="G8" s="17" t="n">
        <x:v>5</x:v>
      </x:c>
      <x:c r="H8" s="17" t="n">
        <x:v>4.75</x:v>
      </x:c>
      <x:c r="I8" s="17" t="n">
        <x:v>5.25</x:v>
      </x:c>
      <x:c r="J8" s="17"/>
      <x:c r="K8" s="17"/>
      <x:c r="L8" s="17" t="str">
        <x:v>高斯计</x:v>
      </x:c>
      <x:c r="M8" s="17" t="str">
        <x:v>首批前确认</x:v>
      </x:c>
    </x:row>
    <x:row r="9">
      <x:c r="A9" s="17" t="str">
        <x:v>DEV-01</x:v>
      </x:c>
      <x:c r="B9" s="17" t="str">
        <x:v>B01</x:v>
      </x:c>
      <x:c r="C9" s="17" t="str">
        <x:v>X1Y2Z2</x:v>
      </x:c>
      <x:c r="D9" s="17" t="n">
        <x:v>-1</x:v>
      </x:c>
      <x:c r="E9" s="17" t="n">
        <x:v>0</x:v>
      </x:c>
      <x:c r="F9" s="17" t="n">
        <x:v>0</x:v>
      </x:c>
      <x:c r="G9" s="17" t="n">
        <x:v>5</x:v>
      </x:c>
      <x:c r="H9" s="17" t="n">
        <x:v>4.75</x:v>
      </x:c>
      <x:c r="I9" s="17" t="n">
        <x:v>5.25</x:v>
      </x:c>
      <x:c r="J9" s="17"/>
      <x:c r="K9" s="17"/>
      <x:c r="L9" s="17" t="str">
        <x:v>高斯计</x:v>
      </x:c>
      <x:c r="M9" s="17" t="str">
        <x:v>首批前确认</x:v>
      </x:c>
    </x:row>
    <x:row r="10">
      <x:c r="A10" s="17" t="str">
        <x:v>DEV-01</x:v>
      </x:c>
      <x:c r="B10" s="17" t="str">
        <x:v>B01</x:v>
      </x:c>
      <x:c r="C10" s="17" t="str">
        <x:v>X1Y2Z3</x:v>
      </x:c>
      <x:c r="D10" s="17" t="n">
        <x:v>-1</x:v>
      </x:c>
      <x:c r="E10" s="17" t="n">
        <x:v>0</x:v>
      </x:c>
      <x:c r="F10" s="17" t="n">
        <x:v>1</x:v>
      </x:c>
      <x:c r="G10" s="17" t="n">
        <x:v>5</x:v>
      </x:c>
      <x:c r="H10" s="17" t="n">
        <x:v>4.75</x:v>
      </x:c>
      <x:c r="I10" s="17" t="n">
        <x:v>5.25</x:v>
      </x:c>
      <x:c r="J10" s="17"/>
      <x:c r="K10" s="17"/>
      <x:c r="L10" s="17" t="str">
        <x:v>高斯计</x:v>
      </x:c>
      <x:c r="M10" s="17" t="str">
        <x:v>首批前确认</x:v>
      </x:c>
    </x:row>
    <x:row r="11">
      <x:c r="A11" s="17" t="str">
        <x:v>DEV-01</x:v>
      </x:c>
      <x:c r="B11" s="17" t="str">
        <x:v>B01</x:v>
      </x:c>
      <x:c r="C11" s="17" t="str">
        <x:v>X1Y3Z1</x:v>
      </x:c>
      <x:c r="D11" s="17" t="n">
        <x:v>-1</x:v>
      </x:c>
      <x:c r="E11" s="17" t="n">
        <x:v>1</x:v>
      </x:c>
      <x:c r="F11" s="17" t="n">
        <x:v>-1</x:v>
      </x:c>
      <x:c r="G11" s="17" t="n">
        <x:v>5</x:v>
      </x:c>
      <x:c r="H11" s="17" t="n">
        <x:v>4.75</x:v>
      </x:c>
      <x:c r="I11" s="17" t="n">
        <x:v>5.25</x:v>
      </x:c>
      <x:c r="J11" s="17"/>
      <x:c r="K11" s="17"/>
      <x:c r="L11" s="17" t="str">
        <x:v>高斯计</x:v>
      </x:c>
      <x:c r="M11" s="17" t="str">
        <x:v>首批前确认</x:v>
      </x:c>
    </x:row>
    <x:row r="12">
      <x:c r="A12" s="17" t="str">
        <x:v>DEV-01</x:v>
      </x:c>
      <x:c r="B12" s="17" t="str">
        <x:v>B01</x:v>
      </x:c>
      <x:c r="C12" s="17" t="str">
        <x:v>X1Y3Z2</x:v>
      </x:c>
      <x:c r="D12" s="17" t="n">
        <x:v>-1</x:v>
      </x:c>
      <x:c r="E12" s="17" t="n">
        <x:v>1</x:v>
      </x:c>
      <x:c r="F12" s="17" t="n">
        <x:v>0</x:v>
      </x:c>
      <x:c r="G12" s="17" t="n">
        <x:v>5</x:v>
      </x:c>
      <x:c r="H12" s="17" t="n">
        <x:v>4.75</x:v>
      </x:c>
      <x:c r="I12" s="17" t="n">
        <x:v>5.25</x:v>
      </x:c>
      <x:c r="J12" s="17"/>
      <x:c r="K12" s="17"/>
      <x:c r="L12" s="17" t="str">
        <x:v>高斯计</x:v>
      </x:c>
      <x:c r="M12" s="17" t="str">
        <x:v>首批前确认</x:v>
      </x:c>
    </x:row>
    <x:row r="13">
      <x:c r="A13" s="17" t="str">
        <x:v>DEV-01</x:v>
      </x:c>
      <x:c r="B13" s="17" t="str">
        <x:v>B01</x:v>
      </x:c>
      <x:c r="C13" s="17" t="str">
        <x:v>X1Y3Z3</x:v>
      </x:c>
      <x:c r="D13" s="17" t="n">
        <x:v>-1</x:v>
      </x:c>
      <x:c r="E13" s="17" t="n">
        <x:v>1</x:v>
      </x:c>
      <x:c r="F13" s="17" t="n">
        <x:v>1</x:v>
      </x:c>
      <x:c r="G13" s="17" t="n">
        <x:v>5</x:v>
      </x:c>
      <x:c r="H13" s="17" t="n">
        <x:v>4.75</x:v>
      </x:c>
      <x:c r="I13" s="17" t="n">
        <x:v>5.25</x:v>
      </x:c>
      <x:c r="J13" s="17"/>
      <x:c r="K13" s="17"/>
      <x:c r="L13" s="17" t="str">
        <x:v>高斯计</x:v>
      </x:c>
      <x:c r="M13" s="17" t="str">
        <x:v>首批前确认</x:v>
      </x:c>
    </x:row>
    <x:row r="14">
      <x:c r="A14" s="17" t="str">
        <x:v>DEV-01</x:v>
      </x:c>
      <x:c r="B14" s="17" t="str">
        <x:v>B01</x:v>
      </x:c>
      <x:c r="C14" s="17" t="str">
        <x:v>X2Y1Z1</x:v>
      </x:c>
      <x:c r="D14" s="17" t="n">
        <x:v>0</x:v>
      </x:c>
      <x:c r="E14" s="17" t="n">
        <x:v>-1</x:v>
      </x:c>
      <x:c r="F14" s="17" t="n">
        <x:v>-1</x:v>
      </x:c>
      <x:c r="G14" s="17" t="n">
        <x:v>5</x:v>
      </x:c>
      <x:c r="H14" s="17" t="n">
        <x:v>4.75</x:v>
      </x:c>
      <x:c r="I14" s="17" t="n">
        <x:v>5.25</x:v>
      </x:c>
      <x:c r="J14" s="17"/>
      <x:c r="K14" s="17"/>
      <x:c r="L14" s="17" t="str">
        <x:v>高斯计</x:v>
      </x:c>
      <x:c r="M14" s="17" t="str">
        <x:v>首批前确认</x:v>
      </x:c>
    </x:row>
    <x:row r="15">
      <x:c r="A15" s="17" t="str">
        <x:v>DEV-01</x:v>
      </x:c>
      <x:c r="B15" s="17" t="str">
        <x:v>B01</x:v>
      </x:c>
      <x:c r="C15" s="17" t="str">
        <x:v>X2Y1Z2</x:v>
      </x:c>
      <x:c r="D15" s="17" t="n">
        <x:v>0</x:v>
      </x:c>
      <x:c r="E15" s="17" t="n">
        <x:v>-1</x:v>
      </x:c>
      <x:c r="F15" s="17" t="n">
        <x:v>0</x:v>
      </x:c>
      <x:c r="G15" s="17" t="n">
        <x:v>5</x:v>
      </x:c>
      <x:c r="H15" s="17" t="n">
        <x:v>4.75</x:v>
      </x:c>
      <x:c r="I15" s="17" t="n">
        <x:v>5.25</x:v>
      </x:c>
      <x:c r="J15" s="17"/>
      <x:c r="K15" s="17"/>
      <x:c r="L15" s="17" t="str">
        <x:v>高斯计</x:v>
      </x:c>
      <x:c r="M15" s="17" t="str">
        <x:v>首批前确认</x:v>
      </x:c>
    </x:row>
    <x:row r="16">
      <x:c r="A16" s="17" t="str">
        <x:v>DEV-01</x:v>
      </x:c>
      <x:c r="B16" s="17" t="str">
        <x:v>B01</x:v>
      </x:c>
      <x:c r="C16" s="17" t="str">
        <x:v>X2Y1Z3</x:v>
      </x:c>
      <x:c r="D16" s="17" t="n">
        <x:v>0</x:v>
      </x:c>
      <x:c r="E16" s="17" t="n">
        <x:v>-1</x:v>
      </x:c>
      <x:c r="F16" s="17" t="n">
        <x:v>1</x:v>
      </x:c>
      <x:c r="G16" s="17" t="n">
        <x:v>5</x:v>
      </x:c>
      <x:c r="H16" s="17" t="n">
        <x:v>4.75</x:v>
      </x:c>
      <x:c r="I16" s="17" t="n">
        <x:v>5.25</x:v>
      </x:c>
      <x:c r="J16" s="17"/>
      <x:c r="K16" s="17"/>
      <x:c r="L16" s="17" t="str">
        <x:v>高斯计</x:v>
      </x:c>
      <x:c r="M16" s="17" t="str">
        <x:v>首批前确认</x:v>
      </x:c>
    </x:row>
    <x:row r="17">
      <x:c r="A17" s="17" t="str">
        <x:v>DEV-01</x:v>
      </x:c>
      <x:c r="B17" s="17" t="str">
        <x:v>B01</x:v>
      </x:c>
      <x:c r="C17" s="17" t="str">
        <x:v>X2Y2Z1</x:v>
      </x:c>
      <x:c r="D17" s="17" t="n">
        <x:v>0</x:v>
      </x:c>
      <x:c r="E17" s="17" t="n">
        <x:v>0</x:v>
      </x:c>
      <x:c r="F17" s="17" t="n">
        <x:v>-1</x:v>
      </x:c>
      <x:c r="G17" s="17" t="n">
        <x:v>5</x:v>
      </x:c>
      <x:c r="H17" s="17" t="n">
        <x:v>4.75</x:v>
      </x:c>
      <x:c r="I17" s="17" t="n">
        <x:v>5.25</x:v>
      </x:c>
      <x:c r="J17" s="17"/>
      <x:c r="K17" s="17"/>
      <x:c r="L17" s="17" t="str">
        <x:v>高斯计</x:v>
      </x:c>
      <x:c r="M17" s="17" t="str">
        <x:v>首批前确认</x:v>
      </x:c>
    </x:row>
    <x:row r="18">
      <x:c r="A18" s="17" t="str">
        <x:v>DEV-01</x:v>
      </x:c>
      <x:c r="B18" s="17" t="str">
        <x:v>B01</x:v>
      </x:c>
      <x:c r="C18" s="17" t="str">
        <x:v>X2Y2Z2</x:v>
      </x:c>
      <x:c r="D18" s="17" t="n">
        <x:v>0</x:v>
      </x:c>
      <x:c r="E18" s="17" t="n">
        <x:v>0</x:v>
      </x:c>
      <x:c r="F18" s="17" t="n">
        <x:v>0</x:v>
      </x:c>
      <x:c r="G18" s="17" t="n">
        <x:v>5</x:v>
      </x:c>
      <x:c r="H18" s="17" t="n">
        <x:v>4.75</x:v>
      </x:c>
      <x:c r="I18" s="17" t="n">
        <x:v>5.25</x:v>
      </x:c>
      <x:c r="J18" s="17"/>
      <x:c r="K18" s="17"/>
      <x:c r="L18" s="17" t="str">
        <x:v>高斯计</x:v>
      </x:c>
      <x:c r="M18" s="17" t="str">
        <x:v>首批前确认</x:v>
      </x:c>
    </x:row>
    <x:row r="19">
      <x:c r="A19" s="17" t="str">
        <x:v>DEV-01</x:v>
      </x:c>
      <x:c r="B19" s="17" t="str">
        <x:v>B01</x:v>
      </x:c>
      <x:c r="C19" s="17" t="str">
        <x:v>X2Y2Z3</x:v>
      </x:c>
      <x:c r="D19" s="17" t="n">
        <x:v>0</x:v>
      </x:c>
      <x:c r="E19" s="17" t="n">
        <x:v>0</x:v>
      </x:c>
      <x:c r="F19" s="17" t="n">
        <x:v>1</x:v>
      </x:c>
      <x:c r="G19" s="17" t="n">
        <x:v>5</x:v>
      </x:c>
      <x:c r="H19" s="17" t="n">
        <x:v>4.75</x:v>
      </x:c>
      <x:c r="I19" s="17" t="n">
        <x:v>5.25</x:v>
      </x:c>
      <x:c r="J19" s="17"/>
      <x:c r="K19" s="17"/>
      <x:c r="L19" s="17" t="str">
        <x:v>高斯计</x:v>
      </x:c>
      <x:c r="M19" s="17" t="str">
        <x:v>首批前确认</x:v>
      </x:c>
    </x:row>
    <x:row r="20">
      <x:c r="A20" s="17" t="str">
        <x:v>DEV-01</x:v>
      </x:c>
      <x:c r="B20" s="17" t="str">
        <x:v>B01</x:v>
      </x:c>
      <x:c r="C20" s="17" t="str">
        <x:v>X2Y3Z1</x:v>
      </x:c>
      <x:c r="D20" s="17" t="n">
        <x:v>0</x:v>
      </x:c>
      <x:c r="E20" s="17" t="n">
        <x:v>1</x:v>
      </x:c>
      <x:c r="F20" s="17" t="n">
        <x:v>-1</x:v>
      </x:c>
      <x:c r="G20" s="17" t="n">
        <x:v>5</x:v>
      </x:c>
      <x:c r="H20" s="17" t="n">
        <x:v>4.75</x:v>
      </x:c>
      <x:c r="I20" s="17" t="n">
        <x:v>5.25</x:v>
      </x:c>
      <x:c r="J20" s="17"/>
      <x:c r="K20" s="17"/>
      <x:c r="L20" s="17" t="str">
        <x:v>高斯计</x:v>
      </x:c>
      <x:c r="M20" s="17" t="str">
        <x:v>首批前确认</x:v>
      </x:c>
    </x:row>
    <x:row r="21">
      <x:c r="A21" s="17" t="str">
        <x:v>DEV-01</x:v>
      </x:c>
      <x:c r="B21" s="17" t="str">
        <x:v>B01</x:v>
      </x:c>
      <x:c r="C21" s="17" t="str">
        <x:v>X2Y3Z2</x:v>
      </x:c>
      <x:c r="D21" s="17" t="n">
        <x:v>0</x:v>
      </x:c>
      <x:c r="E21" s="17" t="n">
        <x:v>1</x:v>
      </x:c>
      <x:c r="F21" s="17" t="n">
        <x:v>0</x:v>
      </x:c>
      <x:c r="G21" s="17" t="n">
        <x:v>5</x:v>
      </x:c>
      <x:c r="H21" s="17" t="n">
        <x:v>4.75</x:v>
      </x:c>
      <x:c r="I21" s="17" t="n">
        <x:v>5.25</x:v>
      </x:c>
      <x:c r="J21" s="17"/>
      <x:c r="K21" s="17"/>
      <x:c r="L21" s="17" t="str">
        <x:v>高斯计</x:v>
      </x:c>
      <x:c r="M21" s="17" t="str">
        <x:v>首批前确认</x:v>
      </x:c>
    </x:row>
    <x:row r="22">
      <x:c r="A22" s="17" t="str">
        <x:v>DEV-01</x:v>
      </x:c>
      <x:c r="B22" s="17" t="str">
        <x:v>B01</x:v>
      </x:c>
      <x:c r="C22" s="17" t="str">
        <x:v>X2Y3Z3</x:v>
      </x:c>
      <x:c r="D22" s="17" t="n">
        <x:v>0</x:v>
      </x:c>
      <x:c r="E22" s="17" t="n">
        <x:v>1</x:v>
      </x:c>
      <x:c r="F22" s="17" t="n">
        <x:v>1</x:v>
      </x:c>
      <x:c r="G22" s="17" t="n">
        <x:v>5</x:v>
      </x:c>
      <x:c r="H22" s="17" t="n">
        <x:v>4.75</x:v>
      </x:c>
      <x:c r="I22" s="17" t="n">
        <x:v>5.25</x:v>
      </x:c>
      <x:c r="J22" s="17"/>
      <x:c r="K22" s="17"/>
      <x:c r="L22" s="17" t="str">
        <x:v>高斯计</x:v>
      </x:c>
      <x:c r="M22" s="17" t="str">
        <x:v>首批前确认</x:v>
      </x:c>
    </x:row>
    <x:row r="23">
      <x:c r="A23" s="17" t="str">
        <x:v>DEV-01</x:v>
      </x:c>
      <x:c r="B23" s="17" t="str">
        <x:v>B01</x:v>
      </x:c>
      <x:c r="C23" s="17" t="str">
        <x:v>X3Y1Z1</x:v>
      </x:c>
      <x:c r="D23" s="17" t="n">
        <x:v>1</x:v>
      </x:c>
      <x:c r="E23" s="17" t="n">
        <x:v>-1</x:v>
      </x:c>
      <x:c r="F23" s="17" t="n">
        <x:v>-1</x:v>
      </x:c>
      <x:c r="G23" s="17" t="n">
        <x:v>5</x:v>
      </x:c>
      <x:c r="H23" s="17" t="n">
        <x:v>4.75</x:v>
      </x:c>
      <x:c r="I23" s="17" t="n">
        <x:v>5.25</x:v>
      </x:c>
      <x:c r="J23" s="17"/>
      <x:c r="K23" s="17"/>
      <x:c r="L23" s="17" t="str">
        <x:v>高斯计</x:v>
      </x:c>
      <x:c r="M23" s="17" t="str">
        <x:v>首批前确认</x:v>
      </x:c>
    </x:row>
    <x:row r="24">
      <x:c r="A24" s="17" t="str">
        <x:v>DEV-01</x:v>
      </x:c>
      <x:c r="B24" s="17" t="str">
        <x:v>B01</x:v>
      </x:c>
      <x:c r="C24" s="17" t="str">
        <x:v>X3Y1Z2</x:v>
      </x:c>
      <x:c r="D24" s="17" t="n">
        <x:v>1</x:v>
      </x:c>
      <x:c r="E24" s="17" t="n">
        <x:v>-1</x:v>
      </x:c>
      <x:c r="F24" s="17" t="n">
        <x:v>0</x:v>
      </x:c>
      <x:c r="G24" s="17" t="n">
        <x:v>5</x:v>
      </x:c>
      <x:c r="H24" s="17" t="n">
        <x:v>4.75</x:v>
      </x:c>
      <x:c r="I24" s="17" t="n">
        <x:v>5.25</x:v>
      </x:c>
      <x:c r="J24" s="17"/>
      <x:c r="K24" s="17"/>
      <x:c r="L24" s="17" t="str">
        <x:v>高斯计</x:v>
      </x:c>
      <x:c r="M24" s="17" t="str">
        <x:v>首批前确认</x:v>
      </x:c>
    </x:row>
    <x:row r="25">
      <x:c r="A25" s="17" t="str">
        <x:v>DEV-01</x:v>
      </x:c>
      <x:c r="B25" s="17" t="str">
        <x:v>B01</x:v>
      </x:c>
      <x:c r="C25" s="17" t="str">
        <x:v>X3Y1Z3</x:v>
      </x:c>
      <x:c r="D25" s="17" t="n">
        <x:v>1</x:v>
      </x:c>
      <x:c r="E25" s="17" t="n">
        <x:v>-1</x:v>
      </x:c>
      <x:c r="F25" s="17" t="n">
        <x:v>1</x:v>
      </x:c>
      <x:c r="G25" s="17" t="n">
        <x:v>5</x:v>
      </x:c>
      <x:c r="H25" s="17" t="n">
        <x:v>4.75</x:v>
      </x:c>
      <x:c r="I25" s="17" t="n">
        <x:v>5.25</x:v>
      </x:c>
      <x:c r="J25" s="17"/>
      <x:c r="K25" s="17"/>
      <x:c r="L25" s="17" t="str">
        <x:v>高斯计</x:v>
      </x:c>
      <x:c r="M25" s="17" t="str">
        <x:v>首批前确认</x:v>
      </x:c>
    </x:row>
    <x:row r="26">
      <x:c r="A26" s="17" t="str">
        <x:v>DEV-01</x:v>
      </x:c>
      <x:c r="B26" s="17" t="str">
        <x:v>B01</x:v>
      </x:c>
      <x:c r="C26" s="17" t="str">
        <x:v>X3Y2Z1</x:v>
      </x:c>
      <x:c r="D26" s="17" t="n">
        <x:v>1</x:v>
      </x:c>
      <x:c r="E26" s="17" t="n">
        <x:v>0</x:v>
      </x:c>
      <x:c r="F26" s="17" t="n">
        <x:v>-1</x:v>
      </x:c>
      <x:c r="G26" s="17" t="n">
        <x:v>5</x:v>
      </x:c>
      <x:c r="H26" s="17" t="n">
        <x:v>4.75</x:v>
      </x:c>
      <x:c r="I26" s="17" t="n">
        <x:v>5.25</x:v>
      </x:c>
      <x:c r="J26" s="17"/>
      <x:c r="K26" s="17"/>
      <x:c r="L26" s="17" t="str">
        <x:v>高斯计</x:v>
      </x:c>
      <x:c r="M26" s="17" t="str">
        <x:v>首批前确认</x:v>
      </x:c>
    </x:row>
    <x:row r="27">
      <x:c r="A27" s="17" t="str">
        <x:v>DEV-01</x:v>
      </x:c>
      <x:c r="B27" s="17" t="str">
        <x:v>B01</x:v>
      </x:c>
      <x:c r="C27" s="17" t="str">
        <x:v>X3Y2Z2</x:v>
      </x:c>
      <x:c r="D27" s="17" t="n">
        <x:v>1</x:v>
      </x:c>
      <x:c r="E27" s="17" t="n">
        <x:v>0</x:v>
      </x:c>
      <x:c r="F27" s="17" t="n">
        <x:v>0</x:v>
      </x:c>
      <x:c r="G27" s="17" t="n">
        <x:v>5</x:v>
      </x:c>
      <x:c r="H27" s="17" t="n">
        <x:v>4.75</x:v>
      </x:c>
      <x:c r="I27" s="17" t="n">
        <x:v>5.25</x:v>
      </x:c>
      <x:c r="J27" s="17"/>
      <x:c r="K27" s="17"/>
      <x:c r="L27" s="17" t="str">
        <x:v>高斯计</x:v>
      </x:c>
      <x:c r="M27" s="17" t="str">
        <x:v>首批前确认</x:v>
      </x:c>
    </x:row>
    <x:row r="28">
      <x:c r="A28" s="17" t="str">
        <x:v>DEV-01</x:v>
      </x:c>
      <x:c r="B28" s="17" t="str">
        <x:v>B01</x:v>
      </x:c>
      <x:c r="C28" s="17" t="str">
        <x:v>X3Y2Z3</x:v>
      </x:c>
      <x:c r="D28" s="17" t="n">
        <x:v>1</x:v>
      </x:c>
      <x:c r="E28" s="17" t="n">
        <x:v>0</x:v>
      </x:c>
      <x:c r="F28" s="17" t="n">
        <x:v>1</x:v>
      </x:c>
      <x:c r="G28" s="17" t="n">
        <x:v>5</x:v>
      </x:c>
      <x:c r="H28" s="17" t="n">
        <x:v>4.75</x:v>
      </x:c>
      <x:c r="I28" s="17" t="n">
        <x:v>5.25</x:v>
      </x:c>
      <x:c r="J28" s="17"/>
      <x:c r="K28" s="17"/>
      <x:c r="L28" s="17" t="str">
        <x:v>高斯计</x:v>
      </x:c>
      <x:c r="M28" s="17" t="str">
        <x:v>首批前确认</x:v>
      </x:c>
    </x:row>
    <x:row r="29">
      <x:c r="A29" s="17" t="str">
        <x:v>DEV-01</x:v>
      </x:c>
      <x:c r="B29" s="17" t="str">
        <x:v>B01</x:v>
      </x:c>
      <x:c r="C29" s="17" t="str">
        <x:v>X3Y3Z1</x:v>
      </x:c>
      <x:c r="D29" s="17" t="n">
        <x:v>1</x:v>
      </x:c>
      <x:c r="E29" s="17" t="n">
        <x:v>1</x:v>
      </x:c>
      <x:c r="F29" s="17" t="n">
        <x:v>-1</x:v>
      </x:c>
      <x:c r="G29" s="17" t="n">
        <x:v>5</x:v>
      </x:c>
      <x:c r="H29" s="17" t="n">
        <x:v>4.75</x:v>
      </x:c>
      <x:c r="I29" s="17" t="n">
        <x:v>5.25</x:v>
      </x:c>
      <x:c r="J29" s="17"/>
      <x:c r="K29" s="17"/>
      <x:c r="L29" s="17" t="str">
        <x:v>高斯计</x:v>
      </x:c>
      <x:c r="M29" s="17" t="str">
        <x:v>首批前确认</x:v>
      </x:c>
    </x:row>
    <x:row r="30">
      <x:c r="A30" s="17" t="str">
        <x:v>DEV-01</x:v>
      </x:c>
      <x:c r="B30" s="17" t="str">
        <x:v>B01</x:v>
      </x:c>
      <x:c r="C30" s="17" t="str">
        <x:v>X3Y3Z2</x:v>
      </x:c>
      <x:c r="D30" s="17" t="n">
        <x:v>1</x:v>
      </x:c>
      <x:c r="E30" s="17" t="n">
        <x:v>1</x:v>
      </x:c>
      <x:c r="F30" s="17" t="n">
        <x:v>0</x:v>
      </x:c>
      <x:c r="G30" s="17" t="n">
        <x:v>5</x:v>
      </x:c>
      <x:c r="H30" s="17" t="n">
        <x:v>4.75</x:v>
      </x:c>
      <x:c r="I30" s="17" t="n">
        <x:v>5.25</x:v>
      </x:c>
      <x:c r="J30" s="17"/>
      <x:c r="K30" s="17"/>
      <x:c r="L30" s="17" t="str">
        <x:v>高斯计</x:v>
      </x:c>
      <x:c r="M30" s="17" t="str">
        <x:v>首批前确认</x:v>
      </x:c>
    </x:row>
    <x:row r="31">
      <x:c r="A31" s="17" t="str">
        <x:v>DEV-01</x:v>
      </x:c>
      <x:c r="B31" s="17" t="str">
        <x:v>B01</x:v>
      </x:c>
      <x:c r="C31" s="17" t="str">
        <x:v>X3Y3Z3</x:v>
      </x:c>
      <x:c r="D31" s="17" t="n">
        <x:v>1</x:v>
      </x:c>
      <x:c r="E31" s="17" t="n">
        <x:v>1</x:v>
      </x:c>
      <x:c r="F31" s="17" t="n">
        <x:v>1</x:v>
      </x:c>
      <x:c r="G31" s="17" t="n">
        <x:v>5</x:v>
      </x:c>
      <x:c r="H31" s="17" t="n">
        <x:v>4.75</x:v>
      </x:c>
      <x:c r="I31" s="17" t="n">
        <x:v>5.25</x:v>
      </x:c>
      <x:c r="J31" s="17"/>
      <x:c r="K31" s="17"/>
      <x:c r="L31" s="17" t="str">
        <x:v>高斯计</x:v>
      </x:c>
      <x:c r="M31" s="17" t="str">
        <x:v>首批前确认</x:v>
      </x:c>
    </x:row>
    <x:row r="32">
      <x:c r="A32" s="17" t="str">
        <x:v>DEV-02</x:v>
      </x:c>
      <x:c r="B32" s="17" t="str">
        <x:v>B02</x:v>
      </x:c>
      <x:c r="C32" s="17" t="str">
        <x:v>X1Y1Z1</x:v>
      </x:c>
      <x:c r="D32" s="17" t="n">
        <x:v>-1</x:v>
      </x:c>
      <x:c r="E32" s="17" t="n">
        <x:v>-1</x:v>
      </x:c>
      <x:c r="F32" s="17" t="n">
        <x:v>-1</x:v>
      </x:c>
      <x:c r="G32" s="17" t="n">
        <x:v>5</x:v>
      </x:c>
      <x:c r="H32" s="17" t="n">
        <x:v>4.75</x:v>
      </x:c>
      <x:c r="I32" s="17" t="n">
        <x:v>5.25</x:v>
      </x:c>
      <x:c r="J32" s="17"/>
      <x:c r="K32" s="17"/>
      <x:c r="L32" s="17" t="str">
        <x:v>高斯计</x:v>
      </x:c>
      <x:c r="M32" s="17" t="str">
        <x:v>首批前确认</x:v>
      </x:c>
    </x:row>
    <x:row r="33">
      <x:c r="A33" s="17" t="str">
        <x:v>DEV-02</x:v>
      </x:c>
      <x:c r="B33" s="17" t="str">
        <x:v>B02</x:v>
      </x:c>
      <x:c r="C33" s="17" t="str">
        <x:v>X1Y1Z2</x:v>
      </x:c>
      <x:c r="D33" s="17" t="n">
        <x:v>-1</x:v>
      </x:c>
      <x:c r="E33" s="17" t="n">
        <x:v>-1</x:v>
      </x:c>
      <x:c r="F33" s="17" t="n">
        <x:v>0</x:v>
      </x:c>
      <x:c r="G33" s="17" t="n">
        <x:v>5</x:v>
      </x:c>
      <x:c r="H33" s="17" t="n">
        <x:v>4.75</x:v>
      </x:c>
      <x:c r="I33" s="17" t="n">
        <x:v>5.25</x:v>
      </x:c>
      <x:c r="J33" s="17"/>
      <x:c r="K33" s="17"/>
      <x:c r="L33" s="17" t="str">
        <x:v>高斯计</x:v>
      </x:c>
      <x:c r="M33" s="17" t="str">
        <x:v>首批前确认</x:v>
      </x:c>
    </x:row>
    <x:row r="34">
      <x:c r="A34" s="17" t="str">
        <x:v>DEV-02</x:v>
      </x:c>
      <x:c r="B34" s="17" t="str">
        <x:v>B02</x:v>
      </x:c>
      <x:c r="C34" s="17" t="str">
        <x:v>X1Y1Z3</x:v>
      </x:c>
      <x:c r="D34" s="17" t="n">
        <x:v>-1</x:v>
      </x:c>
      <x:c r="E34" s="17" t="n">
        <x:v>-1</x:v>
      </x:c>
      <x:c r="F34" s="17" t="n">
        <x:v>1</x:v>
      </x:c>
      <x:c r="G34" s="17" t="n">
        <x:v>5</x:v>
      </x:c>
      <x:c r="H34" s="17" t="n">
        <x:v>4.75</x:v>
      </x:c>
      <x:c r="I34" s="17" t="n">
        <x:v>5.25</x:v>
      </x:c>
      <x:c r="J34" s="17"/>
      <x:c r="K34" s="17"/>
      <x:c r="L34" s="17" t="str">
        <x:v>高斯计</x:v>
      </x:c>
      <x:c r="M34" s="17" t="str">
        <x:v>首批前确认</x:v>
      </x:c>
    </x:row>
    <x:row r="35">
      <x:c r="A35" s="17" t="str">
        <x:v>DEV-02</x:v>
      </x:c>
      <x:c r="B35" s="17" t="str">
        <x:v>B02</x:v>
      </x:c>
      <x:c r="C35" s="17" t="str">
        <x:v>X1Y2Z1</x:v>
      </x:c>
      <x:c r="D35" s="17" t="n">
        <x:v>-1</x:v>
      </x:c>
      <x:c r="E35" s="17" t="n">
        <x:v>0</x:v>
      </x:c>
      <x:c r="F35" s="17" t="n">
        <x:v>-1</x:v>
      </x:c>
      <x:c r="G35" s="17" t="n">
        <x:v>5</x:v>
      </x:c>
      <x:c r="H35" s="17" t="n">
        <x:v>4.75</x:v>
      </x:c>
      <x:c r="I35" s="17" t="n">
        <x:v>5.25</x:v>
      </x:c>
      <x:c r="J35" s="17"/>
      <x:c r="K35" s="17"/>
      <x:c r="L35" s="17" t="str">
        <x:v>高斯计</x:v>
      </x:c>
      <x:c r="M35" s="17" t="str">
        <x:v>首批前确认</x:v>
      </x:c>
    </x:row>
    <x:row r="36">
      <x:c r="A36" s="17" t="str">
        <x:v>DEV-02</x:v>
      </x:c>
      <x:c r="B36" s="17" t="str">
        <x:v>B02</x:v>
      </x:c>
      <x:c r="C36" s="17" t="str">
        <x:v>X1Y2Z2</x:v>
      </x:c>
      <x:c r="D36" s="17" t="n">
        <x:v>-1</x:v>
      </x:c>
      <x:c r="E36" s="17" t="n">
        <x:v>0</x:v>
      </x:c>
      <x:c r="F36" s="17" t="n">
        <x:v>0</x:v>
      </x:c>
      <x:c r="G36" s="17" t="n">
        <x:v>5</x:v>
      </x:c>
      <x:c r="H36" s="17" t="n">
        <x:v>4.75</x:v>
      </x:c>
      <x:c r="I36" s="17" t="n">
        <x:v>5.25</x:v>
      </x:c>
      <x:c r="J36" s="17"/>
      <x:c r="K36" s="17"/>
      <x:c r="L36" s="17" t="str">
        <x:v>高斯计</x:v>
      </x:c>
      <x:c r="M36" s="17" t="str">
        <x:v>首批前确认</x:v>
      </x:c>
    </x:row>
    <x:row r="37">
      <x:c r="A37" s="17" t="str">
        <x:v>DEV-02</x:v>
      </x:c>
      <x:c r="B37" s="17" t="str">
        <x:v>B02</x:v>
      </x:c>
      <x:c r="C37" s="17" t="str">
        <x:v>X1Y2Z3</x:v>
      </x:c>
      <x:c r="D37" s="17" t="n">
        <x:v>-1</x:v>
      </x:c>
      <x:c r="E37" s="17" t="n">
        <x:v>0</x:v>
      </x:c>
      <x:c r="F37" s="17" t="n">
        <x:v>1</x:v>
      </x:c>
      <x:c r="G37" s="17" t="n">
        <x:v>5</x:v>
      </x:c>
      <x:c r="H37" s="17" t="n">
        <x:v>4.75</x:v>
      </x:c>
      <x:c r="I37" s="17" t="n">
        <x:v>5.25</x:v>
      </x:c>
      <x:c r="J37" s="17"/>
      <x:c r="K37" s="17"/>
      <x:c r="L37" s="17" t="str">
        <x:v>高斯计</x:v>
      </x:c>
      <x:c r="M37" s="17" t="str">
        <x:v>首批前确认</x:v>
      </x:c>
    </x:row>
    <x:row r="38">
      <x:c r="A38" s="17" t="str">
        <x:v>DEV-02</x:v>
      </x:c>
      <x:c r="B38" s="17" t="str">
        <x:v>B02</x:v>
      </x:c>
      <x:c r="C38" s="17" t="str">
        <x:v>X1Y3Z1</x:v>
      </x:c>
      <x:c r="D38" s="17" t="n">
        <x:v>-1</x:v>
      </x:c>
      <x:c r="E38" s="17" t="n">
        <x:v>1</x:v>
      </x:c>
      <x:c r="F38" s="17" t="n">
        <x:v>-1</x:v>
      </x:c>
      <x:c r="G38" s="17" t="n">
        <x:v>5</x:v>
      </x:c>
      <x:c r="H38" s="17" t="n">
        <x:v>4.75</x:v>
      </x:c>
      <x:c r="I38" s="17" t="n">
        <x:v>5.25</x:v>
      </x:c>
      <x:c r="J38" s="17"/>
      <x:c r="K38" s="17"/>
      <x:c r="L38" s="17" t="str">
        <x:v>高斯计</x:v>
      </x:c>
      <x:c r="M38" s="17" t="str">
        <x:v>首批前确认</x:v>
      </x:c>
    </x:row>
    <x:row r="39">
      <x:c r="A39" s="17" t="str">
        <x:v>DEV-02</x:v>
      </x:c>
      <x:c r="B39" s="17" t="str">
        <x:v>B02</x:v>
      </x:c>
      <x:c r="C39" s="17" t="str">
        <x:v>X1Y3Z2</x:v>
      </x:c>
      <x:c r="D39" s="17" t="n">
        <x:v>-1</x:v>
      </x:c>
      <x:c r="E39" s="17" t="n">
        <x:v>1</x:v>
      </x:c>
      <x:c r="F39" s="17" t="n">
        <x:v>0</x:v>
      </x:c>
      <x:c r="G39" s="17" t="n">
        <x:v>5</x:v>
      </x:c>
      <x:c r="H39" s="17" t="n">
        <x:v>4.75</x:v>
      </x:c>
      <x:c r="I39" s="17" t="n">
        <x:v>5.25</x:v>
      </x:c>
      <x:c r="J39" s="17"/>
      <x:c r="K39" s="17"/>
      <x:c r="L39" s="17" t="str">
        <x:v>高斯计</x:v>
      </x:c>
      <x:c r="M39" s="17" t="str">
        <x:v>首批前确认</x:v>
      </x:c>
    </x:row>
    <x:row r="40">
      <x:c r="A40" s="17" t="str">
        <x:v>DEV-02</x:v>
      </x:c>
      <x:c r="B40" s="17" t="str">
        <x:v>B02</x:v>
      </x:c>
      <x:c r="C40" s="17" t="str">
        <x:v>X1Y3Z3</x:v>
      </x:c>
      <x:c r="D40" s="17" t="n">
        <x:v>-1</x:v>
      </x:c>
      <x:c r="E40" s="17" t="n">
        <x:v>1</x:v>
      </x:c>
      <x:c r="F40" s="17" t="n">
        <x:v>1</x:v>
      </x:c>
      <x:c r="G40" s="17" t="n">
        <x:v>5</x:v>
      </x:c>
      <x:c r="H40" s="17" t="n">
        <x:v>4.75</x:v>
      </x:c>
      <x:c r="I40" s="17" t="n">
        <x:v>5.25</x:v>
      </x:c>
      <x:c r="J40" s="17"/>
      <x:c r="K40" s="17"/>
      <x:c r="L40" s="17" t="str">
        <x:v>高斯计</x:v>
      </x:c>
      <x:c r="M40" s="17" t="str">
        <x:v>首批前确认</x:v>
      </x:c>
    </x:row>
    <x:row r="41">
      <x:c r="A41" s="17" t="str">
        <x:v>DEV-02</x:v>
      </x:c>
      <x:c r="B41" s="17" t="str">
        <x:v>B02</x:v>
      </x:c>
      <x:c r="C41" s="17" t="str">
        <x:v>X2Y1Z1</x:v>
      </x:c>
      <x:c r="D41" s="17" t="n">
        <x:v>0</x:v>
      </x:c>
      <x:c r="E41" s="17" t="n">
        <x:v>-1</x:v>
      </x:c>
      <x:c r="F41" s="17" t="n">
        <x:v>-1</x:v>
      </x:c>
      <x:c r="G41" s="17" t="n">
        <x:v>5</x:v>
      </x:c>
      <x:c r="H41" s="17" t="n">
        <x:v>4.75</x:v>
      </x:c>
      <x:c r="I41" s="17" t="n">
        <x:v>5.25</x:v>
      </x:c>
      <x:c r="J41" s="17"/>
      <x:c r="K41" s="17"/>
      <x:c r="L41" s="17" t="str">
        <x:v>高斯计</x:v>
      </x:c>
      <x:c r="M41" s="17" t="str">
        <x:v>首批前确认</x:v>
      </x:c>
    </x:row>
    <x:row r="42">
      <x:c r="A42" s="17" t="str">
        <x:v>DEV-02</x:v>
      </x:c>
      <x:c r="B42" s="17" t="str">
        <x:v>B02</x:v>
      </x:c>
      <x:c r="C42" s="17" t="str">
        <x:v>X2Y1Z2</x:v>
      </x:c>
      <x:c r="D42" s="17" t="n">
        <x:v>0</x:v>
      </x:c>
      <x:c r="E42" s="17" t="n">
        <x:v>-1</x:v>
      </x:c>
      <x:c r="F42" s="17" t="n">
        <x:v>0</x:v>
      </x:c>
      <x:c r="G42" s="17" t="n">
        <x:v>5</x:v>
      </x:c>
      <x:c r="H42" s="17" t="n">
        <x:v>4.75</x:v>
      </x:c>
      <x:c r="I42" s="17" t="n">
        <x:v>5.25</x:v>
      </x:c>
      <x:c r="J42" s="17"/>
      <x:c r="K42" s="17"/>
      <x:c r="L42" s="17" t="str">
        <x:v>高斯计</x:v>
      </x:c>
      <x:c r="M42" s="17" t="str">
        <x:v>首批前确认</x:v>
      </x:c>
    </x:row>
    <x:row r="43">
      <x:c r="A43" s="17" t="str">
        <x:v>DEV-02</x:v>
      </x:c>
      <x:c r="B43" s="17" t="str">
        <x:v>B02</x:v>
      </x:c>
      <x:c r="C43" s="17" t="str">
        <x:v>X2Y1Z3</x:v>
      </x:c>
      <x:c r="D43" s="17" t="n">
        <x:v>0</x:v>
      </x:c>
      <x:c r="E43" s="17" t="n">
        <x:v>-1</x:v>
      </x:c>
      <x:c r="F43" s="17" t="n">
        <x:v>1</x:v>
      </x:c>
      <x:c r="G43" s="17" t="n">
        <x:v>5</x:v>
      </x:c>
      <x:c r="H43" s="17" t="n">
        <x:v>4.75</x:v>
      </x:c>
      <x:c r="I43" s="17" t="n">
        <x:v>5.25</x:v>
      </x:c>
      <x:c r="J43" s="17"/>
      <x:c r="K43" s="17"/>
      <x:c r="L43" s="17" t="str">
        <x:v>高斯计</x:v>
      </x:c>
      <x:c r="M43" s="17" t="str">
        <x:v>首批前确认</x:v>
      </x:c>
    </x:row>
    <x:row r="44">
      <x:c r="A44" s="17" t="str">
        <x:v>DEV-02</x:v>
      </x:c>
      <x:c r="B44" s="17" t="str">
        <x:v>B02</x:v>
      </x:c>
      <x:c r="C44" s="17" t="str">
        <x:v>X2Y2Z1</x:v>
      </x:c>
      <x:c r="D44" s="17" t="n">
        <x:v>0</x:v>
      </x:c>
      <x:c r="E44" s="17" t="n">
        <x:v>0</x:v>
      </x:c>
      <x:c r="F44" s="17" t="n">
        <x:v>-1</x:v>
      </x:c>
      <x:c r="G44" s="17" t="n">
        <x:v>5</x:v>
      </x:c>
      <x:c r="H44" s="17" t="n">
        <x:v>4.75</x:v>
      </x:c>
      <x:c r="I44" s="17" t="n">
        <x:v>5.25</x:v>
      </x:c>
      <x:c r="J44" s="17"/>
      <x:c r="K44" s="17"/>
      <x:c r="L44" s="17" t="str">
        <x:v>高斯计</x:v>
      </x:c>
      <x:c r="M44" s="17" t="str">
        <x:v>首批前确认</x:v>
      </x:c>
    </x:row>
    <x:row r="45">
      <x:c r="A45" s="17" t="str">
        <x:v>DEV-02</x:v>
      </x:c>
      <x:c r="B45" s="17" t="str">
        <x:v>B02</x:v>
      </x:c>
      <x:c r="C45" s="17" t="str">
        <x:v>X2Y2Z2</x:v>
      </x:c>
      <x:c r="D45" s="17" t="n">
        <x:v>0</x:v>
      </x:c>
      <x:c r="E45" s="17" t="n">
        <x:v>0</x:v>
      </x:c>
      <x:c r="F45" s="17" t="n">
        <x:v>0</x:v>
      </x:c>
      <x:c r="G45" s="17" t="n">
        <x:v>5</x:v>
      </x:c>
      <x:c r="H45" s="17" t="n">
        <x:v>4.75</x:v>
      </x:c>
      <x:c r="I45" s="17" t="n">
        <x:v>5.25</x:v>
      </x:c>
      <x:c r="J45" s="17"/>
      <x:c r="K45" s="17"/>
      <x:c r="L45" s="17" t="str">
        <x:v>高斯计</x:v>
      </x:c>
      <x:c r="M45" s="17" t="str">
        <x:v>首批前确认</x:v>
      </x:c>
    </x:row>
    <x:row r="46">
      <x:c r="A46" s="17" t="str">
        <x:v>DEV-02</x:v>
      </x:c>
      <x:c r="B46" s="17" t="str">
        <x:v>B02</x:v>
      </x:c>
      <x:c r="C46" s="17" t="str">
        <x:v>X2Y2Z3</x:v>
      </x:c>
      <x:c r="D46" s="17" t="n">
        <x:v>0</x:v>
      </x:c>
      <x:c r="E46" s="17" t="n">
        <x:v>0</x:v>
      </x:c>
      <x:c r="F46" s="17" t="n">
        <x:v>1</x:v>
      </x:c>
      <x:c r="G46" s="17" t="n">
        <x:v>5</x:v>
      </x:c>
      <x:c r="H46" s="17" t="n">
        <x:v>4.75</x:v>
      </x:c>
      <x:c r="I46" s="17" t="n">
        <x:v>5.25</x:v>
      </x:c>
      <x:c r="J46" s="17"/>
      <x:c r="K46" s="17"/>
      <x:c r="L46" s="17" t="str">
        <x:v>高斯计</x:v>
      </x:c>
      <x:c r="M46" s="17" t="str">
        <x:v>首批前确认</x:v>
      </x:c>
    </x:row>
    <x:row r="47">
      <x:c r="A47" s="17" t="str">
        <x:v>DEV-02</x:v>
      </x:c>
      <x:c r="B47" s="17" t="str">
        <x:v>B02</x:v>
      </x:c>
      <x:c r="C47" s="17" t="str">
        <x:v>X2Y3Z1</x:v>
      </x:c>
      <x:c r="D47" s="17" t="n">
        <x:v>0</x:v>
      </x:c>
      <x:c r="E47" s="17" t="n">
        <x:v>1</x:v>
      </x:c>
      <x:c r="F47" s="17" t="n">
        <x:v>-1</x:v>
      </x:c>
      <x:c r="G47" s="17" t="n">
        <x:v>5</x:v>
      </x:c>
      <x:c r="H47" s="17" t="n">
        <x:v>4.75</x:v>
      </x:c>
      <x:c r="I47" s="17" t="n">
        <x:v>5.25</x:v>
      </x:c>
      <x:c r="J47" s="17"/>
      <x:c r="K47" s="17"/>
      <x:c r="L47" s="17" t="str">
        <x:v>高斯计</x:v>
      </x:c>
      <x:c r="M47" s="17" t="str">
        <x:v>首批前确认</x:v>
      </x:c>
    </x:row>
    <x:row r="48">
      <x:c r="A48" s="17" t="str">
        <x:v>DEV-02</x:v>
      </x:c>
      <x:c r="B48" s="17" t="str">
        <x:v>B02</x:v>
      </x:c>
      <x:c r="C48" s="17" t="str">
        <x:v>X2Y3Z2</x:v>
      </x:c>
      <x:c r="D48" s="17" t="n">
        <x:v>0</x:v>
      </x:c>
      <x:c r="E48" s="17" t="n">
        <x:v>1</x:v>
      </x:c>
      <x:c r="F48" s="17" t="n">
        <x:v>0</x:v>
      </x:c>
      <x:c r="G48" s="17" t="n">
        <x:v>5</x:v>
      </x:c>
      <x:c r="H48" s="17" t="n">
        <x:v>4.75</x:v>
      </x:c>
      <x:c r="I48" s="17" t="n">
        <x:v>5.25</x:v>
      </x:c>
      <x:c r="J48" s="17"/>
      <x:c r="K48" s="17"/>
      <x:c r="L48" s="17" t="str">
        <x:v>高斯计</x:v>
      </x:c>
      <x:c r="M48" s="17" t="str">
        <x:v>首批前确认</x:v>
      </x:c>
    </x:row>
    <x:row r="49">
      <x:c r="A49" s="17" t="str">
        <x:v>DEV-02</x:v>
      </x:c>
      <x:c r="B49" s="17" t="str">
        <x:v>B02</x:v>
      </x:c>
      <x:c r="C49" s="17" t="str">
        <x:v>X2Y3Z3</x:v>
      </x:c>
      <x:c r="D49" s="17" t="n">
        <x:v>0</x:v>
      </x:c>
      <x:c r="E49" s="17" t="n">
        <x:v>1</x:v>
      </x:c>
      <x:c r="F49" s="17" t="n">
        <x:v>1</x:v>
      </x:c>
      <x:c r="G49" s="17" t="n">
        <x:v>5</x:v>
      </x:c>
      <x:c r="H49" s="17" t="n">
        <x:v>4.75</x:v>
      </x:c>
      <x:c r="I49" s="17" t="n">
        <x:v>5.25</x:v>
      </x:c>
      <x:c r="J49" s="17"/>
      <x:c r="K49" s="17"/>
      <x:c r="L49" s="17" t="str">
        <x:v>高斯计</x:v>
      </x:c>
      <x:c r="M49" s="17" t="str">
        <x:v>首批前确认</x:v>
      </x:c>
    </x:row>
    <x:row r="50">
      <x:c r="A50" s="17" t="str">
        <x:v>DEV-02</x:v>
      </x:c>
      <x:c r="B50" s="17" t="str">
        <x:v>B02</x:v>
      </x:c>
      <x:c r="C50" s="17" t="str">
        <x:v>X3Y1Z1</x:v>
      </x:c>
      <x:c r="D50" s="17" t="n">
        <x:v>1</x:v>
      </x:c>
      <x:c r="E50" s="17" t="n">
        <x:v>-1</x:v>
      </x:c>
      <x:c r="F50" s="17" t="n">
        <x:v>-1</x:v>
      </x:c>
      <x:c r="G50" s="17" t="n">
        <x:v>5</x:v>
      </x:c>
      <x:c r="H50" s="17" t="n">
        <x:v>4.75</x:v>
      </x:c>
      <x:c r="I50" s="17" t="n">
        <x:v>5.25</x:v>
      </x:c>
      <x:c r="J50" s="17"/>
      <x:c r="K50" s="17"/>
      <x:c r="L50" s="17" t="str">
        <x:v>高斯计</x:v>
      </x:c>
      <x:c r="M50" s="17" t="str">
        <x:v>首批前确认</x:v>
      </x:c>
    </x:row>
    <x:row r="51">
      <x:c r="A51" s="17" t="str">
        <x:v>DEV-02</x:v>
      </x:c>
      <x:c r="B51" s="17" t="str">
        <x:v>B02</x:v>
      </x:c>
      <x:c r="C51" s="17" t="str">
        <x:v>X3Y1Z2</x:v>
      </x:c>
      <x:c r="D51" s="17" t="n">
        <x:v>1</x:v>
      </x:c>
      <x:c r="E51" s="17" t="n">
        <x:v>-1</x:v>
      </x:c>
      <x:c r="F51" s="17" t="n">
        <x:v>0</x:v>
      </x:c>
      <x:c r="G51" s="17" t="n">
        <x:v>5</x:v>
      </x:c>
      <x:c r="H51" s="17" t="n">
        <x:v>4.75</x:v>
      </x:c>
      <x:c r="I51" s="17" t="n">
        <x:v>5.25</x:v>
      </x:c>
      <x:c r="J51" s="17"/>
      <x:c r="K51" s="17"/>
      <x:c r="L51" s="17" t="str">
        <x:v>高斯计</x:v>
      </x:c>
      <x:c r="M51" s="17" t="str">
        <x:v>首批前确认</x:v>
      </x:c>
    </x:row>
    <x:row r="52">
      <x:c r="A52" s="17" t="str">
        <x:v>DEV-02</x:v>
      </x:c>
      <x:c r="B52" s="17" t="str">
        <x:v>B02</x:v>
      </x:c>
      <x:c r="C52" s="17" t="str">
        <x:v>X3Y1Z3</x:v>
      </x:c>
      <x:c r="D52" s="17" t="n">
        <x:v>1</x:v>
      </x:c>
      <x:c r="E52" s="17" t="n">
        <x:v>-1</x:v>
      </x:c>
      <x:c r="F52" s="17" t="n">
        <x:v>1</x:v>
      </x:c>
      <x:c r="G52" s="17" t="n">
        <x:v>5</x:v>
      </x:c>
      <x:c r="H52" s="17" t="n">
        <x:v>4.75</x:v>
      </x:c>
      <x:c r="I52" s="17" t="n">
        <x:v>5.25</x:v>
      </x:c>
      <x:c r="J52" s="17"/>
      <x:c r="K52" s="17"/>
      <x:c r="L52" s="17" t="str">
        <x:v>高斯计</x:v>
      </x:c>
      <x:c r="M52" s="17" t="str">
        <x:v>首批前确认</x:v>
      </x:c>
    </x:row>
    <x:row r="53">
      <x:c r="A53" s="17" t="str">
        <x:v>DEV-02</x:v>
      </x:c>
      <x:c r="B53" s="17" t="str">
        <x:v>B02</x:v>
      </x:c>
      <x:c r="C53" s="17" t="str">
        <x:v>X3Y2Z1</x:v>
      </x:c>
      <x:c r="D53" s="17" t="n">
        <x:v>1</x:v>
      </x:c>
      <x:c r="E53" s="17" t="n">
        <x:v>0</x:v>
      </x:c>
      <x:c r="F53" s="17" t="n">
        <x:v>-1</x:v>
      </x:c>
      <x:c r="G53" s="17" t="n">
        <x:v>5</x:v>
      </x:c>
      <x:c r="H53" s="17" t="n">
        <x:v>4.75</x:v>
      </x:c>
      <x:c r="I53" s="17" t="n">
        <x:v>5.25</x:v>
      </x:c>
      <x:c r="J53" s="17"/>
      <x:c r="K53" s="17"/>
      <x:c r="L53" s="17" t="str">
        <x:v>高斯计</x:v>
      </x:c>
      <x:c r="M53" s="17" t="str">
        <x:v>首批前确认</x:v>
      </x:c>
    </x:row>
    <x:row r="54">
      <x:c r="A54" s="17" t="str">
        <x:v>DEV-02</x:v>
      </x:c>
      <x:c r="B54" s="17" t="str">
        <x:v>B02</x:v>
      </x:c>
      <x:c r="C54" s="17" t="str">
        <x:v>X3Y2Z2</x:v>
      </x:c>
      <x:c r="D54" s="17" t="n">
        <x:v>1</x:v>
      </x:c>
      <x:c r="E54" s="17" t="n">
        <x:v>0</x:v>
      </x:c>
      <x:c r="F54" s="17" t="n">
        <x:v>0</x:v>
      </x:c>
      <x:c r="G54" s="17" t="n">
        <x:v>5</x:v>
      </x:c>
      <x:c r="H54" s="17" t="n">
        <x:v>4.75</x:v>
      </x:c>
      <x:c r="I54" s="17" t="n">
        <x:v>5.25</x:v>
      </x:c>
      <x:c r="J54" s="17"/>
      <x:c r="K54" s="17"/>
      <x:c r="L54" s="17" t="str">
        <x:v>高斯计</x:v>
      </x:c>
      <x:c r="M54" s="17" t="str">
        <x:v>首批前确认</x:v>
      </x:c>
    </x:row>
    <x:row r="55">
      <x:c r="A55" s="17" t="str">
        <x:v>DEV-02</x:v>
      </x:c>
      <x:c r="B55" s="17" t="str">
        <x:v>B02</x:v>
      </x:c>
      <x:c r="C55" s="17" t="str">
        <x:v>X3Y2Z3</x:v>
      </x:c>
      <x:c r="D55" s="17" t="n">
        <x:v>1</x:v>
      </x:c>
      <x:c r="E55" s="17" t="n">
        <x:v>0</x:v>
      </x:c>
      <x:c r="F55" s="17" t="n">
        <x:v>1</x:v>
      </x:c>
      <x:c r="G55" s="17" t="n">
        <x:v>5</x:v>
      </x:c>
      <x:c r="H55" s="17" t="n">
        <x:v>4.75</x:v>
      </x:c>
      <x:c r="I55" s="17" t="n">
        <x:v>5.25</x:v>
      </x:c>
      <x:c r="J55" s="17"/>
      <x:c r="K55" s="17"/>
      <x:c r="L55" s="17" t="str">
        <x:v>高斯计</x:v>
      </x:c>
      <x:c r="M55" s="17" t="str">
        <x:v>首批前确认</x:v>
      </x:c>
    </x:row>
    <x:row r="56">
      <x:c r="A56" s="17" t="str">
        <x:v>DEV-02</x:v>
      </x:c>
      <x:c r="B56" s="17" t="str">
        <x:v>B02</x:v>
      </x:c>
      <x:c r="C56" s="17" t="str">
        <x:v>X3Y3Z1</x:v>
      </x:c>
      <x:c r="D56" s="17" t="n">
        <x:v>1</x:v>
      </x:c>
      <x:c r="E56" s="17" t="n">
        <x:v>1</x:v>
      </x:c>
      <x:c r="F56" s="17" t="n">
        <x:v>-1</x:v>
      </x:c>
      <x:c r="G56" s="17" t="n">
        <x:v>5</x:v>
      </x:c>
      <x:c r="H56" s="17" t="n">
        <x:v>4.75</x:v>
      </x:c>
      <x:c r="I56" s="17" t="n">
        <x:v>5.25</x:v>
      </x:c>
      <x:c r="J56" s="17"/>
      <x:c r="K56" s="17"/>
      <x:c r="L56" s="17" t="str">
        <x:v>高斯计</x:v>
      </x:c>
      <x:c r="M56" s="17" t="str">
        <x:v>首批前确认</x:v>
      </x:c>
    </x:row>
    <x:row r="57">
      <x:c r="A57" s="17" t="str">
        <x:v>DEV-02</x:v>
      </x:c>
      <x:c r="B57" s="17" t="str">
        <x:v>B02</x:v>
      </x:c>
      <x:c r="C57" s="17" t="str">
        <x:v>X3Y3Z2</x:v>
      </x:c>
      <x:c r="D57" s="17" t="n">
        <x:v>1</x:v>
      </x:c>
      <x:c r="E57" s="17" t="n">
        <x:v>1</x:v>
      </x:c>
      <x:c r="F57" s="17" t="n">
        <x:v>0</x:v>
      </x:c>
      <x:c r="G57" s="17" t="n">
        <x:v>5</x:v>
      </x:c>
      <x:c r="H57" s="17" t="n">
        <x:v>4.75</x:v>
      </x:c>
      <x:c r="I57" s="17" t="n">
        <x:v>5.25</x:v>
      </x:c>
      <x:c r="J57" s="17"/>
      <x:c r="K57" s="17"/>
      <x:c r="L57" s="17" t="str">
        <x:v>高斯计</x:v>
      </x:c>
      <x:c r="M57" s="17" t="str">
        <x:v>首批前确认</x:v>
      </x:c>
    </x:row>
    <x:row r="58">
      <x:c r="A58" s="17" t="str">
        <x:v>DEV-02</x:v>
      </x:c>
      <x:c r="B58" s="17" t="str">
        <x:v>B02</x:v>
      </x:c>
      <x:c r="C58" s="17" t="str">
        <x:v>X3Y3Z3</x:v>
      </x:c>
      <x:c r="D58" s="17" t="n">
        <x:v>1</x:v>
      </x:c>
      <x:c r="E58" s="17" t="n">
        <x:v>1</x:v>
      </x:c>
      <x:c r="F58" s="17" t="n">
        <x:v>1</x:v>
      </x:c>
      <x:c r="G58" s="17" t="n">
        <x:v>5</x:v>
      </x:c>
      <x:c r="H58" s="17" t="n">
        <x:v>4.75</x:v>
      </x:c>
      <x:c r="I58" s="17" t="n">
        <x:v>5.25</x:v>
      </x:c>
      <x:c r="J58" s="17"/>
      <x:c r="K58" s="17"/>
      <x:c r="L58" s="17" t="str">
        <x:v>高斯计</x:v>
      </x:c>
      <x:c r="M58" s="17" t="str">
        <x:v>首批前确认</x:v>
      </x:c>
    </x:row>
    <x:row r="59">
      <x:c r="A59" s="17" t="str">
        <x:v>DEV-03</x:v>
      </x:c>
      <x:c r="B59" s="17" t="str">
        <x:v>B03</x:v>
      </x:c>
      <x:c r="C59" s="17" t="str">
        <x:v>X1Y1Z1</x:v>
      </x:c>
      <x:c r="D59" s="17" t="n">
        <x:v>-1</x:v>
      </x:c>
      <x:c r="E59" s="17" t="n">
        <x:v>-1</x:v>
      </x:c>
      <x:c r="F59" s="17" t="n">
        <x:v>-1</x:v>
      </x:c>
      <x:c r="G59" s="17" t="n">
        <x:v>5</x:v>
      </x:c>
      <x:c r="H59" s="17" t="n">
        <x:v>4.75</x:v>
      </x:c>
      <x:c r="I59" s="17" t="n">
        <x:v>5.25</x:v>
      </x:c>
      <x:c r="J59" s="17"/>
      <x:c r="K59" s="17"/>
      <x:c r="L59" s="17" t="str">
        <x:v>高斯计</x:v>
      </x:c>
      <x:c r="M59" s="17" t="str">
        <x:v>首批前确认</x:v>
      </x:c>
    </x:row>
    <x:row r="60">
      <x:c r="A60" s="17" t="str">
        <x:v>DEV-03</x:v>
      </x:c>
      <x:c r="B60" s="17" t="str">
        <x:v>B03</x:v>
      </x:c>
      <x:c r="C60" s="17" t="str">
        <x:v>X1Y1Z2</x:v>
      </x:c>
      <x:c r="D60" s="17" t="n">
        <x:v>-1</x:v>
      </x:c>
      <x:c r="E60" s="17" t="n">
        <x:v>-1</x:v>
      </x:c>
      <x:c r="F60" s="17" t="n">
        <x:v>0</x:v>
      </x:c>
      <x:c r="G60" s="17" t="n">
        <x:v>5</x:v>
      </x:c>
      <x:c r="H60" s="17" t="n">
        <x:v>4.75</x:v>
      </x:c>
      <x:c r="I60" s="17" t="n">
        <x:v>5.25</x:v>
      </x:c>
      <x:c r="J60" s="17"/>
      <x:c r="K60" s="17"/>
      <x:c r="L60" s="17" t="str">
        <x:v>高斯计</x:v>
      </x:c>
      <x:c r="M60" s="17" t="str">
        <x:v>首批前确认</x:v>
      </x:c>
    </x:row>
    <x:row r="61">
      <x:c r="A61" s="17" t="str">
        <x:v>DEV-03</x:v>
      </x:c>
      <x:c r="B61" s="17" t="str">
        <x:v>B03</x:v>
      </x:c>
      <x:c r="C61" s="17" t="str">
        <x:v>X1Y1Z3</x:v>
      </x:c>
      <x:c r="D61" s="17" t="n">
        <x:v>-1</x:v>
      </x:c>
      <x:c r="E61" s="17" t="n">
        <x:v>-1</x:v>
      </x:c>
      <x:c r="F61" s="17" t="n">
        <x:v>1</x:v>
      </x:c>
      <x:c r="G61" s="17" t="n">
        <x:v>5</x:v>
      </x:c>
      <x:c r="H61" s="17" t="n">
        <x:v>4.75</x:v>
      </x:c>
      <x:c r="I61" s="17" t="n">
        <x:v>5.25</x:v>
      </x:c>
      <x:c r="J61" s="17"/>
      <x:c r="K61" s="17"/>
      <x:c r="L61" s="17" t="str">
        <x:v>高斯计</x:v>
      </x:c>
      <x:c r="M61" s="17" t="str">
        <x:v>首批前确认</x:v>
      </x:c>
    </x:row>
    <x:row r="62">
      <x:c r="A62" s="17" t="str">
        <x:v>DEV-03</x:v>
      </x:c>
      <x:c r="B62" s="17" t="str">
        <x:v>B03</x:v>
      </x:c>
      <x:c r="C62" s="17" t="str">
        <x:v>X1Y2Z1</x:v>
      </x:c>
      <x:c r="D62" s="17" t="n">
        <x:v>-1</x:v>
      </x:c>
      <x:c r="E62" s="17" t="n">
        <x:v>0</x:v>
      </x:c>
      <x:c r="F62" s="17" t="n">
        <x:v>-1</x:v>
      </x:c>
      <x:c r="G62" s="17" t="n">
        <x:v>5</x:v>
      </x:c>
      <x:c r="H62" s="17" t="n">
        <x:v>4.75</x:v>
      </x:c>
      <x:c r="I62" s="17" t="n">
        <x:v>5.25</x:v>
      </x:c>
      <x:c r="J62" s="17"/>
      <x:c r="K62" s="17"/>
      <x:c r="L62" s="17" t="str">
        <x:v>高斯计</x:v>
      </x:c>
      <x:c r="M62" s="17" t="str">
        <x:v>首批前确认</x:v>
      </x:c>
    </x:row>
    <x:row r="63">
      <x:c r="A63" s="17" t="str">
        <x:v>DEV-03</x:v>
      </x:c>
      <x:c r="B63" s="17" t="str">
        <x:v>B03</x:v>
      </x:c>
      <x:c r="C63" s="17" t="str">
        <x:v>X1Y2Z2</x:v>
      </x:c>
      <x:c r="D63" s="17" t="n">
        <x:v>-1</x:v>
      </x:c>
      <x:c r="E63" s="17" t="n">
        <x:v>0</x:v>
      </x:c>
      <x:c r="F63" s="17" t="n">
        <x:v>0</x:v>
      </x:c>
      <x:c r="G63" s="17" t="n">
        <x:v>5</x:v>
      </x:c>
      <x:c r="H63" s="17" t="n">
        <x:v>4.75</x:v>
      </x:c>
      <x:c r="I63" s="17" t="n">
        <x:v>5.25</x:v>
      </x:c>
      <x:c r="J63" s="17"/>
      <x:c r="K63" s="17"/>
      <x:c r="L63" s="17" t="str">
        <x:v>高斯计</x:v>
      </x:c>
      <x:c r="M63" s="17" t="str">
        <x:v>首批前确认</x:v>
      </x:c>
    </x:row>
    <x:row r="64">
      <x:c r="A64" s="17" t="str">
        <x:v>DEV-03</x:v>
      </x:c>
      <x:c r="B64" s="17" t="str">
        <x:v>B03</x:v>
      </x:c>
      <x:c r="C64" s="17" t="str">
        <x:v>X1Y2Z3</x:v>
      </x:c>
      <x:c r="D64" s="17" t="n">
        <x:v>-1</x:v>
      </x:c>
      <x:c r="E64" s="17" t="n">
        <x:v>0</x:v>
      </x:c>
      <x:c r="F64" s="17" t="n">
        <x:v>1</x:v>
      </x:c>
      <x:c r="G64" s="17" t="n">
        <x:v>5</x:v>
      </x:c>
      <x:c r="H64" s="17" t="n">
        <x:v>4.75</x:v>
      </x:c>
      <x:c r="I64" s="17" t="n">
        <x:v>5.25</x:v>
      </x:c>
      <x:c r="J64" s="17"/>
      <x:c r="K64" s="17"/>
      <x:c r="L64" s="17" t="str">
        <x:v>高斯计</x:v>
      </x:c>
      <x:c r="M64" s="17" t="str">
        <x:v>首批前确认</x:v>
      </x:c>
    </x:row>
    <x:row r="65">
      <x:c r="A65" s="17" t="str">
        <x:v>DEV-03</x:v>
      </x:c>
      <x:c r="B65" s="17" t="str">
        <x:v>B03</x:v>
      </x:c>
      <x:c r="C65" s="17" t="str">
        <x:v>X1Y3Z1</x:v>
      </x:c>
      <x:c r="D65" s="17" t="n">
        <x:v>-1</x:v>
      </x:c>
      <x:c r="E65" s="17" t="n">
        <x:v>1</x:v>
      </x:c>
      <x:c r="F65" s="17" t="n">
        <x:v>-1</x:v>
      </x:c>
      <x:c r="G65" s="17" t="n">
        <x:v>5</x:v>
      </x:c>
      <x:c r="H65" s="17" t="n">
        <x:v>4.75</x:v>
      </x:c>
      <x:c r="I65" s="17" t="n">
        <x:v>5.25</x:v>
      </x:c>
      <x:c r="J65" s="17"/>
      <x:c r="K65" s="17"/>
      <x:c r="L65" s="17" t="str">
        <x:v>高斯计</x:v>
      </x:c>
      <x:c r="M65" s="17" t="str">
        <x:v>首批前确认</x:v>
      </x:c>
    </x:row>
    <x:row r="66">
      <x:c r="A66" s="17" t="str">
        <x:v>DEV-03</x:v>
      </x:c>
      <x:c r="B66" s="17" t="str">
        <x:v>B03</x:v>
      </x:c>
      <x:c r="C66" s="17" t="str">
        <x:v>X1Y3Z2</x:v>
      </x:c>
      <x:c r="D66" s="17" t="n">
        <x:v>-1</x:v>
      </x:c>
      <x:c r="E66" s="17" t="n">
        <x:v>1</x:v>
      </x:c>
      <x:c r="F66" s="17" t="n">
        <x:v>0</x:v>
      </x:c>
      <x:c r="G66" s="17" t="n">
        <x:v>5</x:v>
      </x:c>
      <x:c r="H66" s="17" t="n">
        <x:v>4.75</x:v>
      </x:c>
      <x:c r="I66" s="17" t="n">
        <x:v>5.25</x:v>
      </x:c>
      <x:c r="J66" s="17"/>
      <x:c r="K66" s="17"/>
      <x:c r="L66" s="17" t="str">
        <x:v>高斯计</x:v>
      </x:c>
      <x:c r="M66" s="17" t="str">
        <x:v>首批前确认</x:v>
      </x:c>
    </x:row>
    <x:row r="67">
      <x:c r="A67" s="17" t="str">
        <x:v>DEV-03</x:v>
      </x:c>
      <x:c r="B67" s="17" t="str">
        <x:v>B03</x:v>
      </x:c>
      <x:c r="C67" s="17" t="str">
        <x:v>X1Y3Z3</x:v>
      </x:c>
      <x:c r="D67" s="17" t="n">
        <x:v>-1</x:v>
      </x:c>
      <x:c r="E67" s="17" t="n">
        <x:v>1</x:v>
      </x:c>
      <x:c r="F67" s="17" t="n">
        <x:v>1</x:v>
      </x:c>
      <x:c r="G67" s="17" t="n">
        <x:v>5</x:v>
      </x:c>
      <x:c r="H67" s="17" t="n">
        <x:v>4.75</x:v>
      </x:c>
      <x:c r="I67" s="17" t="n">
        <x:v>5.25</x:v>
      </x:c>
      <x:c r="J67" s="17"/>
      <x:c r="K67" s="17"/>
      <x:c r="L67" s="17" t="str">
        <x:v>高斯计</x:v>
      </x:c>
      <x:c r="M67" s="17" t="str">
        <x:v>首批前确认</x:v>
      </x:c>
    </x:row>
    <x:row r="68">
      <x:c r="A68" s="17" t="str">
        <x:v>DEV-03</x:v>
      </x:c>
      <x:c r="B68" s="17" t="str">
        <x:v>B03</x:v>
      </x:c>
      <x:c r="C68" s="17" t="str">
        <x:v>X2Y1Z1</x:v>
      </x:c>
      <x:c r="D68" s="17" t="n">
        <x:v>0</x:v>
      </x:c>
      <x:c r="E68" s="17" t="n">
        <x:v>-1</x:v>
      </x:c>
      <x:c r="F68" s="17" t="n">
        <x:v>-1</x:v>
      </x:c>
      <x:c r="G68" s="17" t="n">
        <x:v>5</x:v>
      </x:c>
      <x:c r="H68" s="17" t="n">
        <x:v>4.75</x:v>
      </x:c>
      <x:c r="I68" s="17" t="n">
        <x:v>5.25</x:v>
      </x:c>
      <x:c r="J68" s="17"/>
      <x:c r="K68" s="17"/>
      <x:c r="L68" s="17" t="str">
        <x:v>高斯计</x:v>
      </x:c>
      <x:c r="M68" s="17" t="str">
        <x:v>首批前确认</x:v>
      </x:c>
    </x:row>
    <x:row r="69">
      <x:c r="A69" s="17" t="str">
        <x:v>DEV-03</x:v>
      </x:c>
      <x:c r="B69" s="17" t="str">
        <x:v>B03</x:v>
      </x:c>
      <x:c r="C69" s="17" t="str">
        <x:v>X2Y1Z2</x:v>
      </x:c>
      <x:c r="D69" s="17" t="n">
        <x:v>0</x:v>
      </x:c>
      <x:c r="E69" s="17" t="n">
        <x:v>-1</x:v>
      </x:c>
      <x:c r="F69" s="17" t="n">
        <x:v>0</x:v>
      </x:c>
      <x:c r="G69" s="17" t="n">
        <x:v>5</x:v>
      </x:c>
      <x:c r="H69" s="17" t="n">
        <x:v>4.75</x:v>
      </x:c>
      <x:c r="I69" s="17" t="n">
        <x:v>5.25</x:v>
      </x:c>
      <x:c r="J69" s="17"/>
      <x:c r="K69" s="17"/>
      <x:c r="L69" s="17" t="str">
        <x:v>高斯计</x:v>
      </x:c>
      <x:c r="M69" s="17" t="str">
        <x:v>首批前确认</x:v>
      </x:c>
    </x:row>
    <x:row r="70">
      <x:c r="A70" s="17" t="str">
        <x:v>DEV-03</x:v>
      </x:c>
      <x:c r="B70" s="17" t="str">
        <x:v>B03</x:v>
      </x:c>
      <x:c r="C70" s="17" t="str">
        <x:v>X2Y1Z3</x:v>
      </x:c>
      <x:c r="D70" s="17" t="n">
        <x:v>0</x:v>
      </x:c>
      <x:c r="E70" s="17" t="n">
        <x:v>-1</x:v>
      </x:c>
      <x:c r="F70" s="17" t="n">
        <x:v>1</x:v>
      </x:c>
      <x:c r="G70" s="17" t="n">
        <x:v>5</x:v>
      </x:c>
      <x:c r="H70" s="17" t="n">
        <x:v>4.75</x:v>
      </x:c>
      <x:c r="I70" s="17" t="n">
        <x:v>5.25</x:v>
      </x:c>
      <x:c r="J70" s="17"/>
      <x:c r="K70" s="17"/>
      <x:c r="L70" s="17" t="str">
        <x:v>高斯计</x:v>
      </x:c>
      <x:c r="M70" s="17" t="str">
        <x:v>首批前确认</x:v>
      </x:c>
    </x:row>
    <x:row r="71">
      <x:c r="A71" s="17" t="str">
        <x:v>DEV-03</x:v>
      </x:c>
      <x:c r="B71" s="17" t="str">
        <x:v>B03</x:v>
      </x:c>
      <x:c r="C71" s="17" t="str">
        <x:v>X2Y2Z1</x:v>
      </x:c>
      <x:c r="D71" s="17" t="n">
        <x:v>0</x:v>
      </x:c>
      <x:c r="E71" s="17" t="n">
        <x:v>0</x:v>
      </x:c>
      <x:c r="F71" s="17" t="n">
        <x:v>-1</x:v>
      </x:c>
      <x:c r="G71" s="17" t="n">
        <x:v>5</x:v>
      </x:c>
      <x:c r="H71" s="17" t="n">
        <x:v>4.75</x:v>
      </x:c>
      <x:c r="I71" s="17" t="n">
        <x:v>5.25</x:v>
      </x:c>
      <x:c r="J71" s="17"/>
      <x:c r="K71" s="17"/>
      <x:c r="L71" s="17" t="str">
        <x:v>高斯计</x:v>
      </x:c>
      <x:c r="M71" s="17" t="str">
        <x:v>首批前确认</x:v>
      </x:c>
    </x:row>
    <x:row r="72">
      <x:c r="A72" s="17" t="str">
        <x:v>DEV-03</x:v>
      </x:c>
      <x:c r="B72" s="17" t="str">
        <x:v>B03</x:v>
      </x:c>
      <x:c r="C72" s="17" t="str">
        <x:v>X2Y2Z2</x:v>
      </x:c>
      <x:c r="D72" s="17" t="n">
        <x:v>0</x:v>
      </x:c>
      <x:c r="E72" s="17" t="n">
        <x:v>0</x:v>
      </x:c>
      <x:c r="F72" s="17" t="n">
        <x:v>0</x:v>
      </x:c>
      <x:c r="G72" s="17" t="n">
        <x:v>5</x:v>
      </x:c>
      <x:c r="H72" s="17" t="n">
        <x:v>4.75</x:v>
      </x:c>
      <x:c r="I72" s="17" t="n">
        <x:v>5.25</x:v>
      </x:c>
      <x:c r="J72" s="17"/>
      <x:c r="K72" s="17"/>
      <x:c r="L72" s="17" t="str">
        <x:v>高斯计</x:v>
      </x:c>
      <x:c r="M72" s="17" t="str">
        <x:v>首批前确认</x:v>
      </x:c>
    </x:row>
    <x:row r="73">
      <x:c r="A73" s="17" t="str">
        <x:v>DEV-03</x:v>
      </x:c>
      <x:c r="B73" s="17" t="str">
        <x:v>B03</x:v>
      </x:c>
      <x:c r="C73" s="17" t="str">
        <x:v>X2Y2Z3</x:v>
      </x:c>
      <x:c r="D73" s="17" t="n">
        <x:v>0</x:v>
      </x:c>
      <x:c r="E73" s="17" t="n">
        <x:v>0</x:v>
      </x:c>
      <x:c r="F73" s="17" t="n">
        <x:v>1</x:v>
      </x:c>
      <x:c r="G73" s="17" t="n">
        <x:v>5</x:v>
      </x:c>
      <x:c r="H73" s="17" t="n">
        <x:v>4.75</x:v>
      </x:c>
      <x:c r="I73" s="17" t="n">
        <x:v>5.25</x:v>
      </x:c>
      <x:c r="J73" s="17"/>
      <x:c r="K73" s="17"/>
      <x:c r="L73" s="17" t="str">
        <x:v>高斯计</x:v>
      </x:c>
      <x:c r="M73" s="17" t="str">
        <x:v>首批前确认</x:v>
      </x:c>
    </x:row>
    <x:row r="74">
      <x:c r="A74" s="17" t="str">
        <x:v>DEV-03</x:v>
      </x:c>
      <x:c r="B74" s="17" t="str">
        <x:v>B03</x:v>
      </x:c>
      <x:c r="C74" s="17" t="str">
        <x:v>X2Y3Z1</x:v>
      </x:c>
      <x:c r="D74" s="17" t="n">
        <x:v>0</x:v>
      </x:c>
      <x:c r="E74" s="17" t="n">
        <x:v>1</x:v>
      </x:c>
      <x:c r="F74" s="17" t="n">
        <x:v>-1</x:v>
      </x:c>
      <x:c r="G74" s="17" t="n">
        <x:v>5</x:v>
      </x:c>
      <x:c r="H74" s="17" t="n">
        <x:v>4.75</x:v>
      </x:c>
      <x:c r="I74" s="17" t="n">
        <x:v>5.25</x:v>
      </x:c>
      <x:c r="J74" s="17"/>
      <x:c r="K74" s="17"/>
      <x:c r="L74" s="17" t="str">
        <x:v>高斯计</x:v>
      </x:c>
      <x:c r="M74" s="17" t="str">
        <x:v>首批前确认</x:v>
      </x:c>
    </x:row>
    <x:row r="75">
      <x:c r="A75" s="17" t="str">
        <x:v>DEV-03</x:v>
      </x:c>
      <x:c r="B75" s="17" t="str">
        <x:v>B03</x:v>
      </x:c>
      <x:c r="C75" s="17" t="str">
        <x:v>X2Y3Z2</x:v>
      </x:c>
      <x:c r="D75" s="17" t="n">
        <x:v>0</x:v>
      </x:c>
      <x:c r="E75" s="17" t="n">
        <x:v>1</x:v>
      </x:c>
      <x:c r="F75" s="17" t="n">
        <x:v>0</x:v>
      </x:c>
      <x:c r="G75" s="17" t="n">
        <x:v>5</x:v>
      </x:c>
      <x:c r="H75" s="17" t="n">
        <x:v>4.75</x:v>
      </x:c>
      <x:c r="I75" s="17" t="n">
        <x:v>5.25</x:v>
      </x:c>
      <x:c r="J75" s="17"/>
      <x:c r="K75" s="17"/>
      <x:c r="L75" s="17" t="str">
        <x:v>高斯计</x:v>
      </x:c>
      <x:c r="M75" s="17" t="str">
        <x:v>首批前确认</x:v>
      </x:c>
    </x:row>
    <x:row r="76">
      <x:c r="A76" s="17" t="str">
        <x:v>DEV-03</x:v>
      </x:c>
      <x:c r="B76" s="17" t="str">
        <x:v>B03</x:v>
      </x:c>
      <x:c r="C76" s="17" t="str">
        <x:v>X2Y3Z3</x:v>
      </x:c>
      <x:c r="D76" s="17" t="n">
        <x:v>0</x:v>
      </x:c>
      <x:c r="E76" s="17" t="n">
        <x:v>1</x:v>
      </x:c>
      <x:c r="F76" s="17" t="n">
        <x:v>1</x:v>
      </x:c>
      <x:c r="G76" s="17" t="n">
        <x:v>5</x:v>
      </x:c>
      <x:c r="H76" s="17" t="n">
        <x:v>4.75</x:v>
      </x:c>
      <x:c r="I76" s="17" t="n">
        <x:v>5.25</x:v>
      </x:c>
      <x:c r="J76" s="17"/>
      <x:c r="K76" s="17"/>
      <x:c r="L76" s="17" t="str">
        <x:v>高斯计</x:v>
      </x:c>
      <x:c r="M76" s="17" t="str">
        <x:v>首批前确认</x:v>
      </x:c>
    </x:row>
    <x:row r="77">
      <x:c r="A77" s="17" t="str">
        <x:v>DEV-03</x:v>
      </x:c>
      <x:c r="B77" s="17" t="str">
        <x:v>B03</x:v>
      </x:c>
      <x:c r="C77" s="17" t="str">
        <x:v>X3Y1Z1</x:v>
      </x:c>
      <x:c r="D77" s="17" t="n">
        <x:v>1</x:v>
      </x:c>
      <x:c r="E77" s="17" t="n">
        <x:v>-1</x:v>
      </x:c>
      <x:c r="F77" s="17" t="n">
        <x:v>-1</x:v>
      </x:c>
      <x:c r="G77" s="17" t="n">
        <x:v>5</x:v>
      </x:c>
      <x:c r="H77" s="17" t="n">
        <x:v>4.75</x:v>
      </x:c>
      <x:c r="I77" s="17" t="n">
        <x:v>5.25</x:v>
      </x:c>
      <x:c r="J77" s="17"/>
      <x:c r="K77" s="17"/>
      <x:c r="L77" s="17" t="str">
        <x:v>高斯计</x:v>
      </x:c>
      <x:c r="M77" s="17" t="str">
        <x:v>首批前确认</x:v>
      </x:c>
    </x:row>
    <x:row r="78">
      <x:c r="A78" s="17" t="str">
        <x:v>DEV-03</x:v>
      </x:c>
      <x:c r="B78" s="17" t="str">
        <x:v>B03</x:v>
      </x:c>
      <x:c r="C78" s="17" t="str">
        <x:v>X3Y1Z2</x:v>
      </x:c>
      <x:c r="D78" s="17" t="n">
        <x:v>1</x:v>
      </x:c>
      <x:c r="E78" s="17" t="n">
        <x:v>-1</x:v>
      </x:c>
      <x:c r="F78" s="17" t="n">
        <x:v>0</x:v>
      </x:c>
      <x:c r="G78" s="17" t="n">
        <x:v>5</x:v>
      </x:c>
      <x:c r="H78" s="17" t="n">
        <x:v>4.75</x:v>
      </x:c>
      <x:c r="I78" s="17" t="n">
        <x:v>5.25</x:v>
      </x:c>
      <x:c r="J78" s="17"/>
      <x:c r="K78" s="17"/>
      <x:c r="L78" s="17" t="str">
        <x:v>高斯计</x:v>
      </x:c>
      <x:c r="M78" s="17" t="str">
        <x:v>首批前确认</x:v>
      </x:c>
    </x:row>
    <x:row r="79">
      <x:c r="A79" s="17" t="str">
        <x:v>DEV-03</x:v>
      </x:c>
      <x:c r="B79" s="17" t="str">
        <x:v>B03</x:v>
      </x:c>
      <x:c r="C79" s="17" t="str">
        <x:v>X3Y1Z3</x:v>
      </x:c>
      <x:c r="D79" s="17" t="n">
        <x:v>1</x:v>
      </x:c>
      <x:c r="E79" s="17" t="n">
        <x:v>-1</x:v>
      </x:c>
      <x:c r="F79" s="17" t="n">
        <x:v>1</x:v>
      </x:c>
      <x:c r="G79" s="17" t="n">
        <x:v>5</x:v>
      </x:c>
      <x:c r="H79" s="17" t="n">
        <x:v>4.75</x:v>
      </x:c>
      <x:c r="I79" s="17" t="n">
        <x:v>5.25</x:v>
      </x:c>
      <x:c r="J79" s="17"/>
      <x:c r="K79" s="17"/>
      <x:c r="L79" s="17" t="str">
        <x:v>高斯计</x:v>
      </x:c>
      <x:c r="M79" s="17" t="str">
        <x:v>首批前确认</x:v>
      </x:c>
    </x:row>
    <x:row r="80">
      <x:c r="A80" s="17" t="str">
        <x:v>DEV-03</x:v>
      </x:c>
      <x:c r="B80" s="17" t="str">
        <x:v>B03</x:v>
      </x:c>
      <x:c r="C80" s="17" t="str">
        <x:v>X3Y2Z1</x:v>
      </x:c>
      <x:c r="D80" s="17" t="n">
        <x:v>1</x:v>
      </x:c>
      <x:c r="E80" s="17" t="n">
        <x:v>0</x:v>
      </x:c>
      <x:c r="F80" s="17" t="n">
        <x:v>-1</x:v>
      </x:c>
      <x:c r="G80" s="17" t="n">
        <x:v>5</x:v>
      </x:c>
      <x:c r="H80" s="17" t="n">
        <x:v>4.75</x:v>
      </x:c>
      <x:c r="I80" s="17" t="n">
        <x:v>5.25</x:v>
      </x:c>
      <x:c r="J80" s="17"/>
      <x:c r="K80" s="17"/>
      <x:c r="L80" s="17" t="str">
        <x:v>高斯计</x:v>
      </x:c>
      <x:c r="M80" s="17" t="str">
        <x:v>首批前确认</x:v>
      </x:c>
    </x:row>
    <x:row r="81">
      <x:c r="A81" s="17" t="str">
        <x:v>DEV-03</x:v>
      </x:c>
      <x:c r="B81" s="17" t="str">
        <x:v>B03</x:v>
      </x:c>
      <x:c r="C81" s="17" t="str">
        <x:v>X3Y2Z2</x:v>
      </x:c>
      <x:c r="D81" s="17" t="n">
        <x:v>1</x:v>
      </x:c>
      <x:c r="E81" s="17" t="n">
        <x:v>0</x:v>
      </x:c>
      <x:c r="F81" s="17" t="n">
        <x:v>0</x:v>
      </x:c>
      <x:c r="G81" s="17" t="n">
        <x:v>5</x:v>
      </x:c>
      <x:c r="H81" s="17" t="n">
        <x:v>4.75</x:v>
      </x:c>
      <x:c r="I81" s="17" t="n">
        <x:v>5.25</x:v>
      </x:c>
      <x:c r="J81" s="17"/>
      <x:c r="K81" s="17"/>
      <x:c r="L81" s="17" t="str">
        <x:v>高斯计</x:v>
      </x:c>
      <x:c r="M81" s="17" t="str">
        <x:v>首批前确认</x:v>
      </x:c>
    </x:row>
    <x:row r="82">
      <x:c r="A82" s="17" t="str">
        <x:v>DEV-03</x:v>
      </x:c>
      <x:c r="B82" s="17" t="str">
        <x:v>B03</x:v>
      </x:c>
      <x:c r="C82" s="17" t="str">
        <x:v>X3Y2Z3</x:v>
      </x:c>
      <x:c r="D82" s="17" t="n">
        <x:v>1</x:v>
      </x:c>
      <x:c r="E82" s="17" t="n">
        <x:v>0</x:v>
      </x:c>
      <x:c r="F82" s="17" t="n">
        <x:v>1</x:v>
      </x:c>
      <x:c r="G82" s="17" t="n">
        <x:v>5</x:v>
      </x:c>
      <x:c r="H82" s="17" t="n">
        <x:v>4.75</x:v>
      </x:c>
      <x:c r="I82" s="17" t="n">
        <x:v>5.25</x:v>
      </x:c>
      <x:c r="J82" s="17"/>
      <x:c r="K82" s="17"/>
      <x:c r="L82" s="17" t="str">
        <x:v>高斯计</x:v>
      </x:c>
      <x:c r="M82" s="17" t="str">
        <x:v>首批前确认</x:v>
      </x:c>
    </x:row>
    <x:row r="83">
      <x:c r="A83" s="17" t="str">
        <x:v>DEV-03</x:v>
      </x:c>
      <x:c r="B83" s="17" t="str">
        <x:v>B03</x:v>
      </x:c>
      <x:c r="C83" s="17" t="str">
        <x:v>X3Y3Z1</x:v>
      </x:c>
      <x:c r="D83" s="17" t="n">
        <x:v>1</x:v>
      </x:c>
      <x:c r="E83" s="17" t="n">
        <x:v>1</x:v>
      </x:c>
      <x:c r="F83" s="17" t="n">
        <x:v>-1</x:v>
      </x:c>
      <x:c r="G83" s="17" t="n">
        <x:v>5</x:v>
      </x:c>
      <x:c r="H83" s="17" t="n">
        <x:v>4.75</x:v>
      </x:c>
      <x:c r="I83" s="17" t="n">
        <x:v>5.25</x:v>
      </x:c>
      <x:c r="J83" s="17"/>
      <x:c r="K83" s="17"/>
      <x:c r="L83" s="17" t="str">
        <x:v>高斯计</x:v>
      </x:c>
      <x:c r="M83" s="17" t="str">
        <x:v>首批前确认</x:v>
      </x:c>
    </x:row>
    <x:row r="84">
      <x:c r="A84" s="17" t="str">
        <x:v>DEV-03</x:v>
      </x:c>
      <x:c r="B84" s="17" t="str">
        <x:v>B03</x:v>
      </x:c>
      <x:c r="C84" s="17" t="str">
        <x:v>X3Y3Z2</x:v>
      </x:c>
      <x:c r="D84" s="17" t="n">
        <x:v>1</x:v>
      </x:c>
      <x:c r="E84" s="17" t="n">
        <x:v>1</x:v>
      </x:c>
      <x:c r="F84" s="17" t="n">
        <x:v>0</x:v>
      </x:c>
      <x:c r="G84" s="17" t="n">
        <x:v>5</x:v>
      </x:c>
      <x:c r="H84" s="17" t="n">
        <x:v>4.75</x:v>
      </x:c>
      <x:c r="I84" s="17" t="n">
        <x:v>5.25</x:v>
      </x:c>
      <x:c r="J84" s="17"/>
      <x:c r="K84" s="17"/>
      <x:c r="L84" s="17" t="str">
        <x:v>高斯计</x:v>
      </x:c>
      <x:c r="M84" s="17" t="str">
        <x:v>首批前确认</x:v>
      </x:c>
    </x:row>
    <x:row r="85">
      <x:c r="A85" s="17" t="str">
        <x:v>DEV-03</x:v>
      </x:c>
      <x:c r="B85" s="17" t="str">
        <x:v>B03</x:v>
      </x:c>
      <x:c r="C85" s="17" t="str">
        <x:v>X3Y3Z3</x:v>
      </x:c>
      <x:c r="D85" s="17" t="n">
        <x:v>1</x:v>
      </x:c>
      <x:c r="E85" s="17" t="n">
        <x:v>1</x:v>
      </x:c>
      <x:c r="F85" s="17" t="n">
        <x:v>1</x:v>
      </x:c>
      <x:c r="G85" s="17" t="n">
        <x:v>5</x:v>
      </x:c>
      <x:c r="H85" s="17" t="n">
        <x:v>4.75</x:v>
      </x:c>
      <x:c r="I85" s="17" t="n">
        <x:v>5.25</x:v>
      </x:c>
      <x:c r="J85" s="17"/>
      <x:c r="K85" s="17"/>
      <x:c r="L85" s="17" t="str">
        <x:v>高斯计</x:v>
      </x:c>
      <x:c r="M85" s="17" t="str">
        <x:v>首批前确认</x:v>
      </x:c>
    </x:row>
    <x:row r="86">
      <x:c r="A86" s="17" t="str">
        <x:v>DEV-04</x:v>
      </x:c>
      <x:c r="B86" s="17" t="str">
        <x:v>B04</x:v>
      </x:c>
      <x:c r="C86" s="17" t="str">
        <x:v>X1Y1Z1</x:v>
      </x:c>
      <x:c r="D86" s="17" t="n">
        <x:v>-1</x:v>
      </x:c>
      <x:c r="E86" s="17" t="n">
        <x:v>-1</x:v>
      </x:c>
      <x:c r="F86" s="17" t="n">
        <x:v>-1</x:v>
      </x:c>
      <x:c r="G86" s="17" t="n">
        <x:v>5</x:v>
      </x:c>
      <x:c r="H86" s="17" t="n">
        <x:v>4.75</x:v>
      </x:c>
      <x:c r="I86" s="17" t="n">
        <x:v>5.25</x:v>
      </x:c>
      <x:c r="J86" s="17"/>
      <x:c r="K86" s="17"/>
      <x:c r="L86" s="17" t="str">
        <x:v>高斯计</x:v>
      </x:c>
      <x:c r="M86" s="17" t="str">
        <x:v>首批前确认</x:v>
      </x:c>
    </x:row>
    <x:row r="87">
      <x:c r="A87" s="17" t="str">
        <x:v>DEV-04</x:v>
      </x:c>
      <x:c r="B87" s="17" t="str">
        <x:v>B04</x:v>
      </x:c>
      <x:c r="C87" s="17" t="str">
        <x:v>X1Y1Z2</x:v>
      </x:c>
      <x:c r="D87" s="17" t="n">
        <x:v>-1</x:v>
      </x:c>
      <x:c r="E87" s="17" t="n">
        <x:v>-1</x:v>
      </x:c>
      <x:c r="F87" s="17" t="n">
        <x:v>0</x:v>
      </x:c>
      <x:c r="G87" s="17" t="n">
        <x:v>5</x:v>
      </x:c>
      <x:c r="H87" s="17" t="n">
        <x:v>4.75</x:v>
      </x:c>
      <x:c r="I87" s="17" t="n">
        <x:v>5.25</x:v>
      </x:c>
      <x:c r="J87" s="17"/>
      <x:c r="K87" s="17"/>
      <x:c r="L87" s="17" t="str">
        <x:v>高斯计</x:v>
      </x:c>
      <x:c r="M87" s="17" t="str">
        <x:v>首批前确认</x:v>
      </x:c>
    </x:row>
    <x:row r="88">
      <x:c r="A88" s="17" t="str">
        <x:v>DEV-04</x:v>
      </x:c>
      <x:c r="B88" s="17" t="str">
        <x:v>B04</x:v>
      </x:c>
      <x:c r="C88" s="17" t="str">
        <x:v>X1Y1Z3</x:v>
      </x:c>
      <x:c r="D88" s="17" t="n">
        <x:v>-1</x:v>
      </x:c>
      <x:c r="E88" s="17" t="n">
        <x:v>-1</x:v>
      </x:c>
      <x:c r="F88" s="17" t="n">
        <x:v>1</x:v>
      </x:c>
      <x:c r="G88" s="17" t="n">
        <x:v>5</x:v>
      </x:c>
      <x:c r="H88" s="17" t="n">
        <x:v>4.75</x:v>
      </x:c>
      <x:c r="I88" s="17" t="n">
        <x:v>5.25</x:v>
      </x:c>
      <x:c r="J88" s="17"/>
      <x:c r="K88" s="17"/>
      <x:c r="L88" s="17" t="str">
        <x:v>高斯计</x:v>
      </x:c>
      <x:c r="M88" s="17" t="str">
        <x:v>首批前确认</x:v>
      </x:c>
    </x:row>
    <x:row r="89">
      <x:c r="A89" s="17" t="str">
        <x:v>DEV-04</x:v>
      </x:c>
      <x:c r="B89" s="17" t="str">
        <x:v>B04</x:v>
      </x:c>
      <x:c r="C89" s="17" t="str">
        <x:v>X1Y2Z1</x:v>
      </x:c>
      <x:c r="D89" s="17" t="n">
        <x:v>-1</x:v>
      </x:c>
      <x:c r="E89" s="17" t="n">
        <x:v>0</x:v>
      </x:c>
      <x:c r="F89" s="17" t="n">
        <x:v>-1</x:v>
      </x:c>
      <x:c r="G89" s="17" t="n">
        <x:v>5</x:v>
      </x:c>
      <x:c r="H89" s="17" t="n">
        <x:v>4.75</x:v>
      </x:c>
      <x:c r="I89" s="17" t="n">
        <x:v>5.25</x:v>
      </x:c>
      <x:c r="J89" s="17"/>
      <x:c r="K89" s="17"/>
      <x:c r="L89" s="17" t="str">
        <x:v>高斯计</x:v>
      </x:c>
      <x:c r="M89" s="17" t="str">
        <x:v>首批前确认</x:v>
      </x:c>
    </x:row>
    <x:row r="90">
      <x:c r="A90" s="17" t="str">
        <x:v>DEV-04</x:v>
      </x:c>
      <x:c r="B90" s="17" t="str">
        <x:v>B04</x:v>
      </x:c>
      <x:c r="C90" s="17" t="str">
        <x:v>X1Y2Z2</x:v>
      </x:c>
      <x:c r="D90" s="17" t="n">
        <x:v>-1</x:v>
      </x:c>
      <x:c r="E90" s="17" t="n">
        <x:v>0</x:v>
      </x:c>
      <x:c r="F90" s="17" t="n">
        <x:v>0</x:v>
      </x:c>
      <x:c r="G90" s="17" t="n">
        <x:v>5</x:v>
      </x:c>
      <x:c r="H90" s="17" t="n">
        <x:v>4.75</x:v>
      </x:c>
      <x:c r="I90" s="17" t="n">
        <x:v>5.25</x:v>
      </x:c>
      <x:c r="J90" s="17"/>
      <x:c r="K90" s="17"/>
      <x:c r="L90" s="17" t="str">
        <x:v>高斯计</x:v>
      </x:c>
      <x:c r="M90" s="17" t="str">
        <x:v>首批前确认</x:v>
      </x:c>
    </x:row>
    <x:row r="91">
      <x:c r="A91" s="17" t="str">
        <x:v>DEV-04</x:v>
      </x:c>
      <x:c r="B91" s="17" t="str">
        <x:v>B04</x:v>
      </x:c>
      <x:c r="C91" s="17" t="str">
        <x:v>X1Y2Z3</x:v>
      </x:c>
      <x:c r="D91" s="17" t="n">
        <x:v>-1</x:v>
      </x:c>
      <x:c r="E91" s="17" t="n">
        <x:v>0</x:v>
      </x:c>
      <x:c r="F91" s="17" t="n">
        <x:v>1</x:v>
      </x:c>
      <x:c r="G91" s="17" t="n">
        <x:v>5</x:v>
      </x:c>
      <x:c r="H91" s="17" t="n">
        <x:v>4.75</x:v>
      </x:c>
      <x:c r="I91" s="17" t="n">
        <x:v>5.25</x:v>
      </x:c>
      <x:c r="J91" s="17"/>
      <x:c r="K91" s="17"/>
      <x:c r="L91" s="17" t="str">
        <x:v>高斯计</x:v>
      </x:c>
      <x:c r="M91" s="17" t="str">
        <x:v>首批前确认</x:v>
      </x:c>
    </x:row>
    <x:row r="92">
      <x:c r="A92" s="17" t="str">
        <x:v>DEV-04</x:v>
      </x:c>
      <x:c r="B92" s="17" t="str">
        <x:v>B04</x:v>
      </x:c>
      <x:c r="C92" s="17" t="str">
        <x:v>X1Y3Z1</x:v>
      </x:c>
      <x:c r="D92" s="17" t="n">
        <x:v>-1</x:v>
      </x:c>
      <x:c r="E92" s="17" t="n">
        <x:v>1</x:v>
      </x:c>
      <x:c r="F92" s="17" t="n">
        <x:v>-1</x:v>
      </x:c>
      <x:c r="G92" s="17" t="n">
        <x:v>5</x:v>
      </x:c>
      <x:c r="H92" s="17" t="n">
        <x:v>4.75</x:v>
      </x:c>
      <x:c r="I92" s="17" t="n">
        <x:v>5.25</x:v>
      </x:c>
      <x:c r="J92" s="17"/>
      <x:c r="K92" s="17"/>
      <x:c r="L92" s="17" t="str">
        <x:v>高斯计</x:v>
      </x:c>
      <x:c r="M92" s="17" t="str">
        <x:v>首批前确认</x:v>
      </x:c>
    </x:row>
    <x:row r="93">
      <x:c r="A93" s="17" t="str">
        <x:v>DEV-04</x:v>
      </x:c>
      <x:c r="B93" s="17" t="str">
        <x:v>B04</x:v>
      </x:c>
      <x:c r="C93" s="17" t="str">
        <x:v>X1Y3Z2</x:v>
      </x:c>
      <x:c r="D93" s="17" t="n">
        <x:v>-1</x:v>
      </x:c>
      <x:c r="E93" s="17" t="n">
        <x:v>1</x:v>
      </x:c>
      <x:c r="F93" s="17" t="n">
        <x:v>0</x:v>
      </x:c>
      <x:c r="G93" s="17" t="n">
        <x:v>5</x:v>
      </x:c>
      <x:c r="H93" s="17" t="n">
        <x:v>4.75</x:v>
      </x:c>
      <x:c r="I93" s="17" t="n">
        <x:v>5.25</x:v>
      </x:c>
      <x:c r="J93" s="17"/>
      <x:c r="K93" s="17"/>
      <x:c r="L93" s="17" t="str">
        <x:v>高斯计</x:v>
      </x:c>
      <x:c r="M93" s="17" t="str">
        <x:v>首批前确认</x:v>
      </x:c>
    </x:row>
    <x:row r="94">
      <x:c r="A94" s="17" t="str">
        <x:v>DEV-04</x:v>
      </x:c>
      <x:c r="B94" s="17" t="str">
        <x:v>B04</x:v>
      </x:c>
      <x:c r="C94" s="17" t="str">
        <x:v>X1Y3Z3</x:v>
      </x:c>
      <x:c r="D94" s="17" t="n">
        <x:v>-1</x:v>
      </x:c>
      <x:c r="E94" s="17" t="n">
        <x:v>1</x:v>
      </x:c>
      <x:c r="F94" s="17" t="n">
        <x:v>1</x:v>
      </x:c>
      <x:c r="G94" s="17" t="n">
        <x:v>5</x:v>
      </x:c>
      <x:c r="H94" s="17" t="n">
        <x:v>4.75</x:v>
      </x:c>
      <x:c r="I94" s="17" t="n">
        <x:v>5.25</x:v>
      </x:c>
      <x:c r="J94" s="17"/>
      <x:c r="K94" s="17"/>
      <x:c r="L94" s="17" t="str">
        <x:v>高斯计</x:v>
      </x:c>
      <x:c r="M94" s="17" t="str">
        <x:v>首批前确认</x:v>
      </x:c>
    </x:row>
    <x:row r="95">
      <x:c r="A95" s="17" t="str">
        <x:v>DEV-04</x:v>
      </x:c>
      <x:c r="B95" s="17" t="str">
        <x:v>B04</x:v>
      </x:c>
      <x:c r="C95" s="17" t="str">
        <x:v>X2Y1Z1</x:v>
      </x:c>
      <x:c r="D95" s="17" t="n">
        <x:v>0</x:v>
      </x:c>
      <x:c r="E95" s="17" t="n">
        <x:v>-1</x:v>
      </x:c>
      <x:c r="F95" s="17" t="n">
        <x:v>-1</x:v>
      </x:c>
      <x:c r="G95" s="17" t="n">
        <x:v>5</x:v>
      </x:c>
      <x:c r="H95" s="17" t="n">
        <x:v>4.75</x:v>
      </x:c>
      <x:c r="I95" s="17" t="n">
        <x:v>5.25</x:v>
      </x:c>
      <x:c r="J95" s="17"/>
      <x:c r="K95" s="17"/>
      <x:c r="L95" s="17" t="str">
        <x:v>高斯计</x:v>
      </x:c>
      <x:c r="M95" s="17" t="str">
        <x:v>首批前确认</x:v>
      </x:c>
    </x:row>
    <x:row r="96">
      <x:c r="A96" s="17" t="str">
        <x:v>DEV-04</x:v>
      </x:c>
      <x:c r="B96" s="17" t="str">
        <x:v>B04</x:v>
      </x:c>
      <x:c r="C96" s="17" t="str">
        <x:v>X2Y1Z2</x:v>
      </x:c>
      <x:c r="D96" s="17" t="n">
        <x:v>0</x:v>
      </x:c>
      <x:c r="E96" s="17" t="n">
        <x:v>-1</x:v>
      </x:c>
      <x:c r="F96" s="17" t="n">
        <x:v>0</x:v>
      </x:c>
      <x:c r="G96" s="17" t="n">
        <x:v>5</x:v>
      </x:c>
      <x:c r="H96" s="17" t="n">
        <x:v>4.75</x:v>
      </x:c>
      <x:c r="I96" s="17" t="n">
        <x:v>5.25</x:v>
      </x:c>
      <x:c r="J96" s="17"/>
      <x:c r="K96" s="17"/>
      <x:c r="L96" s="17" t="str">
        <x:v>高斯计</x:v>
      </x:c>
      <x:c r="M96" s="17" t="str">
        <x:v>首批前确认</x:v>
      </x:c>
    </x:row>
    <x:row r="97">
      <x:c r="A97" s="17" t="str">
        <x:v>DEV-04</x:v>
      </x:c>
      <x:c r="B97" s="17" t="str">
        <x:v>B04</x:v>
      </x:c>
      <x:c r="C97" s="17" t="str">
        <x:v>X2Y1Z3</x:v>
      </x:c>
      <x:c r="D97" s="17" t="n">
        <x:v>0</x:v>
      </x:c>
      <x:c r="E97" s="17" t="n">
        <x:v>-1</x:v>
      </x:c>
      <x:c r="F97" s="17" t="n">
        <x:v>1</x:v>
      </x:c>
      <x:c r="G97" s="17" t="n">
        <x:v>5</x:v>
      </x:c>
      <x:c r="H97" s="17" t="n">
        <x:v>4.75</x:v>
      </x:c>
      <x:c r="I97" s="17" t="n">
        <x:v>5.25</x:v>
      </x:c>
      <x:c r="J97" s="17"/>
      <x:c r="K97" s="17"/>
      <x:c r="L97" s="17" t="str">
        <x:v>高斯计</x:v>
      </x:c>
      <x:c r="M97" s="17" t="str">
        <x:v>首批前确认</x:v>
      </x:c>
    </x:row>
    <x:row r="98">
      <x:c r="A98" s="17" t="str">
        <x:v>DEV-04</x:v>
      </x:c>
      <x:c r="B98" s="17" t="str">
        <x:v>B04</x:v>
      </x:c>
      <x:c r="C98" s="17" t="str">
        <x:v>X2Y2Z1</x:v>
      </x:c>
      <x:c r="D98" s="17" t="n">
        <x:v>0</x:v>
      </x:c>
      <x:c r="E98" s="17" t="n">
        <x:v>0</x:v>
      </x:c>
      <x:c r="F98" s="17" t="n">
        <x:v>-1</x:v>
      </x:c>
      <x:c r="G98" s="17" t="n">
        <x:v>5</x:v>
      </x:c>
      <x:c r="H98" s="17" t="n">
        <x:v>4.75</x:v>
      </x:c>
      <x:c r="I98" s="17" t="n">
        <x:v>5.25</x:v>
      </x:c>
      <x:c r="J98" s="17"/>
      <x:c r="K98" s="17"/>
      <x:c r="L98" s="17" t="str">
        <x:v>高斯计</x:v>
      </x:c>
      <x:c r="M98" s="17" t="str">
        <x:v>首批前确认</x:v>
      </x:c>
    </x:row>
    <x:row r="99">
      <x:c r="A99" s="17" t="str">
        <x:v>DEV-04</x:v>
      </x:c>
      <x:c r="B99" s="17" t="str">
        <x:v>B04</x:v>
      </x:c>
      <x:c r="C99" s="17" t="str">
        <x:v>X2Y2Z2</x:v>
      </x:c>
      <x:c r="D99" s="17" t="n">
        <x:v>0</x:v>
      </x:c>
      <x:c r="E99" s="17" t="n">
        <x:v>0</x:v>
      </x:c>
      <x:c r="F99" s="17" t="n">
        <x:v>0</x:v>
      </x:c>
      <x:c r="G99" s="17" t="n">
        <x:v>5</x:v>
      </x:c>
      <x:c r="H99" s="17" t="n">
        <x:v>4.75</x:v>
      </x:c>
      <x:c r="I99" s="17" t="n">
        <x:v>5.25</x:v>
      </x:c>
      <x:c r="J99" s="17"/>
      <x:c r="K99" s="17"/>
      <x:c r="L99" s="17" t="str">
        <x:v>高斯计</x:v>
      </x:c>
      <x:c r="M99" s="17" t="str">
        <x:v>首批前确认</x:v>
      </x:c>
    </x:row>
    <x:row r="100">
      <x:c r="A100" s="17" t="str">
        <x:v>DEV-04</x:v>
      </x:c>
      <x:c r="B100" s="17" t="str">
        <x:v>B04</x:v>
      </x:c>
      <x:c r="C100" s="17" t="str">
        <x:v>X2Y2Z3</x:v>
      </x:c>
      <x:c r="D100" s="17" t="n">
        <x:v>0</x:v>
      </x:c>
      <x:c r="E100" s="17" t="n">
        <x:v>0</x:v>
      </x:c>
      <x:c r="F100" s="17" t="n">
        <x:v>1</x:v>
      </x:c>
      <x:c r="G100" s="17" t="n">
        <x:v>5</x:v>
      </x:c>
      <x:c r="H100" s="17" t="n">
        <x:v>4.75</x:v>
      </x:c>
      <x:c r="I100" s="17" t="n">
        <x:v>5.25</x:v>
      </x:c>
      <x:c r="J100" s="17"/>
      <x:c r="K100" s="17"/>
      <x:c r="L100" s="17" t="str">
        <x:v>高斯计</x:v>
      </x:c>
      <x:c r="M100" s="17" t="str">
        <x:v>首批前确认</x:v>
      </x:c>
    </x:row>
    <x:row r="101">
      <x:c r="A101" s="17" t="str">
        <x:v>DEV-04</x:v>
      </x:c>
      <x:c r="B101" s="17" t="str">
        <x:v>B04</x:v>
      </x:c>
      <x:c r="C101" s="17" t="str">
        <x:v>X2Y3Z1</x:v>
      </x:c>
      <x:c r="D101" s="17" t="n">
        <x:v>0</x:v>
      </x:c>
      <x:c r="E101" s="17" t="n">
        <x:v>1</x:v>
      </x:c>
      <x:c r="F101" s="17" t="n">
        <x:v>-1</x:v>
      </x:c>
      <x:c r="G101" s="17" t="n">
        <x:v>5</x:v>
      </x:c>
      <x:c r="H101" s="17" t="n">
        <x:v>4.75</x:v>
      </x:c>
      <x:c r="I101" s="17" t="n">
        <x:v>5.25</x:v>
      </x:c>
      <x:c r="J101" s="17"/>
      <x:c r="K101" s="17"/>
      <x:c r="L101" s="17" t="str">
        <x:v>高斯计</x:v>
      </x:c>
      <x:c r="M101" s="17" t="str">
        <x:v>首批前确认</x:v>
      </x:c>
    </x:row>
    <x:row r="102">
      <x:c r="A102" s="17" t="str">
        <x:v>DEV-04</x:v>
      </x:c>
      <x:c r="B102" s="17" t="str">
        <x:v>B04</x:v>
      </x:c>
      <x:c r="C102" s="17" t="str">
        <x:v>X2Y3Z2</x:v>
      </x:c>
      <x:c r="D102" s="17" t="n">
        <x:v>0</x:v>
      </x:c>
      <x:c r="E102" s="17" t="n">
        <x:v>1</x:v>
      </x:c>
      <x:c r="F102" s="17" t="n">
        <x:v>0</x:v>
      </x:c>
      <x:c r="G102" s="17" t="n">
        <x:v>5</x:v>
      </x:c>
      <x:c r="H102" s="17" t="n">
        <x:v>4.75</x:v>
      </x:c>
      <x:c r="I102" s="17" t="n">
        <x:v>5.25</x:v>
      </x:c>
      <x:c r="J102" s="17"/>
      <x:c r="K102" s="17"/>
      <x:c r="L102" s="17" t="str">
        <x:v>高斯计</x:v>
      </x:c>
      <x:c r="M102" s="17" t="str">
        <x:v>首批前确认</x:v>
      </x:c>
    </x:row>
    <x:row r="103">
      <x:c r="A103" s="17" t="str">
        <x:v>DEV-04</x:v>
      </x:c>
      <x:c r="B103" s="17" t="str">
        <x:v>B04</x:v>
      </x:c>
      <x:c r="C103" s="17" t="str">
        <x:v>X2Y3Z3</x:v>
      </x:c>
      <x:c r="D103" s="17" t="n">
        <x:v>0</x:v>
      </x:c>
      <x:c r="E103" s="17" t="n">
        <x:v>1</x:v>
      </x:c>
      <x:c r="F103" s="17" t="n">
        <x:v>1</x:v>
      </x:c>
      <x:c r="G103" s="17" t="n">
        <x:v>5</x:v>
      </x:c>
      <x:c r="H103" s="17" t="n">
        <x:v>4.75</x:v>
      </x:c>
      <x:c r="I103" s="17" t="n">
        <x:v>5.25</x:v>
      </x:c>
      <x:c r="J103" s="17"/>
      <x:c r="K103" s="17"/>
      <x:c r="L103" s="17" t="str">
        <x:v>高斯计</x:v>
      </x:c>
      <x:c r="M103" s="17" t="str">
        <x:v>首批前确认</x:v>
      </x:c>
    </x:row>
    <x:row r="104">
      <x:c r="A104" s="17" t="str">
        <x:v>DEV-04</x:v>
      </x:c>
      <x:c r="B104" s="17" t="str">
        <x:v>B04</x:v>
      </x:c>
      <x:c r="C104" s="17" t="str">
        <x:v>X3Y1Z1</x:v>
      </x:c>
      <x:c r="D104" s="17" t="n">
        <x:v>1</x:v>
      </x:c>
      <x:c r="E104" s="17" t="n">
        <x:v>-1</x:v>
      </x:c>
      <x:c r="F104" s="17" t="n">
        <x:v>-1</x:v>
      </x:c>
      <x:c r="G104" s="17" t="n">
        <x:v>5</x:v>
      </x:c>
      <x:c r="H104" s="17" t="n">
        <x:v>4.75</x:v>
      </x:c>
      <x:c r="I104" s="17" t="n">
        <x:v>5.25</x:v>
      </x:c>
      <x:c r="J104" s="17"/>
      <x:c r="K104" s="17"/>
      <x:c r="L104" s="17" t="str">
        <x:v>高斯计</x:v>
      </x:c>
      <x:c r="M104" s="17" t="str">
        <x:v>首批前确认</x:v>
      </x:c>
    </x:row>
    <x:row r="105">
      <x:c r="A105" s="17" t="str">
        <x:v>DEV-04</x:v>
      </x:c>
      <x:c r="B105" s="17" t="str">
        <x:v>B04</x:v>
      </x:c>
      <x:c r="C105" s="17" t="str">
        <x:v>X3Y1Z2</x:v>
      </x:c>
      <x:c r="D105" s="17" t="n">
        <x:v>1</x:v>
      </x:c>
      <x:c r="E105" s="17" t="n">
        <x:v>-1</x:v>
      </x:c>
      <x:c r="F105" s="17" t="n">
        <x:v>0</x:v>
      </x:c>
      <x:c r="G105" s="17" t="n">
        <x:v>5</x:v>
      </x:c>
      <x:c r="H105" s="17" t="n">
        <x:v>4.75</x:v>
      </x:c>
      <x:c r="I105" s="17" t="n">
        <x:v>5.25</x:v>
      </x:c>
      <x:c r="J105" s="17"/>
      <x:c r="K105" s="17"/>
      <x:c r="L105" s="17" t="str">
        <x:v>高斯计</x:v>
      </x:c>
      <x:c r="M105" s="17" t="str">
        <x:v>首批前确认</x:v>
      </x:c>
    </x:row>
    <x:row r="106">
      <x:c r="A106" s="17" t="str">
        <x:v>DEV-04</x:v>
      </x:c>
      <x:c r="B106" s="17" t="str">
        <x:v>B04</x:v>
      </x:c>
      <x:c r="C106" s="17" t="str">
        <x:v>X3Y1Z3</x:v>
      </x:c>
      <x:c r="D106" s="17" t="n">
        <x:v>1</x:v>
      </x:c>
      <x:c r="E106" s="17" t="n">
        <x:v>-1</x:v>
      </x:c>
      <x:c r="F106" s="17" t="n">
        <x:v>1</x:v>
      </x:c>
      <x:c r="G106" s="17" t="n">
        <x:v>5</x:v>
      </x:c>
      <x:c r="H106" s="17" t="n">
        <x:v>4.75</x:v>
      </x:c>
      <x:c r="I106" s="17" t="n">
        <x:v>5.25</x:v>
      </x:c>
      <x:c r="J106" s="17"/>
      <x:c r="K106" s="17"/>
      <x:c r="L106" s="17" t="str">
        <x:v>高斯计</x:v>
      </x:c>
      <x:c r="M106" s="17" t="str">
        <x:v>首批前确认</x:v>
      </x:c>
    </x:row>
    <x:row r="107">
      <x:c r="A107" s="17" t="str">
        <x:v>DEV-04</x:v>
      </x:c>
      <x:c r="B107" s="17" t="str">
        <x:v>B04</x:v>
      </x:c>
      <x:c r="C107" s="17" t="str">
        <x:v>X3Y2Z1</x:v>
      </x:c>
      <x:c r="D107" s="17" t="n">
        <x:v>1</x:v>
      </x:c>
      <x:c r="E107" s="17" t="n">
        <x:v>0</x:v>
      </x:c>
      <x:c r="F107" s="17" t="n">
        <x:v>-1</x:v>
      </x:c>
      <x:c r="G107" s="17" t="n">
        <x:v>5</x:v>
      </x:c>
      <x:c r="H107" s="17" t="n">
        <x:v>4.75</x:v>
      </x:c>
      <x:c r="I107" s="17" t="n">
        <x:v>5.25</x:v>
      </x:c>
      <x:c r="J107" s="17"/>
      <x:c r="K107" s="17"/>
      <x:c r="L107" s="17" t="str">
        <x:v>高斯计</x:v>
      </x:c>
      <x:c r="M107" s="17" t="str">
        <x:v>首批前确认</x:v>
      </x:c>
    </x:row>
    <x:row r="108">
      <x:c r="A108" s="17" t="str">
        <x:v>DEV-04</x:v>
      </x:c>
      <x:c r="B108" s="17" t="str">
        <x:v>B04</x:v>
      </x:c>
      <x:c r="C108" s="17" t="str">
        <x:v>X3Y2Z2</x:v>
      </x:c>
      <x:c r="D108" s="17" t="n">
        <x:v>1</x:v>
      </x:c>
      <x:c r="E108" s="17" t="n">
        <x:v>0</x:v>
      </x:c>
      <x:c r="F108" s="17" t="n">
        <x:v>0</x:v>
      </x:c>
      <x:c r="G108" s="17" t="n">
        <x:v>5</x:v>
      </x:c>
      <x:c r="H108" s="17" t="n">
        <x:v>4.75</x:v>
      </x:c>
      <x:c r="I108" s="17" t="n">
        <x:v>5.25</x:v>
      </x:c>
      <x:c r="J108" s="17"/>
      <x:c r="K108" s="17"/>
      <x:c r="L108" s="17" t="str">
        <x:v>高斯计</x:v>
      </x:c>
      <x:c r="M108" s="17" t="str">
        <x:v>首批前确认</x:v>
      </x:c>
    </x:row>
    <x:row r="109">
      <x:c r="A109" s="17" t="str">
        <x:v>DEV-04</x:v>
      </x:c>
      <x:c r="B109" s="17" t="str">
        <x:v>B04</x:v>
      </x:c>
      <x:c r="C109" s="17" t="str">
        <x:v>X3Y2Z3</x:v>
      </x:c>
      <x:c r="D109" s="17" t="n">
        <x:v>1</x:v>
      </x:c>
      <x:c r="E109" s="17" t="n">
        <x:v>0</x:v>
      </x:c>
      <x:c r="F109" s="17" t="n">
        <x:v>1</x:v>
      </x:c>
      <x:c r="G109" s="17" t="n">
        <x:v>5</x:v>
      </x:c>
      <x:c r="H109" s="17" t="n">
        <x:v>4.75</x:v>
      </x:c>
      <x:c r="I109" s="17" t="n">
        <x:v>5.25</x:v>
      </x:c>
      <x:c r="J109" s="17"/>
      <x:c r="K109" s="17"/>
      <x:c r="L109" s="17" t="str">
        <x:v>高斯计</x:v>
      </x:c>
      <x:c r="M109" s="17" t="str">
        <x:v>首批前确认</x:v>
      </x:c>
    </x:row>
    <x:row r="110">
      <x:c r="A110" s="17" t="str">
        <x:v>DEV-04</x:v>
      </x:c>
      <x:c r="B110" s="17" t="str">
        <x:v>B04</x:v>
      </x:c>
      <x:c r="C110" s="17" t="str">
        <x:v>X3Y3Z1</x:v>
      </x:c>
      <x:c r="D110" s="17" t="n">
        <x:v>1</x:v>
      </x:c>
      <x:c r="E110" s="17" t="n">
        <x:v>1</x:v>
      </x:c>
      <x:c r="F110" s="17" t="n">
        <x:v>-1</x:v>
      </x:c>
      <x:c r="G110" s="17" t="n">
        <x:v>5</x:v>
      </x:c>
      <x:c r="H110" s="17" t="n">
        <x:v>4.75</x:v>
      </x:c>
      <x:c r="I110" s="17" t="n">
        <x:v>5.25</x:v>
      </x:c>
      <x:c r="J110" s="17"/>
      <x:c r="K110" s="17"/>
      <x:c r="L110" s="17" t="str">
        <x:v>高斯计</x:v>
      </x:c>
      <x:c r="M110" s="17" t="str">
        <x:v>首批前确认</x:v>
      </x:c>
    </x:row>
    <x:row r="111">
      <x:c r="A111" s="17" t="str">
        <x:v>DEV-04</x:v>
      </x:c>
      <x:c r="B111" s="17" t="str">
        <x:v>B04</x:v>
      </x:c>
      <x:c r="C111" s="17" t="str">
        <x:v>X3Y3Z2</x:v>
      </x:c>
      <x:c r="D111" s="17" t="n">
        <x:v>1</x:v>
      </x:c>
      <x:c r="E111" s="17" t="n">
        <x:v>1</x:v>
      </x:c>
      <x:c r="F111" s="17" t="n">
        <x:v>0</x:v>
      </x:c>
      <x:c r="G111" s="17" t="n">
        <x:v>5</x:v>
      </x:c>
      <x:c r="H111" s="17" t="n">
        <x:v>4.75</x:v>
      </x:c>
      <x:c r="I111" s="17" t="n">
        <x:v>5.25</x:v>
      </x:c>
      <x:c r="J111" s="17"/>
      <x:c r="K111" s="17"/>
      <x:c r="L111" s="17" t="str">
        <x:v>高斯计</x:v>
      </x:c>
      <x:c r="M111" s="17" t="str">
        <x:v>首批前确认</x:v>
      </x:c>
    </x:row>
    <x:row r="112">
      <x:c r="A112" s="17" t="str">
        <x:v>DEV-04</x:v>
      </x:c>
      <x:c r="B112" s="17" t="str">
        <x:v>B04</x:v>
      </x:c>
      <x:c r="C112" s="17" t="str">
        <x:v>X3Y3Z3</x:v>
      </x:c>
      <x:c r="D112" s="17" t="n">
        <x:v>1</x:v>
      </x:c>
      <x:c r="E112" s="17" t="n">
        <x:v>1</x:v>
      </x:c>
      <x:c r="F112" s="17" t="n">
        <x:v>1</x:v>
      </x:c>
      <x:c r="G112" s="17" t="n">
        <x:v>5</x:v>
      </x:c>
      <x:c r="H112" s="17" t="n">
        <x:v>4.75</x:v>
      </x:c>
      <x:c r="I112" s="17" t="n">
        <x:v>5.25</x:v>
      </x:c>
      <x:c r="J112" s="17"/>
      <x:c r="K112" s="17"/>
      <x:c r="L112" s="17" t="str">
        <x:v>高斯计</x:v>
      </x:c>
      <x:c r="M112" s="17" t="str">
        <x:v>首批前确认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22" hidden="0" customWidth="1"/>
    <x:col min="5" max="5" width="14" hidden="0" customWidth="1"/>
    <x:col min="6" max="6" width="30" hidden="0" customWidth="1"/>
    <x:col min="7" max="7" width="22" hidden="0" customWidth="1"/>
    <x:col min="8" max="8" width="24" hidden="0" customWidth="1"/>
    <x:col min="9" max="9" width="14" hidden="0" customWidth="1"/>
    <x:col min="10" max="10" width="30" hidden="0" customWidth="1"/>
  </x:cols>
  <x:sheetData>
    <x:row r="1" ht="30" customHeight="1">
      <x:c r="A1" s="3" t="str">
        <x:v>冷库与运输环境采集规范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处理状态、温湿度、门开启、装载、振动、停电和设备故障与批次时间轴同步。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3" t="str">
        <x:v>字段ID</x:v>
      </x:c>
      <x:c r="B4" s="13" t="str">
        <x:v>字段</x:v>
      </x:c>
      <x:c r="C4" s="13" t="str">
        <x:v>单位</x:v>
      </x:c>
      <x:c r="D4" s="13" t="str">
        <x:v>采集设备</x:v>
      </x:c>
      <x:c r="E4" s="13" t="str">
        <x:v>频率</x:v>
      </x:c>
      <x:c r="F4" s="13" t="str">
        <x:v>关联键</x:v>
      </x:c>
      <x:c r="G4" s="13" t="str">
        <x:v>控制范围</x:v>
      </x:c>
      <x:c r="H4" s="13" t="str">
        <x:v>触发</x:v>
      </x:c>
      <x:c r="I4" s="13" t="str">
        <x:v>责任</x:v>
      </x:c>
      <x:c r="J4" s="13" t="str">
        <x:v>处置</x:v>
      </x:c>
    </x:row>
    <x:row r="5">
      <x:c r="A5" s="17" t="str">
        <x:v>ENV01</x:v>
      </x:c>
      <x:c r="B5" s="17" t="str">
        <x:v>磁场开关</x:v>
      </x:c>
      <x:c r="C5" s="17" t="str">
        <x:v>0/1</x:v>
      </x:c>
      <x:c r="D5" s="17" t="str">
        <x:v>设备控制器</x:v>
      </x:c>
      <x:c r="E5" s="17" t="str">
        <x:v>1 min</x:v>
      </x:c>
      <x:c r="F5" s="17" t="str">
        <x:v>批次ID+设备ID+时间戳</x:v>
      </x:c>
      <x:c r="G5" s="17" t="str">
        <x:v>计划状态不一致</x:v>
      </x:c>
      <x:c r="H5" s="17" t="str">
        <x:v>设备告警</x:v>
      </x:c>
      <x:c r="I5" s="17" t="str">
        <x:v>运营</x:v>
      </x:c>
      <x:c r="J5" s="17" t="str">
        <x:v>进入偏差台账</x:v>
      </x:c>
    </x:row>
    <x:row r="6">
      <x:c r="A6" s="17" t="str">
        <x:v>ENV02</x:v>
      </x:c>
      <x:c r="B6" s="17" t="str">
        <x:v>磁场强度</x:v>
      </x:c>
      <x:c r="C6" s="17" t="str">
        <x:v>mT</x:v>
      </x:c>
      <x:c r="D6" s="17" t="str">
        <x:v>固定探头</x:v>
      </x:c>
      <x:c r="E6" s="17" t="str">
        <x:v>1 min</x:v>
      </x:c>
      <x:c r="F6" s="17" t="str">
        <x:v>批次ID+设备ID+时间戳</x:v>
      </x:c>
      <x:c r="G6" s="17" t="str">
        <x:v>5.00±0.25</x:v>
      </x:c>
      <x:c r="H6" s="17" t="str">
        <x:v>连续5 min越界</x:v>
      </x:c>
      <x:c r="I6" s="17" t="str">
        <x:v>设备</x:v>
      </x:c>
      <x:c r="J6" s="17" t="str">
        <x:v>暂停处理</x:v>
      </x:c>
    </x:row>
    <x:row r="7">
      <x:c r="A7" s="17" t="str">
        <x:v>ENV03</x:v>
      </x:c>
      <x:c r="B7" s="17" t="str">
        <x:v>冷库温度</x:v>
      </x:c>
      <x:c r="C7" s="17" t="str">
        <x:v>℃</x:v>
      </x:c>
      <x:c r="D7" s="17" t="str">
        <x:v>校准温度记录仪</x:v>
      </x:c>
      <x:c r="E7" s="17" t="str">
        <x:v>1 min</x:v>
      </x:c>
      <x:c r="F7" s="17" t="str">
        <x:v>冷库ID+时间戳</x:v>
      </x:c>
      <x:c r="G7" s="17" t="str">
        <x:v>4.0±0.5</x:v>
      </x:c>
      <x:c r="H7" s="17" t="str">
        <x:v>连续15 min越界</x:v>
      </x:c>
      <x:c r="I7" s="17" t="str">
        <x:v>运营</x:v>
      </x:c>
      <x:c r="J7" s="17" t="str">
        <x:v>评估批次有效性</x:v>
      </x:c>
    </x:row>
    <x:row r="8">
      <x:c r="A8" s="17" t="str">
        <x:v>ENV04</x:v>
      </x:c>
      <x:c r="B8" s="17" t="str">
        <x:v>相对湿度</x:v>
      </x:c>
      <x:c r="C8" s="17" t="str">
        <x:v>%RH</x:v>
      </x:c>
      <x:c r="D8" s="17" t="str">
        <x:v>湿度记录仪</x:v>
      </x:c>
      <x:c r="E8" s="17" t="str">
        <x:v>5 min</x:v>
      </x:c>
      <x:c r="F8" s="17" t="str">
        <x:v>冷库ID+时间戳</x:v>
      </x:c>
      <x:c r="G8" s="17" t="str">
        <x:v>85%-95%</x:v>
      </x:c>
      <x:c r="H8" s="17" t="str">
        <x:v>连续30 min越界</x:v>
      </x:c>
      <x:c r="I8" s="17" t="str">
        <x:v>运营</x:v>
      </x:c>
      <x:c r="J8" s="17" t="str">
        <x:v>记录协变量</x:v>
      </x:c>
    </x:row>
    <x:row r="9">
      <x:c r="A9" s="17" t="str">
        <x:v>ENV05</x:v>
      </x:c>
      <x:c r="B9" s="17" t="str">
        <x:v>门开启</x:v>
      </x:c>
      <x:c r="C9" s="17" t="str">
        <x:v>次/分钟</x:v>
      </x:c>
      <x:c r="D9" s="17" t="str">
        <x:v>门磁</x:v>
      </x:c>
      <x:c r="E9" s="17" t="str">
        <x:v>事件</x:v>
      </x:c>
      <x:c r="F9" s="17" t="str">
        <x:v>冷库ID+时间戳</x:v>
      </x:c>
      <x:c r="G9" s="17" t="str">
        <x:v>单次≤5 min</x:v>
      </x:c>
      <x:c r="H9" s="17" t="str">
        <x:v>超过阈值</x:v>
      </x:c>
      <x:c r="I9" s="17" t="str">
        <x:v>运营</x:v>
      </x:c>
      <x:c r="J9" s="17" t="str">
        <x:v>记录协变量</x:v>
      </x:c>
    </x:row>
    <x:row r="10">
      <x:c r="A10" s="17" t="str">
        <x:v>ENV06</x:v>
      </x:c>
      <x:c r="B10" s="17" t="str">
        <x:v>装载率</x:v>
      </x:c>
      <x:c r="C10" s="17" t="str">
        <x:v>%</x:v>
      </x:c>
      <x:c r="D10" s="17" t="str">
        <x:v>入库确认</x:v>
      </x:c>
      <x:c r="E10" s="17" t="str">
        <x:v>每批</x:v>
      </x:c>
      <x:c r="F10" s="17" t="str">
        <x:v>批次ID+库位</x:v>
      </x:c>
      <x:c r="G10" s="17" t="str">
        <x:v>40%-80%</x:v>
      </x:c>
      <x:c r="H10" s="17" t="str">
        <x:v>超出窗口</x:v>
      </x:c>
      <x:c r="I10" s="17" t="str">
        <x:v>运营</x:v>
      </x:c>
      <x:c r="J10" s="17" t="str">
        <x:v>调整区组或暂停</x:v>
      </x:c>
    </x:row>
    <x:row r="11">
      <x:c r="A11" s="17" t="str">
        <x:v>ENV07</x:v>
      </x:c>
      <x:c r="B11" s="17" t="str">
        <x:v>运输振动RMS</x:v>
      </x:c>
      <x:c r="C11" s="17" t="str">
        <x:v>m/s²</x:v>
      </x:c>
      <x:c r="D11" s="17" t="str">
        <x:v>三轴记录仪</x:v>
      </x:c>
      <x:c r="E11" s="17" t="str">
        <x:v>10 Hz</x:v>
      </x:c>
      <x:c r="F11" s="17" t="str">
        <x:v>运输单+时间戳</x:v>
      </x:c>
      <x:c r="G11" s="17" t="str">
        <x:v>≤1.5</x:v>
      </x:c>
      <x:c r="H11" s="17" t="str">
        <x:v>峰值&gt;4.0</x:v>
      </x:c>
      <x:c r="I11" s="17" t="str">
        <x:v>物流</x:v>
      </x:c>
      <x:c r="J11" s="17" t="str">
        <x:v>启动压力复核</x:v>
      </x:c>
    </x:row>
    <x:row r="12">
      <x:c r="A12" s="17" t="str">
        <x:v>ENV08</x:v>
      </x:c>
      <x:c r="B12" s="17" t="str">
        <x:v>停电</x:v>
      </x:c>
      <x:c r="C12" s="17" t="str">
        <x:v>分钟</x:v>
      </x:c>
      <x:c r="D12" s="17" t="str">
        <x:v>UPS与事件记录</x:v>
      </x:c>
      <x:c r="E12" s="17" t="str">
        <x:v>事件</x:v>
      </x:c>
      <x:c r="F12" s="17" t="str">
        <x:v>设备ID+时间戳</x:v>
      </x:c>
      <x:c r="G12" s="17" t="str">
        <x:v>0</x:v>
      </x:c>
      <x:c r="H12" s="17" t="str">
        <x:v>任一停电</x:v>
      </x:c>
      <x:c r="I12" s="17" t="str">
        <x:v>设备</x:v>
      </x:c>
      <x:c r="J12" s="17" t="str">
        <x:v>启动RCA</x:v>
      </x:c>
    </x:row>
    <x:row r="13">
      <x:c r="A13" s="17" t="str">
        <x:v>ENV09</x:v>
      </x:c>
      <x:c r="B13" s="17" t="str">
        <x:v>设备故障</x:v>
      </x:c>
      <x:c r="C13" s="17" t="str">
        <x:v>故障码</x:v>
      </x:c>
      <x:c r="D13" s="17" t="str">
        <x:v>控制器</x:v>
      </x:c>
      <x:c r="E13" s="17" t="str">
        <x:v>事件</x:v>
      </x:c>
      <x:c r="F13" s="17" t="str">
        <x:v>设备ID+时间戳</x:v>
      </x:c>
      <x:c r="G13" s="17" t="str">
        <x:v>无</x:v>
      </x:c>
      <x:c r="H13" s="17" t="str">
        <x:v>任一关键故障</x:v>
      </x:c>
      <x:c r="I13" s="17" t="str">
        <x:v>设备</x:v>
      </x:c>
      <x:c r="J13" s="17" t="str">
        <x:v>隔离批次</x:v>
      </x:c>
    </x:row>
    <x:row r="14">
      <x:c r="A14" s="17" t="str">
        <x:v>ENV10</x:v>
      </x:c>
      <x:c r="B14" s="17" t="str">
        <x:v>能耗</x:v>
      </x:c>
      <x:c r="C14" s="17" t="str">
        <x:v>kWh</x:v>
      </x:c>
      <x:c r="D14" s="17" t="str">
        <x:v>独立电表</x:v>
      </x:c>
      <x:c r="E14" s="17" t="str">
        <x:v>15 min</x:v>
      </x:c>
      <x:c r="F14" s="17" t="str">
        <x:v>设备ID+批次ID</x:v>
      </x:c>
      <x:c r="G14" s="17" t="str">
        <x:v>按批归集</x:v>
      </x:c>
      <x:c r="H14" s="17" t="str">
        <x:v>缺失&gt;1%</x:v>
      </x:c>
      <x:c r="I14" s="17" t="str">
        <x:v>运营</x:v>
      </x:c>
      <x:c r="J14" s="17" t="str">
        <x:v>补录凭证或标记缺失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4" hidden="0" customWidth="1"/>
    <x:col min="4" max="4" width="24" hidden="0" customWidth="1"/>
    <x:col min="5" max="5" width="12" hidden="0" customWidth="1"/>
    <x:col min="6" max="6" width="14" hidden="0" customWidth="1"/>
    <x:col min="7" max="7" width="24" hidden="0" customWidth="1"/>
    <x:col min="8" max="8" width="18" hidden="0" customWidth="1"/>
    <x:col min="9" max="9" width="14" hidden="0" customWidth="1"/>
    <x:col min="10" max="10" width="24" hidden="0" customWidth="1"/>
  </x:cols>
  <x:sheetData>
    <x:row r="1" ht="30" customHeight="1">
      <x:c r="A1" s="3" t="str">
        <x:v>端点、时间点与检测方法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主要终点、次要终点、机制指标和商品性指标按预注册角色管理。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3" t="str">
        <x:v>端点ID</x:v>
      </x:c>
      <x:c r="B4" s="13" t="str">
        <x:v>指标</x:v>
      </x:c>
      <x:c r="C4" s="13" t="str">
        <x:v>单位</x:v>
      </x:c>
      <x:c r="D4" s="13" t="str">
        <x:v>时间点</x:v>
      </x:c>
      <x:c r="E4" s="13" t="str">
        <x:v>主要时点</x:v>
      </x:c>
      <x:c r="F4" s="13" t="str">
        <x:v>角色</x:v>
      </x:c>
      <x:c r="G4" s="13" t="str">
        <x:v>门槛/方向</x:v>
      </x:c>
      <x:c r="H4" s="13" t="str">
        <x:v>方法</x:v>
      </x:c>
      <x:c r="I4" s="13" t="str">
        <x:v>数据类型</x:v>
      </x:c>
      <x:c r="J4" s="13" t="str">
        <x:v>主分析</x:v>
      </x:c>
    </x:row>
    <x:row r="5">
      <x:c r="A5" s="17" t="str">
        <x:v>EP01</x:v>
      </x:c>
      <x:c r="B5" s="17" t="str">
        <x:v>硬度</x:v>
      </x:c>
      <x:c r="C5" s="17" t="str">
        <x:v>N</x:v>
      </x:c>
      <x:c r="D5" s="17" t="str">
        <x:v>0/3/6/9/12/15 d</x:v>
      </x:c>
      <x:c r="E5" s="17" t="str">
        <x:v>15 d</x:v>
      </x:c>
      <x:c r="F5" s="17" t="str">
        <x:v>主要</x:v>
      </x:c>
      <x:c r="G5" s="17" t="str">
        <x:v>组间差≥4 N</x:v>
      </x:c>
      <x:c r="H5" s="17" t="str">
        <x:v>质构仪</x:v>
      </x:c>
      <x:c r="I5" s="17" t="str">
        <x:v>连续</x:v>
      </x:c>
      <x:c r="J5" s="17" t="str">
        <x:v>线性混合模型</x:v>
      </x:c>
    </x:row>
    <x:row r="6">
      <x:c r="A6" s="17" t="str">
        <x:v>EP02</x:v>
      </x:c>
      <x:c r="B6" s="17" t="str">
        <x:v>腐烂率</x:v>
      </x:c>
      <x:c r="C6" s="17" t="str">
        <x:v>%</x:v>
      </x:c>
      <x:c r="D6" s="17" t="str">
        <x:v>3/6/9/12/15/17 d</x:v>
      </x:c>
      <x:c r="E6" s="17" t="str">
        <x:v>15 d</x:v>
      </x:c>
      <x:c r="F6" s="17" t="str">
        <x:v>主要</x:v>
      </x:c>
      <x:c r="G6" s="17" t="str">
        <x:v>绝对降低≥15个百分点</x:v>
      </x:c>
      <x:c r="H6" s="17" t="str">
        <x:v>盲法判定</x:v>
      </x:c>
      <x:c r="I6" s="17" t="str">
        <x:v>二分类</x:v>
      </x:c>
      <x:c r="J6" s="17" t="str">
        <x:v>二项GLMM/生存</x:v>
      </x:c>
    </x:row>
    <x:row r="7">
      <x:c r="A7" s="17" t="str">
        <x:v>EP03</x:v>
      </x:c>
      <x:c r="B7" s="17" t="str">
        <x:v>失重率</x:v>
      </x:c>
      <x:c r="C7" s="17" t="str">
        <x:v>%</x:v>
      </x:c>
      <x:c r="D7" s="17" t="str">
        <x:v>0/3/6/9/12/15 d</x:v>
      </x:c>
      <x:c r="E7" s="17" t="str">
        <x:v>15 d</x:v>
      </x:c>
      <x:c r="F7" s="17" t="str">
        <x:v>次要</x:v>
      </x:c>
      <x:c r="G7" s="17" t="str">
        <x:v>低值较优</x:v>
      </x:c>
      <x:c r="H7" s="17" t="str">
        <x:v>称重</x:v>
      </x:c>
      <x:c r="I7" s="17" t="str">
        <x:v>连续</x:v>
      </x:c>
      <x:c r="J7" s="17" t="str">
        <x:v>线性混合模型</x:v>
      </x:c>
    </x:row>
    <x:row r="8">
      <x:c r="A8" s="17" t="str">
        <x:v>EP04</x:v>
      </x:c>
      <x:c r="B8" s="17" t="str">
        <x:v>颜色L*</x:v>
      </x:c>
      <x:c r="C8" s="17" t="str">
        <x:v>-</x:v>
      </x:c>
      <x:c r="D8" s="17" t="str">
        <x:v>0/3/6/9/12/15 d</x:v>
      </x:c>
      <x:c r="E8" s="17" t="str">
        <x:v>15 d</x:v>
      </x:c>
      <x:c r="F8" s="17" t="str">
        <x:v>次要</x:v>
      </x:c>
      <x:c r="G8" s="17" t="str">
        <x:v>高值较优</x:v>
      </x:c>
      <x:c r="H8" s="17" t="str">
        <x:v>色差仪</x:v>
      </x:c>
      <x:c r="I8" s="17" t="str">
        <x:v>连续</x:v>
      </x:c>
      <x:c r="J8" s="17" t="str">
        <x:v>线性混合模型</x:v>
      </x:c>
    </x:row>
    <x:row r="9">
      <x:c r="A9" s="17" t="str">
        <x:v>EP05</x:v>
      </x:c>
      <x:c r="B9" s="17" t="str">
        <x:v>颜色a*</x:v>
      </x:c>
      <x:c r="C9" s="17" t="str">
        <x:v>-</x:v>
      </x:c>
      <x:c r="D9" s="17" t="str">
        <x:v>0/3/6/9/12/15 d</x:v>
      </x:c>
      <x:c r="E9" s="17" t="str">
        <x:v>15 d</x:v>
      </x:c>
      <x:c r="F9" s="17" t="str">
        <x:v>次要</x:v>
      </x:c>
      <x:c r="G9" s="17" t="str">
        <x:v>结合成熟度</x:v>
      </x:c>
      <x:c r="H9" s="17" t="str">
        <x:v>色差仪</x:v>
      </x:c>
      <x:c r="I9" s="17" t="str">
        <x:v>连续</x:v>
      </x:c>
      <x:c r="J9" s="17" t="str">
        <x:v>线性混合模型</x:v>
      </x:c>
    </x:row>
    <x:row r="10">
      <x:c r="A10" s="17" t="str">
        <x:v>EP06</x:v>
      </x:c>
      <x:c r="B10" s="17" t="str">
        <x:v>总色差ΔE</x:v>
      </x:c>
      <x:c r="C10" s="17" t="str">
        <x:v>-</x:v>
      </x:c>
      <x:c r="D10" s="17" t="str">
        <x:v>0/3/6/9/12/15 d</x:v>
      </x:c>
      <x:c r="E10" s="17" t="str">
        <x:v>15 d</x:v>
      </x:c>
      <x:c r="F10" s="17" t="str">
        <x:v>次要</x:v>
      </x:c>
      <x:c r="G10" s="17" t="str">
        <x:v>低值较优</x:v>
      </x:c>
      <x:c r="H10" s="17" t="str">
        <x:v>L*a*b*复算</x:v>
      </x:c>
      <x:c r="I10" s="17" t="str">
        <x:v>连续</x:v>
      </x:c>
      <x:c r="J10" s="17" t="str">
        <x:v>线性混合模型</x:v>
      </x:c>
    </x:row>
    <x:row r="11">
      <x:c r="A11" s="17" t="str">
        <x:v>EP07</x:v>
      </x:c>
      <x:c r="B11" s="17" t="str">
        <x:v>水溶性果胶</x:v>
      </x:c>
      <x:c r="C11" s="17" t="str">
        <x:v>mg/g</x:v>
      </x:c>
      <x:c r="D11" s="17" t="str">
        <x:v>0/6/12/15 d</x:v>
      </x:c>
      <x:c r="E11" s="17" t="str">
        <x:v>15 d</x:v>
      </x:c>
      <x:c r="F11" s="17" t="str">
        <x:v>机制</x:v>
      </x:c>
      <x:c r="G11" s="17" t="str">
        <x:v>低值较优</x:v>
      </x:c>
      <x:c r="H11" s="17" t="str">
        <x:v>比色法</x:v>
      </x:c>
      <x:c r="I11" s="17" t="str">
        <x:v>连续</x:v>
      </x:c>
      <x:c r="J11" s="17" t="str">
        <x:v>线性混合模型</x:v>
      </x:c>
    </x:row>
    <x:row r="12">
      <x:c r="A12" s="17" t="str">
        <x:v>EP08</x:v>
      </x:c>
      <x:c r="B12" s="17" t="str">
        <x:v>PG活性</x:v>
      </x:c>
      <x:c r="C12" s="17" t="str">
        <x:v>U/kg</x:v>
      </x:c>
      <x:c r="D12" s="17" t="str">
        <x:v>0/6/12/15 d</x:v>
      </x:c>
      <x:c r="E12" s="17" t="str">
        <x:v>15 d</x:v>
      </x:c>
      <x:c r="F12" s="17" t="str">
        <x:v>机制</x:v>
      </x:c>
      <x:c r="G12" s="17" t="str">
        <x:v>低值较优</x:v>
      </x:c>
      <x:c r="H12" s="17" t="str">
        <x:v>酶活法</x:v>
      </x:c>
      <x:c r="I12" s="17" t="str">
        <x:v>连续</x:v>
      </x:c>
      <x:c r="J12" s="17" t="str">
        <x:v>线性混合模型</x:v>
      </x:c>
    </x:row>
    <x:row r="13">
      <x:c r="A13" s="17" t="str">
        <x:v>EP09</x:v>
      </x:c>
      <x:c r="B13" s="17" t="str">
        <x:v>PME活性</x:v>
      </x:c>
      <x:c r="C13" s="17" t="str">
        <x:v>U/kg</x:v>
      </x:c>
      <x:c r="D13" s="17" t="str">
        <x:v>0/6/12/15 d</x:v>
      </x:c>
      <x:c r="E13" s="17" t="str">
        <x:v>15 d</x:v>
      </x:c>
      <x:c r="F13" s="17" t="str">
        <x:v>机制</x:v>
      </x:c>
      <x:c r="G13" s="17" t="str">
        <x:v>探索</x:v>
      </x:c>
      <x:c r="H13" s="17" t="str">
        <x:v>酶活法</x:v>
      </x:c>
      <x:c r="I13" s="17" t="str">
        <x:v>连续</x:v>
      </x:c>
      <x:c r="J13" s="17" t="str">
        <x:v>线性混合模型</x:v>
      </x:c>
    </x:row>
    <x:row r="14">
      <x:c r="A14" s="17" t="str">
        <x:v>EP10</x:v>
      </x:c>
      <x:c r="B14" s="17" t="str">
        <x:v>PL活性</x:v>
      </x:c>
      <x:c r="C14" s="17" t="str">
        <x:v>U/kg</x:v>
      </x:c>
      <x:c r="D14" s="17" t="str">
        <x:v>0/6/12/15 d</x:v>
      </x:c>
      <x:c r="E14" s="17" t="str">
        <x:v>15 d</x:v>
      </x:c>
      <x:c r="F14" s="17" t="str">
        <x:v>机制</x:v>
      </x:c>
      <x:c r="G14" s="17" t="str">
        <x:v>探索</x:v>
      </x:c>
      <x:c r="H14" s="17" t="str">
        <x:v>酶活法</x:v>
      </x:c>
      <x:c r="I14" s="17" t="str">
        <x:v>连续</x:v>
      </x:c>
      <x:c r="J14" s="17" t="str">
        <x:v>线性混合模型</x:v>
      </x:c>
    </x:row>
    <x:row r="15">
      <x:c r="A15" s="17" t="str">
        <x:v>EP11</x:v>
      </x:c>
      <x:c r="B15" s="17" t="str">
        <x:v>菌落总数</x:v>
      </x:c>
      <x:c r="C15" s="17" t="str">
        <x:v>log10 CFU/g</x:v>
      </x:c>
      <x:c r="D15" s="17" t="str">
        <x:v>0/6/12/15 d</x:v>
      </x:c>
      <x:c r="E15" s="17" t="str">
        <x:v>15 d</x:v>
      </x:c>
      <x:c r="F15" s="17" t="str">
        <x:v>安全</x:v>
      </x:c>
      <x:c r="G15" s="17" t="str">
        <x:v>低值较优</x:v>
      </x:c>
      <x:c r="H15" s="17" t="str">
        <x:v>平板计数</x:v>
      </x:c>
      <x:c r="I15" s="17" t="str">
        <x:v>连续</x:v>
      </x:c>
      <x:c r="J15" s="17" t="str">
        <x:v>线性混合模型</x:v>
      </x:c>
    </x:row>
    <x:row r="16">
      <x:c r="A16" s="17" t="str">
        <x:v>EP12</x:v>
      </x:c>
      <x:c r="B16" s="17" t="str">
        <x:v>霉菌和酵母</x:v>
      </x:c>
      <x:c r="C16" s="17" t="str">
        <x:v>log10 CFU/g</x:v>
      </x:c>
      <x:c r="D16" s="17" t="str">
        <x:v>0/6/12/15 d</x:v>
      </x:c>
      <x:c r="E16" s="17" t="str">
        <x:v>15 d</x:v>
      </x:c>
      <x:c r="F16" s="17" t="str">
        <x:v>安全</x:v>
      </x:c>
      <x:c r="G16" s="17" t="str">
        <x:v>低值较优</x:v>
      </x:c>
      <x:c r="H16" s="17" t="str">
        <x:v>平板计数</x:v>
      </x:c>
      <x:c r="I16" s="17" t="str">
        <x:v>连续</x:v>
      </x:c>
      <x:c r="J16" s="17" t="str">
        <x:v>线性混合模型</x:v>
      </x:c>
    </x:row>
    <x:row r="17">
      <x:c r="A17" s="17" t="str">
        <x:v>EP13</x:v>
      </x:c>
      <x:c r="B17" s="17" t="str">
        <x:v>感官综合评分</x:v>
      </x:c>
      <x:c r="C17" s="17" t="str">
        <x:v>分</x:v>
      </x:c>
      <x:c r="D17" s="17" t="str">
        <x:v>0/6/12/15/17 d</x:v>
      </x:c>
      <x:c r="E17" s="17" t="str">
        <x:v>15 d</x:v>
      </x:c>
      <x:c r="F17" s="17" t="str">
        <x:v>商品性</x:v>
      </x:c>
      <x:c r="G17" s="17" t="str">
        <x:v>≥6分可接受</x:v>
      </x:c>
      <x:c r="H17" s="17" t="str">
        <x:v>9点评分</x:v>
      </x:c>
      <x:c r="I17" s="17" t="str">
        <x:v>有序</x:v>
      </x:c>
      <x:c r="J17" s="17" t="str">
        <x:v>累积链接混合模型</x:v>
      </x:c>
    </x:row>
    <x:row r="18">
      <x:c r="A18" s="17" t="str">
        <x:v>EP14</x:v>
      </x:c>
      <x:c r="B18" s="17" t="str">
        <x:v>可移动水比例</x:v>
      </x:c>
      <x:c r="C18" s="17" t="str">
        <x:v>%</x:v>
      </x:c>
      <x:c r="D18" s="17" t="str">
        <x:v>0/6/12/15 d</x:v>
      </x:c>
      <x:c r="E18" s="17" t="str">
        <x:v>15 d</x:v>
      </x:c>
      <x:c r="F18" s="17" t="str">
        <x:v>水分状态</x:v>
      </x:c>
      <x:c r="G18" s="17" t="str">
        <x:v>稳定为优</x:v>
      </x:c>
      <x:c r="H18" s="17" t="str">
        <x:v>低场核磁</x:v>
      </x:c>
      <x:c r="I18" s="17" t="str">
        <x:v>连续</x:v>
      </x:c>
      <x:c r="J18" s="17" t="str">
        <x:v>线性混合模型</x:v>
      </x:c>
    </x:row>
    <x:row r="19">
      <x:c r="A19" s="17" t="str">
        <x:v>EP15</x:v>
      </x:c>
      <x:c r="B19" s="17" t="str">
        <x:v>首次不可售时间</x:v>
      </x:c>
      <x:c r="C19" s="17" t="str">
        <x:v>d</x:v>
      </x:c>
      <x:c r="D19" s="17" t="str">
        <x:v>每日</x:v>
      </x:c>
      <x:c r="E19" s="17" t="str">
        <x:v>17 d</x:v>
      </x:c>
      <x:c r="F19" s="17" t="str">
        <x:v>商品性</x:v>
      </x:c>
      <x:c r="G19" s="17" t="str">
        <x:v>延长≥2 d</x:v>
      </x:c>
      <x:c r="H19" s="17" t="str">
        <x:v>盲法放行判定</x:v>
      </x:c>
      <x:c r="I19" s="17" t="str">
        <x:v>时间事件</x:v>
      </x:c>
      <x:c r="J19" s="17" t="str">
        <x:v>Cox脆弱性模型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24" hidden="0" customWidth="1"/>
    <x:col min="7" max="7" width="14" hidden="0" customWidth="1"/>
    <x:col min="8" max="8" width="30" hidden="0" customWidth="1"/>
    <x:col min="9" max="9" width="20" hidden="0" customWidth="1"/>
  </x:cols>
  <x:sheetData>
    <x:row r="1" ht="30" customHeight="1">
      <x:c r="A1" s="3" t="str">
        <x:v>样本链路与数据留痕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收货、分层、编码、处理、转运、检测、复测和锁库均以批次ID和时间戳衔接。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3" t="str">
        <x:v>环节ID</x:v>
      </x:c>
      <x:c r="B4" s="13" t="str">
        <x:v>环节</x:v>
      </x:c>
      <x:c r="C4" s="13" t="str">
        <x:v>关键标识</x:v>
      </x:c>
      <x:c r="D4" s="13" t="str">
        <x:v>交出角色</x:v>
      </x:c>
      <x:c r="E4" s="13" t="str">
        <x:v>接收角色</x:v>
      </x:c>
      <x:c r="F4" s="13" t="str">
        <x:v>凭证</x:v>
      </x:c>
      <x:c r="G4" s="13" t="str">
        <x:v>时限</x:v>
      </x:c>
      <x:c r="H4" s="13" t="str">
        <x:v>异常处理</x:v>
      </x:c>
      <x:c r="I4" s="13" t="str">
        <x:v>复核</x:v>
      </x:c>
    </x:row>
    <x:row r="5">
      <x:c r="A5" s="17" t="str">
        <x:v>C01</x:v>
      </x:c>
      <x:c r="B5" s="17" t="str">
        <x:v>基地收货</x:v>
      </x:c>
      <x:c r="C5" s="17" t="str">
        <x:v>批次ID、采收时间、田块、品种</x:v>
      </x:c>
      <x:c r="D5" s="17" t="str">
        <x:v>基地质量员</x:v>
      </x:c>
      <x:c r="E5" s="17" t="str">
        <x:v>冷库接收员</x:v>
      </x:c>
      <x:c r="F5" s="17" t="str">
        <x:v>交接单+称重单</x:v>
      </x:c>
      <x:c r="G5" s="17" t="str">
        <x:v>2 h内</x:v>
      </x:c>
      <x:c r="H5" s="17" t="str">
        <x:v>超时登记偏差</x:v>
      </x:c>
      <x:c r="I5" s="17" t="str">
        <x:v>质量复核</x:v>
      </x:c>
    </x:row>
    <x:row r="6">
      <x:c r="A6" s="17" t="str">
        <x:v>C02</x:v>
      </x:c>
      <x:c r="B6" s="17" t="str">
        <x:v>分层与入组</x:v>
      </x:c>
      <x:c r="C6" s="17" t="str">
        <x:v>成熟度、果径、初始质量、外观</x:v>
      </x:c>
      <x:c r="D6" s="17" t="str">
        <x:v>分拣员</x:v>
      </x:c>
      <x:c r="E6" s="17" t="str">
        <x:v>随机化管理员</x:v>
      </x:c>
      <x:c r="F6" s="17" t="str">
        <x:v>分层清单</x:v>
      </x:c>
      <x:c r="G6" s="17" t="str">
        <x:v>4 h内</x:v>
      </x:c>
      <x:c r="H6" s="17" t="str">
        <x:v>不合格样本隔离</x:v>
      </x:c>
      <x:c r="I6" s="17" t="str">
        <x:v>盲态完成</x:v>
      </x:c>
    </x:row>
    <x:row r="7">
      <x:c r="A7" s="17" t="str">
        <x:v>C03</x:v>
      </x:c>
      <x:c r="B7" s="17" t="str">
        <x:v>随机分配</x:v>
      </x:c>
      <x:c r="C7" s="17" t="str">
        <x:v>区组、处理码、库位码</x:v>
      </x:c>
      <x:c r="D7" s="17" t="str">
        <x:v>随机化管理员</x:v>
      </x:c>
      <x:c r="E7" s="17" t="str">
        <x:v>设备操作员</x:v>
      </x:c>
      <x:c r="F7" s="17" t="str">
        <x:v>随机表</x:v>
      </x:c>
      <x:c r="G7" s="17" t="str">
        <x:v>处理前</x:v>
      </x:c>
      <x:c r="H7" s="17" t="str">
        <x:v>版本变更需审批</x:v>
      </x:c>
      <x:c r="I7" s="17" t="str">
        <x:v>质量保管</x:v>
      </x:c>
    </x:row>
    <x:row r="8">
      <x:c r="A8" s="17" t="str">
        <x:v>C04</x:v>
      </x:c>
      <x:c r="B8" s="17" t="str">
        <x:v>磁场处理</x:v>
      </x:c>
      <x:c r="C8" s="17" t="str">
        <x:v>设备ID、版本、起止时间、状态</x:v>
      </x:c>
      <x:c r="D8" s="17" t="str">
        <x:v>设备操作员</x:v>
      </x:c>
      <x:c r="E8" s="17" t="str">
        <x:v>冷库管理员</x:v>
      </x:c>
      <x:c r="F8" s="17" t="str">
        <x:v>设备日志</x:v>
      </x:c>
      <x:c r="G8" s="17" t="str">
        <x:v>实时</x:v>
      </x:c>
      <x:c r="H8" s="17" t="str">
        <x:v>越界触发暂停</x:v>
      </x:c>
      <x:c r="I8" s="17" t="str">
        <x:v>运营签字</x:v>
      </x:c>
    </x:row>
    <x:row r="9">
      <x:c r="A9" s="17" t="str">
        <x:v>C05</x:v>
      </x:c>
      <x:c r="B9" s="17" t="str">
        <x:v>冷藏转运</x:v>
      </x:c>
      <x:c r="C9" s="17" t="str">
        <x:v>样本码、封签号、温度记录仪</x:v>
      </x:c>
      <x:c r="D9" s="17" t="str">
        <x:v>冷库管理员</x:v>
      </x:c>
      <x:c r="E9" s="17" t="str">
        <x:v>检测收样员</x:v>
      </x:c>
      <x:c r="F9" s="17" t="str">
        <x:v>转运单</x:v>
      </x:c>
      <x:c r="G9" s="17" t="str">
        <x:v>30 min内</x:v>
      </x:c>
      <x:c r="H9" s="17" t="str">
        <x:v>封签破损隔离</x:v>
      </x:c>
      <x:c r="I9" s="17" t="str">
        <x:v>质量复核</x:v>
      </x:c>
    </x:row>
    <x:row r="10">
      <x:c r="A10" s="17" t="str">
        <x:v>C06</x:v>
      </x:c>
      <x:c r="B10" s="17" t="str">
        <x:v>检测收样</x:v>
      </x:c>
      <x:c r="C10" s="17" t="str">
        <x:v>检测码、温度、外观、数量</x:v>
      </x:c>
      <x:c r="D10" s="17" t="str">
        <x:v>检测收样员</x:v>
      </x:c>
      <x:c r="E10" s="17" t="str">
        <x:v>检测员</x:v>
      </x:c>
      <x:c r="F10" s="17" t="str">
        <x:v>收样单</x:v>
      </x:c>
      <x:c r="G10" s="17" t="str">
        <x:v>到样即刻</x:v>
      </x:c>
      <x:c r="H10" s="17" t="str">
        <x:v>数量差异查询</x:v>
      </x:c>
      <x:c r="I10" s="17" t="str">
        <x:v>检测盲态</x:v>
      </x:c>
    </x:row>
    <x:row r="11">
      <x:c r="A11" s="17" t="str">
        <x:v>C07</x:v>
      </x:c>
      <x:c r="B11" s="17" t="str">
        <x:v>检测与复测</x:v>
      </x:c>
      <x:c r="C11" s="17" t="str">
        <x:v>仪器ID、方法版本、原始文件</x:v>
      </x:c>
      <x:c r="D11" s="17" t="str">
        <x:v>检测员</x:v>
      </x:c>
      <x:c r="E11" s="17" t="str">
        <x:v>数据管理员</x:v>
      </x:c>
      <x:c r="F11" s="17" t="str">
        <x:v>仪器原始文件</x:v>
      </x:c>
      <x:c r="G11" s="17" t="str">
        <x:v>当日</x:v>
      </x:c>
      <x:c r="H11" s="17" t="str">
        <x:v>QC失败按规则复测</x:v>
      </x:c>
      <x:c r="I11" s="17" t="str">
        <x:v>质量审核</x:v>
      </x:c>
    </x:row>
    <x:row r="12">
      <x:c r="A12" s="17" t="str">
        <x:v>C08</x:v>
      </x:c>
      <x:c r="B12" s="17" t="str">
        <x:v>数据锁库</x:v>
      </x:c>
      <x:c r="C12" s="17" t="str">
        <x:v>清理日志、查询清单、排除清单</x:v>
      </x:c>
      <x:c r="D12" s="17" t="str">
        <x:v>数据管理员</x:v>
      </x:c>
      <x:c r="E12" s="17" t="str">
        <x:v>统计负责人</x:v>
      </x:c>
      <x:c r="F12" s="17" t="str">
        <x:v>锁库确认单</x:v>
      </x:c>
      <x:c r="G12" s="17" t="str">
        <x:v>揭盲前</x:v>
      </x:c>
      <x:c r="H12" s="17" t="str">
        <x:v>开放查询不得揭盲</x:v>
      </x:c>
      <x:c r="I12" s="17" t="str">
        <x:v>统计质量双签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12" hidden="0" customWidth="1"/>
    <x:col min="5" max="5" width="38" hidden="0" customWidth="1"/>
    <x:col min="6" max="6" width="38" hidden="0" customWidth="1"/>
    <x:col min="7" max="7" width="18" hidden="0" customWidth="1"/>
    <x:col min="8" max="8" width="30" hidden="0" customWidth="1"/>
  </x:cols>
  <x:sheetData>
    <x:row r="1" ht="30" customHeight="1">
      <x:c r="A1" s="3" t="str">
        <x:v>偏差、缺失与排除规则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偏差分级、缺失原因、替代数据集和批次有效性在揭盲前确定。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3" t="str">
        <x:v>规则ID</x:v>
      </x:c>
      <x:c r="B4" s="13" t="str">
        <x:v>偏差</x:v>
      </x:c>
      <x:c r="C4" s="13" t="str">
        <x:v>判定</x:v>
      </x:c>
      <x:c r="D4" s="13" t="str">
        <x:v>等级</x:v>
      </x:c>
      <x:c r="E4" s="13" t="str">
        <x:v>现场处置</x:v>
      </x:c>
      <x:c r="F4" s="13" t="str">
        <x:v>分析处理</x:v>
      </x:c>
      <x:c r="G4" s="13" t="str">
        <x:v>责任</x:v>
      </x:c>
      <x:c r="H4" s="13" t="str">
        <x:v>复核要求</x:v>
      </x:c>
    </x:row>
    <x:row r="5">
      <x:c r="A5" s="17" t="str">
        <x:v>DM01</x:v>
      </x:c>
      <x:c r="B5" s="17" t="str">
        <x:v>温度越界</x:v>
      </x:c>
      <x:c r="C5" s="17" t="str">
        <x:v>&gt;4.5℃持续15 min或&lt;3.5℃持续15 min</x:v>
      </x:c>
      <x:c r="D5" s="17" t="str">
        <x:v>主要</x:v>
      </x:c>
      <x:c r="E5" s="17" t="str">
        <x:v>记录时长、幅度和批次</x:v>
      </x:c>
      <x:c r="F5" s="17" t="str">
        <x:v>主分析保留；敏感性排除</x:v>
      </x:c>
      <x:c r="G5" s="17" t="str">
        <x:v>质量+统计</x:v>
      </x:c>
      <x:c r="H5" s="17" t="str">
        <x:v>RCA评估</x:v>
      </x:c>
    </x:row>
    <x:row r="6">
      <x:c r="A6" s="17" t="str">
        <x:v>DM02</x:v>
      </x:c>
      <x:c r="B6" s="17" t="str">
        <x:v>磁场越界</x:v>
      </x:c>
      <x:c r="C6" s="17" t="str">
        <x:v>&lt;4.75或&gt;5.25 mT持续5 min</x:v>
      </x:c>
      <x:c r="D6" s="17" t="str">
        <x:v>关键</x:v>
      </x:c>
      <x:c r="E6" s="17" t="str">
        <x:v>暂停处理并隔离批次</x:v>
      </x:c>
      <x:c r="F6" s="17" t="str">
        <x:v>主分析排除；安全集保留</x:v>
      </x:c>
      <x:c r="G6" s="17" t="str">
        <x:v>设备+质量</x:v>
      </x:c>
      <x:c r="H6" s="17" t="str">
        <x:v>重新确认设备</x:v>
      </x:c>
    </x:row>
    <x:row r="7">
      <x:c r="A7" s="17" t="str">
        <x:v>DM03</x:v>
      </x:c>
      <x:c r="B7" s="17" t="str">
        <x:v>样本断链</x:v>
      </x:c>
      <x:c r="C7" s="17" t="str">
        <x:v>批次码、样本码或封签无法闭环</x:v>
      </x:c>
      <x:c r="D7" s="17" t="str">
        <x:v>关键</x:v>
      </x:c>
      <x:c r="E7" s="17" t="str">
        <x:v>隔离样本</x:v>
      </x:c>
      <x:c r="F7" s="17" t="str">
        <x:v>排除该样本</x:v>
      </x:c>
      <x:c r="G7" s="17" t="str">
        <x:v>质量</x:v>
      </x:c>
      <x:c r="H7" s="17" t="str">
        <x:v>追踪根因</x:v>
      </x:c>
    </x:row>
    <x:row r="8">
      <x:c r="A8" s="17" t="str">
        <x:v>DM04</x:v>
      </x:c>
      <x:c r="B8" s="17" t="str">
        <x:v>仪器QC失败</x:v>
      </x:c>
      <x:c r="C8" s="17" t="str">
        <x:v>标准品或重复性超出方法范围</x:v>
      </x:c>
      <x:c r="D8" s="17" t="str">
        <x:v>主要</x:v>
      </x:c>
      <x:c r="E8" s="17" t="str">
        <x:v>停机校准并复测</x:v>
      </x:c>
      <x:c r="F8" s="17" t="str">
        <x:v>首个有效复测值</x:v>
      </x:c>
      <x:c r="G8" s="17" t="str">
        <x:v>检测</x:v>
      </x:c>
      <x:c r="H8" s="17" t="str">
        <x:v>保留全部原始文件</x:v>
      </x:c>
    </x:row>
    <x:row r="9">
      <x:c r="A9" s="17" t="str">
        <x:v>DM05</x:v>
      </x:c>
      <x:c r="B9" s="17" t="str">
        <x:v>缺失数据</x:v>
      </x:c>
      <x:c r="C9" s="17" t="str">
        <x:v>任何预定端点未取得</x:v>
      </x:c>
      <x:c r="D9" s="17" t="str">
        <x:v>按原因</x:v>
      </x:c>
      <x:c r="E9" s="17" t="str">
        <x:v>记录缺失原因和责任环节</x:v>
      </x:c>
      <x:c r="F9" s="17" t="str">
        <x:v>混合模型；多重插补敏感性</x:v>
      </x:c>
      <x:c r="G9" s="17" t="str">
        <x:v>统计</x:v>
      </x:c>
      <x:c r="H9" s="17" t="str">
        <x:v>不得填0</x:v>
      </x:c>
    </x:row>
    <x:row r="10">
      <x:c r="A10" s="17" t="str">
        <x:v>DM06</x:v>
      </x:c>
      <x:c r="B10" s="17" t="str">
        <x:v>批次有效率不足</x:v>
      </x:c>
      <x:c r="C10" s="17" t="str">
        <x:v>主要终点有效样本&lt;85%</x:v>
      </x:c>
      <x:c r="D10" s="17" t="str">
        <x:v>关键</x:v>
      </x:c>
      <x:c r="E10" s="17" t="str">
        <x:v>批次进入RCA</x:v>
      </x:c>
      <x:c r="F10" s="17" t="str">
        <x:v>主分析不合并；补充分析列示</x:v>
      </x:c>
      <x:c r="G10" s="17" t="str">
        <x:v>质量+统计</x:v>
      </x:c>
      <x:c r="H10" s="17" t="str">
        <x:v>委员会决定补批</x:v>
      </x:c>
    </x:row>
    <x:row r="11">
      <x:c r="A11" s="17" t="str">
        <x:v>DM07</x:v>
      </x:c>
      <x:c r="B11" s="17" t="str">
        <x:v>运输冲击</x:v>
      </x:c>
      <x:c r="C11" s="17" t="str">
        <x:v>振动峰值&gt;4.0 m/s²</x:v>
      </x:c>
      <x:c r="D11" s="17" t="str">
        <x:v>主要</x:v>
      </x:c>
      <x:c r="E11" s="17" t="str">
        <x:v>保留运输压力标签</x:v>
      </x:c>
      <x:c r="F11" s="17" t="str">
        <x:v>协变量与分层分析</x:v>
      </x:c>
      <x:c r="G11" s="17" t="str">
        <x:v>物流+统计</x:v>
      </x:c>
      <x:c r="H11" s="17" t="str">
        <x:v>不自动排除</x:v>
      </x:c>
    </x:row>
    <x:row r="12">
      <x:c r="A12" s="17" t="str">
        <x:v>DM08</x:v>
      </x:c>
      <x:c r="B12" s="17" t="str">
        <x:v>揭盲前改动</x:v>
      </x:c>
      <x:c r="C12" s="17" t="str">
        <x:v>SAP、终点或排除规则变更</x:v>
      </x:c>
      <x:c r="D12" s="17" t="str">
        <x:v>关键</x:v>
      </x:c>
      <x:c r="E12" s="17" t="str">
        <x:v>版本化、说明理由、委员会批准</x:v>
      </x:c>
      <x:c r="F12" s="17" t="str">
        <x:v>按修订前后双轨报告</x:v>
      </x:c>
      <x:c r="G12" s="17" t="str">
        <x:v>统计+质量</x:v>
      </x:c>
      <x:c r="H12" s="17" t="str">
        <x:v>审计留痕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6" hidden="0" customWidth="1"/>
    <x:col min="4" max="4" width="40" hidden="0" customWidth="1"/>
    <x:col min="5" max="5" width="32" hidden="0" customWidth="1"/>
    <x:col min="6" max="6" width="28" hidden="0" customWidth="1"/>
    <x:col min="7" max="7" width="32" hidden="0" customWidth="1"/>
    <x:col min="8" max="8" width="20" hidden="0" customWidth="1"/>
    <x:col min="9" max="9" width="16" hidden="0" customWidth="1"/>
    <x:col min="10" max="10" width="34" hidden="0" customWidth="1"/>
    <x:col min="11" max="11" width="16" hidden="0" customWidth="1"/>
  </x:cols>
  <x:sheetData>
    <x:row r="1" ht="30" customHeight="1">
      <x:c r="A1" s="3" t="str">
        <x:v>统计分析计划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基地、品种、产季、批次和处理效应在同一模型框架中估计，并报告效应量和95%置信区间。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3" t="str">
        <x:v>模型ID</x:v>
      </x:c>
      <x:c r="B4" s="13" t="str">
        <x:v>对象</x:v>
      </x:c>
      <x:c r="C4" s="13" t="str">
        <x:v>主模型</x:v>
      </x:c>
      <x:c r="D4" s="13" t="str">
        <x:v>固定效应</x:v>
      </x:c>
      <x:c r="E4" s="13" t="str">
        <x:v>随机效应</x:v>
      </x:c>
      <x:c r="F4" s="13" t="str">
        <x:v>假设检查</x:v>
      </x:c>
      <x:c r="G4" s="13" t="str">
        <x:v>报告量</x:v>
      </x:c>
      <x:c r="H4" s="13" t="str">
        <x:v>判定</x:v>
      </x:c>
      <x:c r="I4" s="13" t="str">
        <x:v>多重性</x:v>
      </x:c>
      <x:c r="J4" s="13" t="str">
        <x:v>敏感性</x:v>
      </x:c>
      <x:c r="K4" s="13" t="str">
        <x:v>责任</x:v>
      </x:c>
    </x:row>
    <x:row r="5">
      <x:c r="A5" s="17" t="str">
        <x:v>SAP01</x:v>
      </x:c>
      <x:c r="B5" s="17" t="str">
        <x:v>硬度</x:v>
      </x:c>
      <x:c r="C5" s="17" t="str">
        <x:v>线性混合效应模型</x:v>
      </x:c>
      <x:c r="D5" s="17" t="str">
        <x:v>处理、时间、处理×时间、品种、产季</x:v>
      </x:c>
      <x:c r="E5" s="17" t="str">
        <x:v>基地/批次/区组随机截距</x:v>
      </x:c>
      <x:c r="F5" s="17" t="str">
        <x:v>模型残差、方差齐性</x:v>
      </x:c>
      <x:c r="G5" s="17" t="str">
        <x:v>差值、标准化差、95%CI</x:v>
      </x:c>
      <x:c r="H5" s="17" t="str">
        <x:v>主要终点α=0.05</x:v>
      </x:c>
      <x:c r="I5" s="17" t="str">
        <x:v>Holm</x:v>
      </x:c>
      <x:c r="J5" s="17" t="str">
        <x:v>ITT+有效批次敏感性</x:v>
      </x:c>
      <x:c r="K5" s="17" t="str">
        <x:v>统计组</x:v>
      </x:c>
    </x:row>
    <x:row r="6">
      <x:c r="A6" s="17" t="str">
        <x:v>SAP02</x:v>
      </x:c>
      <x:c r="B6" s="17" t="str">
        <x:v>腐烂率</x:v>
      </x:c>
      <x:c r="C6" s="17" t="str">
        <x:v>二项GLMM</x:v>
      </x:c>
      <x:c r="D6" s="17" t="str">
        <x:v>处理、时间、品种、产季、运输</x:v>
      </x:c>
      <x:c r="E6" s="17" t="str">
        <x:v>基地/批次随机截距</x:v>
      </x:c>
      <x:c r="F6" s="17" t="str">
        <x:v>过度离散、拟合优度</x:v>
      </x:c>
      <x:c r="G6" s="17" t="str">
        <x:v>风险差、风险比、95%CI</x:v>
      </x:c>
      <x:c r="H6" s="17" t="str">
        <x:v>主要终点α=0.05</x:v>
      </x:c>
      <x:c r="I6" s="17" t="str">
        <x:v>Holm</x:v>
      </x:c>
      <x:c r="J6" s="17" t="str">
        <x:v>缺失按失败/成功界值</x:v>
      </x:c>
      <x:c r="K6" s="17" t="str">
        <x:v>统计组</x:v>
      </x:c>
    </x:row>
    <x:row r="7">
      <x:c r="A7" s="17" t="str">
        <x:v>SAP03</x:v>
      </x:c>
      <x:c r="B7" s="17" t="str">
        <x:v>首次不可售时间</x:v>
      </x:c>
      <x:c r="C7" s="17" t="str">
        <x:v>Cox脆弱性模型</x:v>
      </x:c>
      <x:c r="D7" s="17" t="str">
        <x:v>处理、品种、产季、运输</x:v>
      </x:c>
      <x:c r="E7" s="17" t="str">
        <x:v>基地/批次脆弱性</x:v>
      </x:c>
      <x:c r="F7" s="17" t="str">
        <x:v>比例风险假设</x:v>
      </x:c>
      <x:c r="G7" s="17" t="str">
        <x:v>HR、中位货架期差、95%CI</x:v>
      </x:c>
      <x:c r="H7" s="17" t="str">
        <x:v>支持</x:v>
      </x:c>
      <x:c r="I7" s="17" t="str">
        <x:v>Holm</x:v>
      </x:c>
      <x:c r="J7" s="17" t="str">
        <x:v>竞争风险敏感性</x:v>
      </x:c>
      <x:c r="K7" s="17" t="str">
        <x:v>统计组</x:v>
      </x:c>
    </x:row>
    <x:row r="8">
      <x:c r="A8" s="17" t="str">
        <x:v>SAP04</x:v>
      </x:c>
      <x:c r="B8" s="17" t="str">
        <x:v>连续次要终点</x:v>
      </x:c>
      <x:c r="C8" s="17" t="str">
        <x:v>线性混合效应模型</x:v>
      </x:c>
      <x:c r="D8" s="17" t="str">
        <x:v>处理、时间及交互</x:v>
      </x:c>
      <x:c r="E8" s="17" t="str">
        <x:v>基地/批次/样本随机效应</x:v>
      </x:c>
      <x:c r="F8" s="17" t="str">
        <x:v>残差与影响点</x:v>
      </x:c>
      <x:c r="G8" s="17" t="str">
        <x:v>差值、比值、95%CI</x:v>
      </x:c>
      <x:c r="H8" s="17" t="str">
        <x:v>支持</x:v>
      </x:c>
      <x:c r="I8" s="17" t="str">
        <x:v>Holm</x:v>
      </x:c>
      <x:c r="J8" s="17" t="str">
        <x:v>稳健标准误</x:v>
      </x:c>
      <x:c r="K8" s="17" t="str">
        <x:v>统计组</x:v>
      </x:c>
    </x:row>
    <x:row r="9">
      <x:c r="A9" s="17" t="str">
        <x:v>SAP05</x:v>
      </x:c>
      <x:c r="B9" s="17" t="str">
        <x:v>感官评分</x:v>
      </x:c>
      <x:c r="C9" s="17" t="str">
        <x:v>累积链接混合模型</x:v>
      </x:c>
      <x:c r="D9" s="17" t="str">
        <x:v>处理、时间、评委轮次</x:v>
      </x:c>
      <x:c r="E9" s="17" t="str">
        <x:v>基地/批次/评委随机效应</x:v>
      </x:c>
      <x:c r="F9" s="17" t="str">
        <x:v>平行线假设</x:v>
      </x:c>
      <x:c r="G9" s="17" t="str">
        <x:v>优势比、95%CI</x:v>
      </x:c>
      <x:c r="H9" s="17" t="str">
        <x:v>支持</x:v>
      </x:c>
      <x:c r="I9" s="17" t="str">
        <x:v>Holm</x:v>
      </x:c>
      <x:c r="J9" s="17" t="str">
        <x:v>评分者一致性</x:v>
      </x:c>
      <x:c r="K9" s="17" t="str">
        <x:v>统计组</x:v>
      </x:c>
    </x:row>
    <x:row r="10">
      <x:c r="A10" s="17" t="str">
        <x:v>SAP06</x:v>
      </x:c>
      <x:c r="B10" s="17" t="str">
        <x:v>异质性</x:v>
      </x:c>
      <x:c r="C10" s="17" t="str">
        <x:v>交互与随机斜率</x:v>
      </x:c>
      <x:c r="D10" s="17" t="str">
        <x:v>处理×基地/品种/产季</x:v>
      </x:c>
      <x:c r="E10" s="17" t="str">
        <x:v>批次随机效应</x:v>
      </x:c>
      <x:c r="F10" s="17" t="str">
        <x:v>影响批次与I²类指标</x:v>
      </x:c>
      <x:c r="G10" s="17" t="str">
        <x:v>分层效应、预测区间</x:v>
      </x:c>
      <x:c r="H10" s="17" t="str">
        <x:v>外推</x:v>
      </x:c>
      <x:c r="I10" s="17" t="str">
        <x:v>不单独判优</x:v>
      </x:c>
      <x:c r="J10" s="17" t="str">
        <x:v>留一基地分析</x:v>
      </x:c>
      <x:c r="K10" s="17" t="str">
        <x:v>统计组</x:v>
      </x:c>
    </x:row>
    <x:row r="11">
      <x:c r="A11" s="17" t="str">
        <x:v>SAP07</x:v>
      </x:c>
      <x:c r="B11" s="17" t="str">
        <x:v>经营效果</x:v>
      </x:c>
      <x:c r="C11" s="17" t="str">
        <x:v>批次配对与敏感性模型</x:v>
      </x:c>
      <x:c r="D11" s="17" t="str">
        <x:v>处理、基地、品种、产季</x:v>
      </x:c>
      <x:c r="E11" s="17" t="str">
        <x:v>批次随机效应</x:v>
      </x:c>
      <x:c r="F11" s="17" t="str">
        <x:v>价格和成本区间</x:v>
      </x:c>
      <x:c r="G11" s="17" t="str">
        <x:v>减损量、净收益、BCR</x:v>
      </x:c>
      <x:c r="H11" s="17" t="str">
        <x:v>G5</x:v>
      </x:c>
      <x:c r="I11" s="17" t="str">
        <x:v>场景矩阵</x:v>
      </x:c>
      <x:c r="J11" s="17" t="str">
        <x:v>折旧/能耗/维修边界</x:v>
      </x:c>
      <x:c r="K11" s="17" t="str">
        <x:v>统计+财务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6" hidden="0" customWidth="1"/>
    <x:col min="4" max="4" width="12" hidden="0" customWidth="1"/>
    <x:col min="5" max="5" width="42" hidden="0" customWidth="1"/>
    <x:col min="6" max="6" width="24" hidden="0" customWidth="1"/>
    <x:col min="7" max="7" width="12" hidden="0" customWidth="1"/>
    <x:col min="8" max="8" width="18" hidden="0" customWidth="1"/>
  </x:cols>
  <x:sheetData>
    <x:row r="1" ht="30" customHeight="1">
      <x:c r="A1" s="3" t="str">
        <x:v>商业效果与投资门槛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货架期、放行阈值、报损、售价、能耗、维修和折旧统一到批次增量口径。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3" t="str">
        <x:v>门槛ID</x:v>
      </x:c>
      <x:c r="B4" s="13" t="str">
        <x:v>项目</x:v>
      </x:c>
      <x:c r="C4" s="13" t="str">
        <x:v>门槛</x:v>
      </x:c>
      <x:c r="D4" s="13" t="str">
        <x:v>单位</x:v>
      </x:c>
      <x:c r="E4" s="13" t="str">
        <x:v>公式/定义</x:v>
      </x:c>
      <x:c r="F4" s="13" t="str">
        <x:v>核算层级</x:v>
      </x:c>
      <x:c r="G4" s="13" t="str">
        <x:v>阶段门</x:v>
      </x:c>
      <x:c r="H4" s="13" t="str">
        <x:v>责任</x:v>
      </x:c>
    </x:row>
    <x:row r="5">
      <x:c r="A5" s="17" t="str">
        <x:v>BM01</x:v>
      </x:c>
      <x:c r="B5" s="17" t="str">
        <x:v>货架期延长</x:v>
      </x:c>
      <x:c r="C5" s="17" t="str">
        <x:v>≥2</x:v>
      </x:c>
      <x:c r="D5" s="17" t="str">
        <x:v>d</x:v>
      </x:c>
      <x:c r="E5" s="17" t="str">
        <x:v>首次不可售时间中位数差</x:v>
      </x:c>
      <x:c r="F5" s="17" t="str">
        <x:v>批次配对</x:v>
      </x:c>
      <x:c r="G5" s="17" t="str">
        <x:v>G4</x:v>
      </x:c>
      <x:c r="H5" s="17" t="str">
        <x:v>运营</x:v>
      </x:c>
    </x:row>
    <x:row r="6">
      <x:c r="A6" s="17" t="str">
        <x:v>BM02</x:v>
      </x:c>
      <x:c r="B6" s="17" t="str">
        <x:v>放行合格率</x:v>
      </x:c>
      <x:c r="C6" s="17" t="str">
        <x:v>≥90%</x:v>
      </x:c>
      <x:c r="D6" s="17" t="str">
        <x:v>%</x:v>
      </x:c>
      <x:c r="E6" s="17" t="str">
        <x:v>15 d感官≥6分且无腐烂</x:v>
      </x:c>
      <x:c r="F6" s="17" t="str">
        <x:v>批次配对</x:v>
      </x:c>
      <x:c r="G6" s="17" t="str">
        <x:v>G4</x:v>
      </x:c>
      <x:c r="H6" s="17" t="str">
        <x:v>质量</x:v>
      </x:c>
    </x:row>
    <x:row r="7">
      <x:c r="A7" s="17" t="str">
        <x:v>BM03</x:v>
      </x:c>
      <x:c r="B7" s="17" t="str">
        <x:v>报损率改善</x:v>
      </x:c>
      <x:c r="C7" s="17" t="str">
        <x:v>≥5</x:v>
      </x:c>
      <x:c r="D7" s="17" t="str">
        <x:v>个百分点</x:v>
      </x:c>
      <x:c r="E7" s="17" t="str">
        <x:v>0 mT报损率-5 mT报损率</x:v>
      </x:c>
      <x:c r="F7" s="17" t="str">
        <x:v>同批次同口径</x:v>
      </x:c>
      <x:c r="G7" s="17" t="str">
        <x:v>G5</x:v>
      </x:c>
      <x:c r="H7" s="17" t="str">
        <x:v>运营</x:v>
      </x:c>
    </x:row>
    <x:row r="8">
      <x:c r="A8" s="17" t="str">
        <x:v>BM04</x:v>
      </x:c>
      <x:c r="B8" s="17" t="str">
        <x:v>增量售价</x:v>
      </x:c>
      <x:c r="C8" s="17" t="str">
        <x:v>≥0</x:v>
      </x:c>
      <x:c r="D8" s="17" t="str">
        <x:v>元/kg</x:v>
      </x:c>
      <x:c r="E8" s="17" t="str">
        <x:v>处理组净售价-对照组净售价</x:v>
      </x:c>
      <x:c r="F8" s="17" t="str">
        <x:v>扣除退货调整</x:v>
      </x:c>
      <x:c r="G8" s="17" t="str">
        <x:v>G5</x:v>
      </x:c>
      <x:c r="H8" s="17" t="str">
        <x:v>销售</x:v>
      </x:c>
    </x:row>
    <x:row r="9">
      <x:c r="A9" s="17" t="str">
        <x:v>BM05</x:v>
      </x:c>
      <x:c r="B9" s="17" t="str">
        <x:v>单位能耗</x:v>
      </x:c>
      <x:c r="C9" s="17" t="str">
        <x:v>按批归集</x:v>
      </x:c>
      <x:c r="D9" s="17" t="str">
        <x:v>kWh/t</x:v>
      </x:c>
      <x:c r="E9" s="17" t="str">
        <x:v>独立电表用电/处理量</x:v>
      </x:c>
      <x:c r="F9" s="17" t="str">
        <x:v>设备批次</x:v>
      </x:c>
      <x:c r="G9" s="17" t="str">
        <x:v>G4</x:v>
      </x:c>
      <x:c r="H9" s="17" t="str">
        <x:v>设备</x:v>
      </x:c>
    </x:row>
    <x:row r="10">
      <x:c r="A10" s="17" t="str">
        <x:v>BM06</x:v>
      </x:c>
      <x:c r="B10" s="17" t="str">
        <x:v>单位维护成本</x:v>
      </x:c>
      <x:c r="C10" s="17" t="str">
        <x:v>按月归集</x:v>
      </x:c>
      <x:c r="D10" s="17" t="str">
        <x:v>元/t</x:v>
      </x:c>
      <x:c r="E10" s="17" t="str">
        <x:v>备件+人工+校准/处理量</x:v>
      </x:c>
      <x:c r="F10" s="17" t="str">
        <x:v>运营月份</x:v>
      </x:c>
      <x:c r="G10" s="17" t="str">
        <x:v>G5</x:v>
      </x:c>
      <x:c r="H10" s="17" t="str">
        <x:v>设备</x:v>
      </x:c>
    </x:row>
    <x:row r="11">
      <x:c r="A11" s="17" t="str">
        <x:v>BM07</x:v>
      </x:c>
      <x:c r="B11" s="17" t="str">
        <x:v>折旧</x:v>
      </x:c>
      <x:c r="C11" s="17" t="str">
        <x:v>5年直线法</x:v>
      </x:c>
      <x:c r="D11" s="17" t="str">
        <x:v>元/t</x:v>
      </x:c>
      <x:c r="E11" s="17" t="str">
        <x:v>设备原值/60月/处理量</x:v>
      </x:c>
      <x:c r="F11" s="17" t="str">
        <x:v>投资预算</x:v>
      </x:c>
      <x:c r="G11" s="17" t="str">
        <x:v>G5</x:v>
      </x:c>
      <x:c r="H11" s="17" t="str">
        <x:v>财务</x:v>
      </x:c>
    </x:row>
    <x:row r="12">
      <x:c r="A12" s="17" t="str">
        <x:v>BM08</x:v>
      </x:c>
      <x:c r="B12" s="17" t="str">
        <x:v>收益成本比</x:v>
      </x:c>
      <x:c r="C12" s="17" t="str">
        <x:v>≥1.50</x:v>
      </x:c>
      <x:c r="D12" s="17" t="str">
        <x:v>-</x:v>
      </x:c>
      <x:c r="E12" s="17" t="str">
        <x:v>增量收益/增量成本</x:v>
      </x:c>
      <x:c r="F12" s="17" t="str">
        <x:v>基准+上下界</x:v>
      </x:c>
      <x:c r="G12" s="17" t="str">
        <x:v>G5</x:v>
      </x:c>
      <x:c r="H12" s="17" t="str">
        <x:v>财务</x:v>
      </x:c>
    </x:row>
    <x:row r="13">
      <x:c r="A13" s="17" t="str">
        <x:v>BM09</x:v>
      </x:c>
      <x:c r="B13" s="17" t="str">
        <x:v>回收期</x:v>
      </x:c>
      <x:c r="C13" s="17" t="str">
        <x:v>≤24</x:v>
      </x:c>
      <x:c r="D13" s="17" t="str">
        <x:v>月</x:v>
      </x:c>
      <x:c r="E13" s="17" t="str">
        <x:v>设备投资/年化净现金流</x:v>
      </x:c>
      <x:c r="F13" s="17" t="str">
        <x:v>基准+上下界</x:v>
      </x:c>
      <x:c r="G13" s="17" t="str">
        <x:v>G5</x:v>
      </x:c>
      <x:c r="H13" s="17" t="str">
        <x:v>财务</x:v>
      </x:c>
    </x:row>
    <x:row r="14">
      <x:c r="A14" s="17" t="str">
        <x:v>BM10</x:v>
      </x:c>
      <x:c r="B14" s="17" t="str">
        <x:v>外推边界</x:v>
      </x:c>
      <x:c r="C14" s="17" t="str">
        <x:v>4基地×2品种×2产季</x:v>
      </x:c>
      <x:c r="D14" s="17" t="str">
        <x:v>-</x:v>
      </x:c>
      <x:c r="E14" s="17" t="str">
        <x:v>仅在通过组合内形成部署清单</x:v>
      </x:c>
      <x:c r="F14" s="17" t="str">
        <x:v>预测区间</x:v>
      </x:c>
      <x:c r="G14" s="17" t="str">
        <x:v>G5</x:v>
      </x:c>
      <x:c r="H14" s="17" t="str">
        <x:v>项目委员会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8" hidden="0" customWidth="1"/>
    <x:col min="4" max="4" width="18" hidden="0" customWidth="1"/>
    <x:col min="5" max="5" width="40" hidden="0" customWidth="1"/>
    <x:col min="6" max="6" width="18" hidden="0" customWidth="1"/>
    <x:col min="7" max="7" width="22" hidden="0" customWidth="1"/>
    <x:col min="8" max="8" width="12" hidden="0" customWidth="1"/>
  </x:cols>
  <x:sheetData>
    <x:row r="1" ht="30" customHeight="1">
      <x:c r="A1" s="3" t="str">
        <x:v>批次与阶段评审计划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24轮评审覆盖立项、方法、批次、产季、压力测试、第三方复核、经营和部署决策。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3" t="str">
        <x:v>轮次</x:v>
      </x:c>
      <x:c r="B4" s="13" t="str">
        <x:v>阶段门</x:v>
      </x:c>
      <x:c r="C4" s="13" t="str">
        <x:v>主题</x:v>
      </x:c>
      <x:c r="D4" s="13" t="str">
        <x:v>评审类型</x:v>
      </x:c>
      <x:c r="E4" s="13" t="str">
        <x:v>必备证据</x:v>
      </x:c>
      <x:c r="F4" s="13" t="str">
        <x:v>牵头</x:v>
      </x:c>
      <x:c r="G4" s="13" t="str">
        <x:v>决策</x:v>
      </x:c>
      <x:c r="H4" s="13" t="str">
        <x:v>状态</x:v>
      </x:c>
    </x:row>
    <x:row r="5">
      <x:c r="A5" s="17" t="str">
        <x:v>R01</x:v>
      </x:c>
      <x:c r="B5" s="17" t="str">
        <x:v>G0</x:v>
      </x:c>
      <x:c r="C5" s="17" t="str">
        <x:v>项目章程与责任签署</x:v>
      </x:c>
      <x:c r="D5" s="17" t="str">
        <x:v>立项会</x:v>
      </x:c>
      <x:c r="E5" s="17" t="str">
        <x:v>章程、职责矩阵</x:v>
      </x:c>
      <x:c r="F5" s="17" t="str">
        <x:v>项目办公室</x:v>
      </x:c>
      <x:c r="G5" s="17" t="str">
        <x:v>立项/退回</x:v>
      </x:c>
      <x:c r="H5" s="17" t="str">
        <x:v>计划</x:v>
      </x:c>
    </x:row>
    <x:row r="6">
      <x:c r="A6" s="17" t="str">
        <x:v>R02</x:v>
      </x:c>
      <x:c r="B6" s="17" t="str">
        <x:v>G1</x:v>
      </x:c>
      <x:c r="C6" s="17" t="str">
        <x:v>主要假设与终点冻结</x:v>
      </x:c>
      <x:c r="D6" s="17" t="str">
        <x:v>设计审查</x:v>
      </x:c>
      <x:c r="E6" s="17" t="str">
        <x:v>预注册摘要</x:v>
      </x:c>
      <x:c r="F6" s="17" t="str">
        <x:v>统计组</x:v>
      </x:c>
      <x:c r="G6" s="17" t="str">
        <x:v>通过/修订</x:v>
      </x:c>
      <x:c r="H6" s="17" t="str">
        <x:v>计划</x:v>
      </x:c>
    </x:row>
    <x:row r="7">
      <x:c r="A7" s="17" t="str">
        <x:v>R03</x:v>
      </x:c>
      <x:c r="B7" s="17" t="str">
        <x:v>G1</x:v>
      </x:c>
      <x:c r="C7" s="17" t="str">
        <x:v>样本量与损耗冗余</x:v>
      </x:c>
      <x:c r="D7" s="17" t="str">
        <x:v>设计审查</x:v>
      </x:c>
      <x:c r="E7" s="17" t="str">
        <x:v>样本量规划</x:v>
      </x:c>
      <x:c r="F7" s="17" t="str">
        <x:v>统计组</x:v>
      </x:c>
      <x:c r="G7" s="17" t="str">
        <x:v>通过/增补</x:v>
      </x:c>
      <x:c r="H7" s="17" t="str">
        <x:v>计划</x:v>
      </x:c>
    </x:row>
    <x:row r="8">
      <x:c r="A8" s="17" t="str">
        <x:v>R04</x:v>
      </x:c>
      <x:c r="B8" s="17" t="str">
        <x:v>G1</x:v>
      </x:c>
      <x:c r="C8" s="17" t="str">
        <x:v>基地和批次覆盖</x:v>
      </x:c>
      <x:c r="D8" s="17" t="str">
        <x:v>资源审查</x:v>
      </x:c>
      <x:c r="E8" s="17" t="str">
        <x:v>基地品种产季</x:v>
      </x:c>
      <x:c r="F8" s="17" t="str">
        <x:v>运营组</x:v>
      </x:c>
      <x:c r="G8" s="17" t="str">
        <x:v>通过/调整</x:v>
      </x:c>
      <x:c r="H8" s="17" t="str">
        <x:v>计划</x:v>
      </x:c>
    </x:row>
    <x:row r="9">
      <x:c r="A9" s="17" t="str">
        <x:v>R05</x:v>
      </x:c>
      <x:c r="B9" s="17" t="str">
        <x:v>G2</x:v>
      </x:c>
      <x:c r="C9" s="17" t="str">
        <x:v>设备IQ/OQ方案</x:v>
      </x:c>
      <x:c r="D9" s="17" t="str">
        <x:v>设备审查</x:v>
      </x:c>
      <x:c r="E9" s="17" t="str">
        <x:v>设备主数据、测场计划</x:v>
      </x:c>
      <x:c r="F9" s="17" t="str">
        <x:v>设备组</x:v>
      </x:c>
      <x:c r="G9" s="17" t="str">
        <x:v>放行/整改</x:v>
      </x:c>
      <x:c r="H9" s="17" t="str">
        <x:v>计划</x:v>
      </x:c>
    </x:row>
    <x:row r="10">
      <x:c r="A10" s="17" t="str">
        <x:v>R06</x:v>
      </x:c>
      <x:c r="B10" s="17" t="str">
        <x:v>G2</x:v>
      </x:c>
      <x:c r="C10" s="17" t="str">
        <x:v>环境采集与报警</x:v>
      </x:c>
      <x:c r="D10" s="17" t="str">
        <x:v>运行审查</x:v>
      </x:c>
      <x:c r="E10" s="17" t="str">
        <x:v>环境采集规范</x:v>
      </x:c>
      <x:c r="F10" s="17" t="str">
        <x:v>运营组</x:v>
      </x:c>
      <x:c r="G10" s="17" t="str">
        <x:v>放行/整改</x:v>
      </x:c>
      <x:c r="H10" s="17" t="str">
        <x:v>计划</x:v>
      </x:c>
    </x:row>
    <x:row r="11">
      <x:c r="A11" s="17" t="str">
        <x:v>R07</x:v>
      </x:c>
      <x:c r="B11" s="17" t="str">
        <x:v>G1</x:v>
      </x:c>
      <x:c r="C11" s="17" t="str">
        <x:v>随机化、盲法和链路</x:v>
      </x:c>
      <x:c r="D11" s="17" t="str">
        <x:v>质量审查</x:v>
      </x:c>
      <x:c r="E11" s="17" t="str">
        <x:v>随机化、链路规范</x:v>
      </x:c>
      <x:c r="F11" s="17" t="str">
        <x:v>质量组</x:v>
      </x:c>
      <x:c r="G11" s="17" t="str">
        <x:v>放行/整改</x:v>
      </x:c>
      <x:c r="H11" s="17" t="str">
        <x:v>计划</x:v>
      </x:c>
    </x:row>
    <x:row r="12">
      <x:c r="A12" s="17" t="str">
        <x:v>R08</x:v>
      </x:c>
      <x:c r="B12" s="17" t="str">
        <x:v>G2</x:v>
      </x:c>
      <x:c r="C12" s="17" t="str">
        <x:v>检测方法与QC</x:v>
      </x:c>
      <x:c r="D12" s="17" t="str">
        <x:v>方法审查</x:v>
      </x:c>
      <x:c r="E12" s="17" t="str">
        <x:v>端点与时点</x:v>
      </x:c>
      <x:c r="F12" s="17" t="str">
        <x:v>研发组</x:v>
      </x:c>
      <x:c r="G12" s="17" t="str">
        <x:v>放行/整改</x:v>
      </x:c>
      <x:c r="H12" s="17" t="str">
        <x:v>计划</x:v>
      </x:c>
    </x:row>
    <x:row r="13">
      <x:c r="A13" s="17" t="str">
        <x:v>R09</x:v>
      </x:c>
      <x:c r="B13" s="17" t="str">
        <x:v>G2</x:v>
      </x:c>
      <x:c r="C13" s="17" t="str">
        <x:v>首批执行准备</x:v>
      </x:c>
      <x:c r="D13" s="17" t="str">
        <x:v>启动审查</x:v>
      </x:c>
      <x:c r="E13" s="17" t="str">
        <x:v>人员培训、物料和设备</x:v>
      </x:c>
      <x:c r="F13" s="17" t="str">
        <x:v>项目办公室</x:v>
      </x:c>
      <x:c r="G13" s="17" t="str">
        <x:v>启动/延期</x:v>
      </x:c>
      <x:c r="H13" s="17" t="str">
        <x:v>计划</x:v>
      </x:c>
    </x:row>
    <x:row r="14">
      <x:c r="A14" s="17" t="str">
        <x:v>R10</x:v>
      </x:c>
      <x:c r="B14" s="17" t="str">
        <x:v>G3</x:v>
      </x:c>
      <x:c r="C14" s="17" t="str">
        <x:v>首批数据质量</x:v>
      </x:c>
      <x:c r="D14" s="17" t="str">
        <x:v>批次审查</x:v>
      </x:c>
      <x:c r="E14" s="17" t="str">
        <x:v>原始记录、偏差清单</x:v>
      </x:c>
      <x:c r="F14" s="17" t="str">
        <x:v>质量组</x:v>
      </x:c>
      <x:c r="G14" s="17" t="str">
        <x:v>接受/RCA</x:v>
      </x:c>
      <x:c r="H14" s="17" t="str">
        <x:v>计划</x:v>
      </x:c>
    </x:row>
    <x:row r="15">
      <x:c r="A15" s="17" t="str">
        <x:v>R11</x:v>
      </x:c>
      <x:c r="B15" s="17" t="str">
        <x:v>G3</x:v>
      </x:c>
      <x:c r="C15" s="17" t="str">
        <x:v>第二基地复现</x:v>
      </x:c>
      <x:c r="D15" s="17" t="str">
        <x:v>批次审查</x:v>
      </x:c>
      <x:c r="E15" s="17" t="str">
        <x:v>主要终点盲态汇总</x:v>
      </x:c>
      <x:c r="F15" s="17" t="str">
        <x:v>统计组</x:v>
      </x:c>
      <x:c r="G15" s="17" t="str">
        <x:v>继续/调整</x:v>
      </x:c>
      <x:c r="H15" s="17" t="str">
        <x:v>计划</x:v>
      </x:c>
    </x:row>
    <x:row r="16">
      <x:c r="A16" s="17" t="str">
        <x:v>R12</x:v>
      </x:c>
      <x:c r="B16" s="17" t="str">
        <x:v>G3</x:v>
      </x:c>
      <x:c r="C16" s="17" t="str">
        <x:v>第一产季中期</x:v>
      </x:c>
      <x:c r="D16" s="17" t="str">
        <x:v>阶段审查</x:v>
      </x:c>
      <x:c r="E16" s="17" t="str">
        <x:v>有效率、环境偏差</x:v>
      </x:c>
      <x:c r="F16" s="17" t="str">
        <x:v>项目委员会</x:v>
      </x:c>
      <x:c r="G16" s="17" t="str">
        <x:v>继续/暂停</x:v>
      </x:c>
      <x:c r="H16" s="17" t="str">
        <x:v>计划</x:v>
      </x:c>
    </x:row>
    <x:row r="17">
      <x:c r="A17" s="17" t="str">
        <x:v>R13</x:v>
      </x:c>
      <x:c r="B17" s="17" t="str">
        <x:v>G3</x:v>
      </x:c>
      <x:c r="C17" s="17" t="str">
        <x:v>第一产季结题</x:v>
      </x:c>
      <x:c r="D17" s="17" t="str">
        <x:v>阶段审查</x:v>
      </x:c>
      <x:c r="E17" s="17" t="str">
        <x:v>产季统计摘要</x:v>
      </x:c>
      <x:c r="F17" s="17" t="str">
        <x:v>统计组</x:v>
      </x:c>
      <x:c r="G17" s="17" t="str">
        <x:v>进入第二产季/修订</x:v>
      </x:c>
      <x:c r="H17" s="17" t="str">
        <x:v>计划</x:v>
      </x:c>
    </x:row>
    <x:row r="18">
      <x:c r="A18" s="17" t="str">
        <x:v>R14</x:v>
      </x:c>
      <x:c r="B18" s="17" t="str">
        <x:v>G2</x:v>
      </x:c>
      <x:c r="C18" s="17" t="str">
        <x:v>第二产季准备</x:v>
      </x:c>
      <x:c r="D18" s="17" t="str">
        <x:v>启动审查</x:v>
      </x:c>
      <x:c r="E18" s="17" t="str">
        <x:v>方法、设备、供应链变更</x:v>
      </x:c>
      <x:c r="F18" s="17" t="str">
        <x:v>质量组</x:v>
      </x:c>
      <x:c r="G18" s="17" t="str">
        <x:v>启动/延期</x:v>
      </x:c>
      <x:c r="H18" s="17" t="str">
        <x:v>计划</x:v>
      </x:c>
    </x:row>
    <x:row r="19">
      <x:c r="A19" s="17" t="str">
        <x:v>R15</x:v>
      </x:c>
      <x:c r="B19" s="17" t="str">
        <x:v>G3</x:v>
      </x:c>
      <x:c r="C19" s="17" t="str">
        <x:v>运输压力试验</x:v>
      </x:c>
      <x:c r="D19" s="17" t="str">
        <x:v>压力审查</x:v>
      </x:c>
      <x:c r="E19" s="17" t="str">
        <x:v>振动、温控、到货质量</x:v>
      </x:c>
      <x:c r="F19" s="17" t="str">
        <x:v>运营组</x:v>
      </x:c>
      <x:c r="G19" s="17" t="str">
        <x:v>通过/优化</x:v>
      </x:c>
      <x:c r="H19" s="17" t="str">
        <x:v>计划</x:v>
      </x:c>
    </x:row>
    <x:row r="20">
      <x:c r="A20" s="17" t="str">
        <x:v>R16</x:v>
      </x:c>
      <x:c r="B20" s="17" t="str">
        <x:v>G3</x:v>
      </x:c>
      <x:c r="C20" s="17" t="str">
        <x:v>包装压力试验</x:v>
      </x:c>
      <x:c r="D20" s="17" t="str">
        <x:v>压力审查</x:v>
      </x:c>
      <x:c r="E20" s="17" t="str">
        <x:v>包装×处理结果</x:v>
      </x:c>
      <x:c r="F20" s="17" t="str">
        <x:v>研发组</x:v>
      </x:c>
      <x:c r="G20" s="17" t="str">
        <x:v>通过/优化</x:v>
      </x:c>
      <x:c r="H20" s="17" t="str">
        <x:v>计划</x:v>
      </x:c>
    </x:row>
    <x:row r="21">
      <x:c r="A21" s="17" t="str">
        <x:v>R17</x:v>
      </x:c>
      <x:c r="B21" s="17" t="str">
        <x:v>G3</x:v>
      </x:c>
      <x:c r="C21" s="17" t="str">
        <x:v>微生物与感官复核</x:v>
      </x:c>
      <x:c r="D21" s="17" t="str">
        <x:v>专项审查</x:v>
      </x:c>
      <x:c r="E21" s="17" t="str">
        <x:v>第三方检测与盲评</x:v>
      </x:c>
      <x:c r="F21" s="17" t="str">
        <x:v>质量组</x:v>
      </x:c>
      <x:c r="G21" s="17" t="str">
        <x:v>通过/RCA</x:v>
      </x:c>
      <x:c r="H21" s="17" t="str">
        <x:v>计划</x:v>
      </x:c>
    </x:row>
    <x:row r="22">
      <x:c r="A22" s="17" t="str">
        <x:v>R18</x:v>
      </x:c>
      <x:c r="B22" s="17" t="str">
        <x:v>G3</x:v>
      </x:c>
      <x:c r="C22" s="17" t="str">
        <x:v>跨基地统计模型</x:v>
      </x:c>
      <x:c r="D22" s="17" t="str">
        <x:v>统计审查</x:v>
      </x:c>
      <x:c r="E22" s="17" t="str">
        <x:v>效应量、CI、异质性</x:v>
      </x:c>
      <x:c r="F22" s="17" t="str">
        <x:v>统计组</x:v>
      </x:c>
      <x:c r="G22" s="17" t="str">
        <x:v>确证/补批</x:v>
      </x:c>
      <x:c r="H22" s="17" t="str">
        <x:v>计划</x:v>
      </x:c>
    </x:row>
    <x:row r="23">
      <x:c r="A23" s="17" t="str">
        <x:v>R19</x:v>
      </x:c>
      <x:c r="B23" s="17" t="str">
        <x:v>G3</x:v>
      </x:c>
      <x:c r="C23" s="17" t="str">
        <x:v>第三方独立复现</x:v>
      </x:c>
      <x:c r="D23" s="17" t="str">
        <x:v>复核审查</x:v>
      </x:c>
      <x:c r="E23" s="17" t="str">
        <x:v>复核报告、原始记录</x:v>
      </x:c>
      <x:c r="F23" s="17" t="str">
        <x:v>第三方</x:v>
      </x:c>
      <x:c r="G23" s="17" t="str">
        <x:v>接受/调查</x:v>
      </x:c>
      <x:c r="H23" s="17" t="str">
        <x:v>计划</x:v>
      </x:c>
    </x:row>
    <x:row r="24">
      <x:c r="A24" s="17" t="str">
        <x:v>R20</x:v>
      </x:c>
      <x:c r="B24" s="17" t="str">
        <x:v>G4</x:v>
      </x:c>
      <x:c r="C24" s="17" t="str">
        <x:v>商业冷库运行</x:v>
      </x:c>
      <x:c r="D24" s="17" t="str">
        <x:v>试运行审查</x:v>
      </x:c>
      <x:c r="E24" s="17" t="str">
        <x:v>产能、均匀性、故障</x:v>
      </x:c>
      <x:c r="F24" s="17" t="str">
        <x:v>运营组</x:v>
      </x:c>
      <x:c r="G24" s="17" t="str">
        <x:v>转化/整改</x:v>
      </x:c>
      <x:c r="H24" s="17" t="str">
        <x:v>计划</x:v>
      </x:c>
    </x:row>
    <x:row r="25">
      <x:c r="A25" s="17" t="str">
        <x:v>R21</x:v>
      </x:c>
      <x:c r="B25" s="17" t="str">
        <x:v>G5</x:v>
      </x:c>
      <x:c r="C25" s="17" t="str">
        <x:v>经营效果与敏感性</x:v>
      </x:c>
      <x:c r="D25" s="17" t="str">
        <x:v>财务审查</x:v>
      </x:c>
      <x:c r="E25" s="17" t="str">
        <x:v>报损、售价、能耗、成本</x:v>
      </x:c>
      <x:c r="F25" s="17" t="str">
        <x:v>财务组</x:v>
      </x:c>
      <x:c r="G25" s="17" t="str">
        <x:v>通过/调整</x:v>
      </x:c>
      <x:c r="H25" s="17" t="str">
        <x:v>计划</x:v>
      </x:c>
    </x:row>
    <x:row r="26">
      <x:c r="A26" s="17" t="str">
        <x:v>R22</x:v>
      </x:c>
      <x:c r="B26" s="17" t="str">
        <x:v>G4</x:v>
      </x:c>
      <x:c r="C26" s="17" t="str">
        <x:v>部署SOP验证</x:v>
      </x:c>
      <x:c r="D26" s="17" t="str">
        <x:v>文件审查</x:v>
      </x:c>
      <x:c r="E26" s="17" t="str">
        <x:v>演练记录、偏差</x:v>
      </x:c>
      <x:c r="F26" s="17" t="str">
        <x:v>质量组</x:v>
      </x:c>
      <x:c r="G26" s="17" t="str">
        <x:v>批准/修订</x:v>
      </x:c>
      <x:c r="H26" s="17" t="str">
        <x:v>计划</x:v>
      </x:c>
    </x:row>
    <x:row r="27">
      <x:c r="A27" s="17" t="str">
        <x:v>R23</x:v>
      </x:c>
      <x:c r="B27" s="17" t="str">
        <x:v>G5</x:v>
      </x:c>
      <x:c r="C27" s="17" t="str">
        <x:v>全链路审计</x:v>
      </x:c>
      <x:c r="D27" s="17" t="str">
        <x:v>终审</x:v>
      </x:c>
      <x:c r="E27" s="17" t="str">
        <x:v>数据、报告、SOP、RCA</x:v>
      </x:c>
      <x:c r="F27" s="17" t="str">
        <x:v>项目委员会</x:v>
      </x:c>
      <x:c r="G27" s="17" t="str">
        <x:v>提交/退回</x:v>
      </x:c>
      <x:c r="H27" s="17" t="str">
        <x:v>计划</x:v>
      </x:c>
    </x:row>
    <x:row r="28">
      <x:c r="A28" s="17" t="str">
        <x:v>R24</x:v>
      </x:c>
      <x:c r="B28" s="17" t="str">
        <x:v>G5</x:v>
      </x:c>
      <x:c r="C28" s="17" t="str">
        <x:v>继续/停止决策</x:v>
      </x:c>
      <x:c r="D28" s="17" t="str">
        <x:v>决策会</x:v>
      </x:c>
      <x:c r="E28" s="17" t="str">
        <x:v>综合证据包</x:v>
      </x:c>
      <x:c r="F28" s="17" t="str">
        <x:v>决策委员会</x:v>
      </x:c>
      <x:c r="G28" s="17" t="str">
        <x:v>部署/限定/停止</x:v>
      </x:c>
      <x:c r="H28" s="17" t="str">
        <x:v>计划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32" hidden="0" customWidth="1"/>
    <x:col min="5" max="5" width="30" hidden="0" customWidth="1"/>
    <x:col min="6" max="6" width="12" hidden="0" customWidth="1"/>
    <x:col min="7" max="7" width="18" hidden="0" customWidth="1"/>
    <x:col min="8" max="8" width="34" hidden="0" customWidth="1"/>
    <x:col min="9" max="9" width="18" hidden="0" customWidth="1"/>
    <x:col min="10" max="10" width="14" hidden="0" customWidth="1"/>
  </x:cols>
  <x:sheetData>
    <x:row r="1" ht="30" customHeight="1">
      <x:c r="A1" s="3" t="str">
        <x:v>关键批次失败与根因调查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关键设备、环境、链路、检测和主要终点失败按统一时限完成调查、纠正和复核。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3" t="str">
        <x:v>RCAID</x:v>
      </x:c>
      <x:c r="B4" s="13" t="str">
        <x:v>触发</x:v>
      </x:c>
      <x:c r="C4" s="13" t="str">
        <x:v>判定</x:v>
      </x:c>
      <x:c r="D4" s="13" t="str">
        <x:v>即时处置</x:v>
      </x:c>
      <x:c r="E4" s="13" t="str">
        <x:v>根因维度</x:v>
      </x:c>
      <x:c r="F4" s="13" t="str">
        <x:v>时限</x:v>
      </x:c>
      <x:c r="G4" s="13" t="str">
        <x:v>责任</x:v>
      </x:c>
      <x:c r="H4" s="13" t="str">
        <x:v>关闭证据</x:v>
      </x:c>
      <x:c r="I4" s="13" t="str">
        <x:v>决策</x:v>
      </x:c>
      <x:c r="J4" s="13" t="str">
        <x:v>状态</x:v>
      </x:c>
    </x:row>
    <x:row r="5">
      <x:c r="A5" s="17" t="str">
        <x:v>RCA01</x:v>
      </x:c>
      <x:c r="B5" s="17" t="str">
        <x:v>磁场越界</x:v>
      </x:c>
      <x:c r="C5" s="17" t="str">
        <x:v>连续5 min超出4.75-5.25 mT</x:v>
      </x:c>
      <x:c r="D5" s="17" t="str">
        <x:v>立即停机并隔离批次</x:v>
      </x:c>
      <x:c r="E5" s="17" t="str">
        <x:v>设备/校准/操作/供电</x:v>
      </x:c>
      <x:c r="F5" s="17" t="str">
        <x:v>24 h</x:v>
      </x:c>
      <x:c r="G5" s="17" t="str">
        <x:v>设备负责人</x:v>
      </x:c>
      <x:c r="H5" s="17" t="str">
        <x:v>重新测场+质量放行</x:v>
      </x:c>
      <x:c r="I5" s="17" t="str">
        <x:v>批次去留</x:v>
      </x:c>
      <x:c r="J5" s="17" t="str">
        <x:v>待触发</x:v>
      </x:c>
    </x:row>
    <x:row r="6">
      <x:c r="A6" s="17" t="str">
        <x:v>RCA02</x:v>
      </x:c>
      <x:c r="B6" s="17" t="str">
        <x:v>温度越界</x:v>
      </x:c>
      <x:c r="C6" s="17" t="str">
        <x:v>连续15 min超出3.5-4.5℃</x:v>
      </x:c>
      <x:c r="D6" s="17" t="str">
        <x:v>转移样品并保留日志</x:v>
      </x:c>
      <x:c r="E6" s="17" t="str">
        <x:v>冷机/门开启/装载/停电</x:v>
      </x:c>
      <x:c r="F6" s="17" t="str">
        <x:v>24 h</x:v>
      </x:c>
      <x:c r="G6" s="17" t="str">
        <x:v>运营负责人</x:v>
      </x:c>
      <x:c r="H6" s="17" t="str">
        <x:v>温度恢复+偏差评估</x:v>
      </x:c>
      <x:c r="I6" s="17" t="str">
        <x:v>分析标签</x:v>
      </x:c>
      <x:c r="J6" s="17" t="str">
        <x:v>待触发</x:v>
      </x:c>
    </x:row>
    <x:row r="7">
      <x:c r="A7" s="17" t="str">
        <x:v>RCA03</x:v>
      </x:c>
      <x:c r="B7" s="17" t="str">
        <x:v>样本断链</x:v>
      </x:c>
      <x:c r="C7" s="17" t="str">
        <x:v>标识或封签无法闭环</x:v>
      </x:c>
      <x:c r="D7" s="17" t="str">
        <x:v>隔离样本</x:v>
      </x:c>
      <x:c r="E7" s="17" t="str">
        <x:v>打印/交接/转运/录入</x:v>
      </x:c>
      <x:c r="F7" s="17" t="str">
        <x:v>8 h</x:v>
      </x:c>
      <x:c r="G7" s="17" t="str">
        <x:v>质量负责人</x:v>
      </x:c>
      <x:c r="H7" s="17" t="str">
        <x:v>链路重建或排除</x:v>
      </x:c>
      <x:c r="I7" s="17" t="str">
        <x:v>样本去留</x:v>
      </x:c>
      <x:c r="J7" s="17" t="str">
        <x:v>待触发</x:v>
      </x:c>
    </x:row>
    <x:row r="8">
      <x:c r="A8" s="17" t="str">
        <x:v>RCA04</x:v>
      </x:c>
      <x:c r="B8" s="17" t="str">
        <x:v>检测QC失败</x:v>
      </x:c>
      <x:c r="C8" s="17" t="str">
        <x:v>标准品或平行样超限</x:v>
      </x:c>
      <x:c r="D8" s="17" t="str">
        <x:v>暂停检测并锁定数据</x:v>
      </x:c>
      <x:c r="E8" s="17" t="str">
        <x:v>仪器/试剂/方法/人员</x:v>
      </x:c>
      <x:c r="F8" s="17" t="str">
        <x:v>24 h</x:v>
      </x:c>
      <x:c r="G8" s="17" t="str">
        <x:v>检测负责人</x:v>
      </x:c>
      <x:c r="H8" s="17" t="str">
        <x:v>校准+复测</x:v>
      </x:c>
      <x:c r="I8" s="17" t="str">
        <x:v>数据去留</x:v>
      </x:c>
      <x:c r="J8" s="17" t="str">
        <x:v>待触发</x:v>
      </x:c>
    </x:row>
    <x:row r="9">
      <x:c r="A9" s="17" t="str">
        <x:v>RCA05</x:v>
      </x:c>
      <x:c r="B9" s="17" t="str">
        <x:v>有效率不足</x:v>
      </x:c>
      <x:c r="C9" s="17" t="str">
        <x:v>主要终点有效样本&lt;85%</x:v>
      </x:c>
      <x:c r="D9" s="17" t="str">
        <x:v>冻结批次合并</x:v>
      </x:c>
      <x:c r="E9" s="17" t="str">
        <x:v>采样/运输/偏差/检测</x:v>
      </x:c>
      <x:c r="F9" s="17" t="str">
        <x:v>3 d</x:v>
      </x:c>
      <x:c r="G9" s="17" t="str">
        <x:v>质量+统计</x:v>
      </x:c>
      <x:c r="H9" s="17" t="str">
        <x:v>委员会评估补批</x:v>
      </x:c>
      <x:c r="I9" s="17" t="str">
        <x:v>补批/排除</x:v>
      </x:c>
      <x:c r="J9" s="17" t="str">
        <x:v>待触发</x:v>
      </x:c>
    </x:row>
    <x:row r="10">
      <x:c r="A10" s="17" t="str">
        <x:v>RCA06</x:v>
      </x:c>
      <x:c r="B10" s="17" t="str">
        <x:v>主要终点反转</x:v>
      </x:c>
      <x:c r="C10" s="17" t="str">
        <x:v>关键批次处理效应方向反转</x:v>
      </x:c>
      <x:c r="D10" s="17" t="str">
        <x:v>盲态复核数据和环境</x:v>
      </x:c>
      <x:c r="E10" s="17" t="str">
        <x:v>异质性/执行/设备/品种</x:v>
      </x:c>
      <x:c r="F10" s="17" t="str">
        <x:v>5 d</x:v>
      </x:c>
      <x:c r="G10" s="17" t="str">
        <x:v>统计负责人</x:v>
      </x:c>
      <x:c r="H10" s="17" t="str">
        <x:v>复测+留一批次分析</x:v>
      </x:c>
      <x:c r="I10" s="17" t="str">
        <x:v>继续/暂停</x:v>
      </x:c>
      <x:c r="J10" s="17" t="str">
        <x:v>待触发</x:v>
      </x:c>
    </x:row>
    <x:row r="11">
      <x:c r="A11" s="17" t="str">
        <x:v>RCA07</x:v>
      </x:c>
      <x:c r="B11" s="17" t="str">
        <x:v>第三方不一致</x:v>
      </x:c>
      <x:c r="C11" s="17" t="str">
        <x:v>复核结果超出预设一致性范围</x:v>
      </x:c>
      <x:c r="D11" s="17" t="str">
        <x:v>暂停结题</x:v>
      </x:c>
      <x:c r="E11" s="17" t="str">
        <x:v>方法/样品/实验室/批次</x:v>
      </x:c>
      <x:c r="F11" s="17" t="str">
        <x:v>5 d</x:v>
      </x:c>
      <x:c r="G11" s="17" t="str">
        <x:v>项目负责人</x:v>
      </x:c>
      <x:c r="H11" s="17" t="str">
        <x:v>联合复核</x:v>
      </x:c>
      <x:c r="I11" s="17" t="str">
        <x:v>接受/追加</x:v>
      </x:c>
      <x:c r="J11" s="17" t="str">
        <x:v>待触发</x:v>
      </x:c>
    </x:row>
    <x:row r="12">
      <x:c r="A12" s="17" t="str">
        <x:v>RCA08</x:v>
      </x:c>
      <x:c r="B12" s="17" t="str">
        <x:v>经营门槛未达</x:v>
      </x:c>
      <x:c r="C12" s="17" t="str">
        <x:v>BCR&lt;1.50或回收期&gt;24月</x:v>
      </x:c>
      <x:c r="D12" s="17" t="str">
        <x:v>暂停投资审批</x:v>
      </x:c>
      <x:c r="E12" s="17" t="str">
        <x:v>效果/售价/能耗/维修/折旧</x:v>
      </x:c>
      <x:c r="F12" s="17" t="str">
        <x:v>10 d</x:v>
      </x:c>
      <x:c r="G12" s="17" t="str">
        <x:v>财务负责人</x:v>
      </x:c>
      <x:c r="H12" s="17" t="str">
        <x:v>参数复核+范围优化</x:v>
      </x:c>
      <x:c r="I12" s="17" t="str">
        <x:v>限定/停止</x:v>
      </x:c>
      <x:c r="J12" s="17" t="str">
        <x:v>待触发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  <x:col min="4" max="4" width="30" hidden="0" customWidth="1"/>
    <x:col min="5" max="5" width="18" hidden="0" customWidth="1"/>
    <x:col min="6" max="6" width="30" hidden="0" customWidth="1"/>
    <x:col min="7" max="7" width="12" hidden="0" customWidth="1"/>
  </x:cols>
  <x:sheetData>
    <x:row r="1" ht="30" customHeight="1">
      <x:c r="A1" s="3" t="str">
        <x:v>商业冷库部署SOP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从到货验收到经营复盘的关键控制点、记录和放行责任。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3" t="str">
        <x:v>步骤</x:v>
      </x:c>
      <x:c r="B4" s="13" t="str">
        <x:v>环节</x:v>
      </x:c>
      <x:c r="C4" s="13" t="str">
        <x:v>操作要求</x:v>
      </x:c>
      <x:c r="D4" s="13" t="str">
        <x:v>记录</x:v>
      </x:c>
      <x:c r="E4" s="13" t="str">
        <x:v>责任</x:v>
      </x:c>
      <x:c r="F4" s="13" t="str">
        <x:v>异常控制</x:v>
      </x:c>
      <x:c r="G4" s="13" t="str">
        <x:v>阶段门</x:v>
      </x:c>
    </x:row>
    <x:row r="5">
      <x:c r="A5" s="17" t="str">
        <x:v>SOP01</x:v>
      </x:c>
      <x:c r="B5" s="17" t="str">
        <x:v>到货验收</x:v>
      </x:c>
      <x:c r="C5" s="17" t="str">
        <x:v>核对基地、品种、采收时间、温度和批次</x:v>
      </x:c>
      <x:c r="D5" s="17" t="str">
        <x:v>收货单、温度记录</x:v>
      </x:c>
      <x:c r="E5" s="17" t="str">
        <x:v>质量</x:v>
      </x:c>
      <x:c r="F5" s="17" t="str">
        <x:v>不符合隔离</x:v>
      </x:c>
      <x:c r="G5" s="17" t="str">
        <x:v>G0</x:v>
      </x:c>
    </x:row>
    <x:row r="6">
      <x:c r="A6" s="17" t="str">
        <x:v>SOP02</x:v>
      </x:c>
      <x:c r="B6" s="17" t="str">
        <x:v>分层</x:v>
      </x:c>
      <x:c r="C6" s="17" t="str">
        <x:v>按成熟度、果径和初始质量分层</x:v>
      </x:c>
      <x:c r="D6" s="17" t="str">
        <x:v>分层清单</x:v>
      </x:c>
      <x:c r="E6" s="17" t="str">
        <x:v>研发</x:v>
      </x:c>
      <x:c r="F6" s="17" t="str">
        <x:v>超差样本排除</x:v>
      </x:c>
      <x:c r="G6" s="17" t="str">
        <x:v>G1</x:v>
      </x:c>
    </x:row>
    <x:row r="7">
      <x:c r="A7" s="17" t="str">
        <x:v>SOP03</x:v>
      </x:c>
      <x:c r="B7" s="17" t="str">
        <x:v>编码与随机</x:v>
      </x:c>
      <x:c r="C7" s="17" t="str">
        <x:v>生成样本码、检测码和库位随机表</x:v>
      </x:c>
      <x:c r="D7" s="17" t="str">
        <x:v>随机表、盲码表</x:v>
      </x:c>
      <x:c r="E7" s="17" t="str">
        <x:v>质量</x:v>
      </x:c>
      <x:c r="F7" s="17" t="str">
        <x:v>版本锁定</x:v>
      </x:c>
      <x:c r="G7" s="17" t="str">
        <x:v>G1</x:v>
      </x:c>
    </x:row>
    <x:row r="8">
      <x:c r="A8" s="17" t="str">
        <x:v>SOP04</x:v>
      </x:c>
      <x:c r="B8" s="17" t="str">
        <x:v>设备确认</x:v>
      </x:c>
      <x:c r="C8" s="17" t="str">
        <x:v>核对型号版本、校准、测场、EMC和温升</x:v>
      </x:c>
      <x:c r="D8" s="17" t="str">
        <x:v>设备放行单</x:v>
      </x:c>
      <x:c r="E8" s="17" t="str">
        <x:v>设备</x:v>
      </x:c>
      <x:c r="F8" s="17" t="str">
        <x:v>未放行不得启用</x:v>
      </x:c>
      <x:c r="G8" s="17" t="str">
        <x:v>G2</x:v>
      </x:c>
    </x:row>
    <x:row r="9">
      <x:c r="A9" s="17" t="str">
        <x:v>SOP05</x:v>
      </x:c>
      <x:c r="B9" s="17" t="str">
        <x:v>装载</x:v>
      </x:c>
      <x:c r="C9" s="17" t="str">
        <x:v>按随机库位装载，装载率40%-80%</x:v>
      </x:c>
      <x:c r="D9" s="17" t="str">
        <x:v>库位图、装载记录</x:v>
      </x:c>
      <x:c r="E9" s="17" t="str">
        <x:v>运营</x:v>
      </x:c>
      <x:c r="F9" s="17" t="str">
        <x:v>超范围调整</x:v>
      </x:c>
      <x:c r="G9" s="17" t="str">
        <x:v>G2</x:v>
      </x:c>
    </x:row>
    <x:row r="10">
      <x:c r="A10" s="17" t="str">
        <x:v>SOP06</x:v>
      </x:c>
      <x:c r="B10" s="17" t="str">
        <x:v>处理</x:v>
      </x:c>
      <x:c r="C10" s="17" t="str">
        <x:v>0 mT或5 mT按盲码执行并记录起止</x:v>
      </x:c>
      <x:c r="D10" s="17" t="str">
        <x:v>设备日志</x:v>
      </x:c>
      <x:c r="E10" s="17" t="str">
        <x:v>设备</x:v>
      </x:c>
      <x:c r="F10" s="17" t="str">
        <x:v>越界暂停</x:v>
      </x:c>
      <x:c r="G10" s="17" t="str">
        <x:v>G2</x:v>
      </x:c>
    </x:row>
    <x:row r="11">
      <x:c r="A11" s="17" t="str">
        <x:v>SOP07</x:v>
      </x:c>
      <x:c r="B11" s="17" t="str">
        <x:v>冷藏监测</x:v>
      </x:c>
      <x:c r="C11" s="17" t="str">
        <x:v>连续记录温湿度、门开启、装载和故障</x:v>
      </x:c>
      <x:c r="D11" s="17" t="str">
        <x:v>环境日志</x:v>
      </x:c>
      <x:c r="E11" s="17" t="str">
        <x:v>运营</x:v>
      </x:c>
      <x:c r="F11" s="17" t="str">
        <x:v>报警进入偏差</x:v>
      </x:c>
      <x:c r="G11" s="17" t="str">
        <x:v>G2</x:v>
      </x:c>
    </x:row>
    <x:row r="12">
      <x:c r="A12" s="17" t="str">
        <x:v>SOP08</x:v>
      </x:c>
      <x:c r="B12" s="17" t="str">
        <x:v>运输</x:v>
      </x:c>
      <x:c r="C12" s="17" t="str">
        <x:v>封签、温度、振动和交接同步记录</x:v>
      </x:c>
      <x:c r="D12" s="17" t="str">
        <x:v>运输单、记录仪文件</x:v>
      </x:c>
      <x:c r="E12" s="17" t="str">
        <x:v>物流</x:v>
      </x:c>
      <x:c r="F12" s="17" t="str">
        <x:v>封签破损隔离</x:v>
      </x:c>
      <x:c r="G12" s="17" t="str">
        <x:v>G3</x:v>
      </x:c>
    </x:row>
    <x:row r="13">
      <x:c r="A13" s="17" t="str">
        <x:v>SOP09</x:v>
      </x:c>
      <x:c r="B13" s="17" t="str">
        <x:v>取样检测</x:v>
      </x:c>
      <x:c r="C13" s="17" t="str">
        <x:v>按时间点盲态取样并完成QC</x:v>
      </x:c>
      <x:c r="D13" s="17" t="str">
        <x:v>检测原始记录</x:v>
      </x:c>
      <x:c r="E13" s="17" t="str">
        <x:v>检测</x:v>
      </x:c>
      <x:c r="F13" s="17" t="str">
        <x:v>QC失败复测</x:v>
      </x:c>
      <x:c r="G13" s="17" t="str">
        <x:v>G3</x:v>
      </x:c>
    </x:row>
    <x:row r="14">
      <x:c r="A14" s="17" t="str">
        <x:v>SOP10</x:v>
      </x:c>
      <x:c r="B14" s="17" t="str">
        <x:v>数据锁库</x:v>
      </x:c>
      <x:c r="C14" s="17" t="str">
        <x:v>关闭查询、冻结排除清单和SAP版本</x:v>
      </x:c>
      <x:c r="D14" s="17" t="str">
        <x:v>锁库确认单</x:v>
      </x:c>
      <x:c r="E14" s="17" t="str">
        <x:v>统计+质量</x:v>
      </x:c>
      <x:c r="F14" s="17" t="str">
        <x:v>未锁库不得揭盲</x:v>
      </x:c>
      <x:c r="G14" s="17" t="str">
        <x:v>G3</x:v>
      </x:c>
    </x:row>
    <x:row r="15">
      <x:c r="A15" s="17" t="str">
        <x:v>SOP11</x:v>
      </x:c>
      <x:c r="B15" s="17" t="str">
        <x:v>批次放行</x:v>
      </x:c>
      <x:c r="C15" s="17" t="str">
        <x:v>按硬度、腐烂、感官和微生物门槛判定</x:v>
      </x:c>
      <x:c r="D15" s="17" t="str">
        <x:v>批次放行单</x:v>
      </x:c>
      <x:c r="E15" s="17" t="str">
        <x:v>质量</x:v>
      </x:c>
      <x:c r="F15" s="17" t="str">
        <x:v>失败进入RCA</x:v>
      </x:c>
      <x:c r="G15" s="17" t="str">
        <x:v>G4</x:v>
      </x:c>
    </x:row>
    <x:row r="16">
      <x:c r="A16" s="17" t="str">
        <x:v>SOP12</x:v>
      </x:c>
      <x:c r="B16" s="17" t="str">
        <x:v>经营复盘</x:v>
      </x:c>
      <x:c r="C16" s="17" t="str">
        <x:v>对账报损、售价、能耗、维修、折旧和客诉</x:v>
      </x:c>
      <x:c r="D16" s="17" t="str">
        <x:v>经营复盘表</x:v>
      </x:c>
      <x:c r="E16" s="17" t="str">
        <x:v>运营+财务</x:v>
      </x:c>
      <x:c r="F16" s="17" t="str">
        <x:v>按G5提交投资决策</x:v>
      </x:c>
      <x:c r="G16" s="17" t="str">
        <x:v>G5</x:v>
      </x:c>
    </x:row>
  </x:sheetData>
  <x:mergeCells>
    <x:mergeCell ref="A1:I1"/>
    <x:mergeCell ref="A2:I2"/>
  </x:mergeCells>
  <x:pageMargins left="0.7" right="0.7" top="0.75" bottom="0.75" header="0.3" footer="0.3"/>
</x:worksheet>
</file>